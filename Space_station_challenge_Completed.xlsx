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pace station challenge" sheetId="1" state="visible" r:id="rId1"/>
    <sheet xmlns:r="http://schemas.openxmlformats.org/officeDocument/2006/relationships" name="Reference sheet" sheetId="2" state="visible" r:id="rId2"/>
    <sheet xmlns:r="http://schemas.openxmlformats.org/officeDocument/2006/relationships" name="Tier Params" sheetId="3" state="visible" r:id="rId3"/>
    <sheet xmlns:r="http://schemas.openxmlformats.org/officeDocument/2006/relationships" name="Item Tier Lookup" sheetId="4" state="visible" r:id="rId4"/>
    <sheet xmlns:r="http://schemas.openxmlformats.org/officeDocument/2006/relationships" name="BOM Cycle Calc" sheetId="5" state="visible" r:id="rId5"/>
    <sheet xmlns:r="http://schemas.openxmlformats.org/officeDocument/2006/relationships" name="Build Time &amp; Factory Plan" sheetId="6" state="visible" r:id="rId6"/>
    <sheet xmlns:r="http://schemas.openxmlformats.org/officeDocument/2006/relationships" name="Consolidated Item Demand" sheetId="7" state="visible" r:id="rId7"/>
  </sheets>
  <definedNames/>
  <calcPr calcId="124519" fullCalcOnLoad="1"/>
</workbook>
</file>

<file path=xl/styles.xml><?xml version="1.0" encoding="utf-8"?>
<styleSheet xmlns="http://schemas.openxmlformats.org/spreadsheetml/2006/main">
  <numFmts count="0"/>
  <fonts count="11">
    <font>
      <name val="Arial"/>
      <color rgb="FF000000"/>
      <sz val="10"/>
      <scheme val="minor"/>
    </font>
    <font>
      <name val="Arial"/>
      <color theme="1"/>
      <scheme val="minor"/>
    </font>
    <font>
      <color rgb="FF0000FF"/>
      <u val="single"/>
    </font>
    <font>
      <name val="Arial"/>
      <color theme="1"/>
    </font>
    <font>
      <color rgb="FF0000FF"/>
      <u val="single"/>
    </font>
    <font>
      <name val="Verdana"/>
      <color rgb="FF586E75"/>
      <sz val="11"/>
    </font>
    <font>
      <name val="Arial"/>
      <b val="1"/>
      <color theme="1"/>
    </font>
    <font>
      <name val="Sans-serif"/>
      <b val="1"/>
      <color theme="1"/>
    </font>
    <font>
      <name val="Verdana"/>
      <color rgb="FF2AA198"/>
      <sz val="11"/>
    </font>
    <font>
      <b val="1"/>
    </font>
    <font>
      <i val="1"/>
      <sz val="9"/>
    </font>
  </fonts>
  <fills count="9">
    <fill>
      <patternFill/>
    </fill>
    <fill>
      <patternFill patternType="lightGray"/>
    </fill>
    <fill>
      <patternFill patternType="solid">
        <fgColor rgb="FFFFFFFF"/>
        <bgColor rgb="FFFFFFFF"/>
      </patternFill>
    </fill>
    <fill>
      <patternFill patternType="solid">
        <fgColor rgb="FFFDF6E3"/>
        <bgColor rgb="FFFDF6E3"/>
      </patternFill>
    </fill>
    <fill>
      <patternFill patternType="solid">
        <fgColor rgb="FF4682B4"/>
        <bgColor rgb="FF4682B4"/>
      </patternFill>
    </fill>
    <fill>
      <patternFill patternType="solid">
        <fgColor rgb="FFFFC0CB"/>
        <bgColor rgb="FFFFC0CB"/>
      </patternFill>
    </fill>
    <fill>
      <patternFill patternType="solid">
        <fgColor rgb="FF00FFFF"/>
        <bgColor rgb="FF00FFFF"/>
      </patternFill>
    </fill>
    <fill>
      <patternFill patternType="solid">
        <fgColor rgb="FF90EE90"/>
        <bgColor rgb="FF90EE90"/>
      </patternFill>
    </fill>
    <fill>
      <patternFill patternType="solid">
        <fgColor rgb="00D9E1F2"/>
        <bgColor rgb="00D9E1F2"/>
      </patternFill>
    </fill>
  </fills>
  <borders count="2">
    <border/>
    <border>
      <bottom style="thin">
        <color rgb="FF000000"/>
      </bottom>
    </border>
  </borders>
  <cellStyleXfs count="1">
    <xf numFmtId="0" fontId="0" fillId="0" borderId="0"/>
  </cellStyleXfs>
  <cellXfs count="29">
    <xf numFmtId="0" fontId="0" fillId="0" borderId="0" applyAlignment="1" pivotButton="0" quotePrefix="0" xfId="0">
      <alignment vertical="bottom"/>
    </xf>
    <xf numFmtId="0" fontId="1" fillId="0" borderId="0" pivotButton="0" quotePrefix="0" xfId="0"/>
    <xf numFmtId="0" fontId="1" fillId="2" borderId="0" pivotButton="0" quotePrefix="0" xfId="0"/>
    <xf numFmtId="0" fontId="2" fillId="0" borderId="0" pivotButton="0" quotePrefix="0" xfId="0"/>
    <xf numFmtId="0" fontId="1" fillId="2" borderId="0" pivotButton="0" quotePrefix="0" xfId="0"/>
    <xf numFmtId="0" fontId="3" fillId="0" borderId="0" applyAlignment="1" pivotButton="0" quotePrefix="0" xfId="0">
      <alignment vertical="bottom"/>
    </xf>
    <xf numFmtId="0" fontId="4" fillId="0" borderId="0" pivotButton="0" quotePrefix="0" xfId="0"/>
    <xf numFmtId="0" fontId="5" fillId="2" borderId="0" applyAlignment="1" pivotButton="0" quotePrefix="0" xfId="0">
      <alignment vertical="top"/>
    </xf>
    <xf numFmtId="0" fontId="5" fillId="3" borderId="1" applyAlignment="1" pivotButton="0" quotePrefix="0" xfId="0">
      <alignment vertical="top"/>
    </xf>
    <xf numFmtId="0" fontId="5" fillId="3" borderId="1" applyAlignment="1" pivotButton="0" quotePrefix="0" xfId="0">
      <alignment vertical="top"/>
    </xf>
    <xf numFmtId="0" fontId="5" fillId="3" borderId="1" applyAlignment="1" pivotButton="0" quotePrefix="0" xfId="0">
      <alignment horizontal="left" vertical="top"/>
    </xf>
    <xf numFmtId="0" fontId="3" fillId="0" borderId="0" applyAlignment="1" pivotButton="0" quotePrefix="0" xfId="0">
      <alignment vertical="bottom"/>
    </xf>
    <xf numFmtId="0" fontId="6" fillId="4" borderId="0" applyAlignment="1" pivotButton="0" quotePrefix="0" xfId="0">
      <alignment vertical="bottom"/>
    </xf>
    <xf numFmtId="0" fontId="5" fillId="2" borderId="0" applyAlignment="1" pivotButton="0" quotePrefix="0" xfId="0">
      <alignment horizontal="left" vertical="top"/>
    </xf>
    <xf numFmtId="0" fontId="3" fillId="0" borderId="0" applyAlignment="1" pivotButton="0" quotePrefix="0" xfId="0">
      <alignment horizontal="right" vertical="bottom"/>
    </xf>
    <xf numFmtId="0" fontId="1" fillId="0" borderId="0" pivotButton="0" quotePrefix="0" xfId="0"/>
    <xf numFmtId="0" fontId="7" fillId="4" borderId="0" applyAlignment="1" pivotButton="0" quotePrefix="0" xfId="0">
      <alignment vertical="bottom"/>
    </xf>
    <xf numFmtId="3" fontId="5" fillId="3" borderId="1" applyAlignment="1" pivotButton="0" quotePrefix="0" xfId="0">
      <alignment horizontal="left" vertical="top"/>
    </xf>
    <xf numFmtId="0" fontId="8" fillId="2" borderId="0" applyAlignment="1" pivotButton="0" quotePrefix="0" xfId="0">
      <alignment horizontal="left" vertical="top"/>
    </xf>
    <xf numFmtId="0" fontId="8" fillId="3" borderId="1" applyAlignment="1" pivotButton="0" quotePrefix="0" xfId="0">
      <alignment horizontal="left" vertical="top"/>
    </xf>
    <xf numFmtId="3" fontId="8" fillId="3" borderId="1" applyAlignment="1" pivotButton="0" quotePrefix="0" xfId="0">
      <alignment horizontal="left" vertical="top"/>
    </xf>
    <xf numFmtId="0" fontId="7" fillId="5" borderId="0" applyAlignment="1" pivotButton="0" quotePrefix="0" xfId="0">
      <alignment vertical="bottom"/>
    </xf>
    <xf numFmtId="0" fontId="7" fillId="6" borderId="0" applyAlignment="1" pivotButton="0" quotePrefix="0" xfId="0">
      <alignment vertical="bottom"/>
    </xf>
    <xf numFmtId="0" fontId="7" fillId="7" borderId="0" applyAlignment="1" pivotButton="0" quotePrefix="0" xfId="0">
      <alignment vertical="bottom"/>
    </xf>
    <xf numFmtId="0" fontId="0" fillId="0" borderId="0" pivotButton="0" quotePrefix="0" xfId="0"/>
    <xf numFmtId="0" fontId="9" fillId="8" borderId="0" pivotButton="0" quotePrefix="0" xfId="0"/>
    <xf numFmtId="0" fontId="9" fillId="0" borderId="0" pivotButton="0" quotePrefix="0" xfId="0"/>
    <xf numFmtId="0" fontId="10" fillId="0" borderId="0" pivotButton="0" quotePrefix="0" xfId="0"/>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15</col>
      <colOff>962025</colOff>
      <row>13</row>
      <rowOff>9525</rowOff>
    </from>
    <ext cx="3943350" cy="3086100"/>
    <pic>
      <nvPicPr>
        <cNvPr id="0"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evemarketer.com/" TargetMode="External" Id="rId1"/><Relationship Type="http://schemas.openxmlformats.org/officeDocument/2006/relationships/hyperlink" Target="https://ore.cerlestes.de/ore" TargetMode="External" Id="rId2"/><Relationship Type="http://schemas.openxmlformats.org/officeDocument/2006/relationships/hyperlink" Target="https://evemarketer.com/" TargetMode="External" Id="rId3"/><Relationship Type="http://schemas.openxmlformats.org/officeDocument/2006/relationships/drawing" Target="/xl/drawings/drawing1.xml" Id="rId4"/></Relationships>
</file>

<file path=xl/worksheets/sheet1.xml><?xml version="1.0" encoding="utf-8"?>
<worksheet xmlns="http://schemas.openxmlformats.org/spreadsheetml/2006/main">
  <sheetPr>
    <outlinePr summaryBelow="0" summaryRight="0"/>
    <pageSetUpPr/>
  </sheetPr>
  <dimension ref="B1:C5"/>
  <sheetViews>
    <sheetView workbookViewId="0">
      <selection activeCell="A1" sqref="A1"/>
    </sheetView>
  </sheetViews>
  <sheetFormatPr baseColWidth="8" defaultColWidth="12.63" defaultRowHeight="15.75" customHeight="1"/>
  <cols>
    <col width="55" customWidth="1" style="24" min="2" max="2"/>
    <col width="90" customWidth="1" style="24" min="3" max="3"/>
  </cols>
  <sheetData>
    <row r="1">
      <c r="C1" s="26" t="inlineStr">
        <is>
          <t>Answer</t>
        </is>
      </c>
    </row>
    <row r="2" ht="90" customHeight="1" s="24">
      <c r="B2" s="15" t="inlineStr">
        <is>
          <t>How long to build one astrahus?</t>
        </is>
      </c>
      <c r="C2" s="28" t="inlineStr">
        <is>
          <t>Fully serial (one factory doing every job, one after another): 36,863.75 hours (~1,536 days / ~219.4 weeks / ~4.2 years). This is the total processing time across every extraction/manufacturing cycle needed for all 8 Astrahus blueprint components, computed by expanding the full Bill of Materials tree (Reference sheet, 'Bill of materials' columns) and converting each ingredient quantity into production cycles at its tier's fixed time/output ratio. Full derivation: see 'BOM Cycle Calc' and 'Build Time &amp; Factory Plan' sheets.</t>
        </is>
      </c>
    </row>
    <row r="3" ht="90" customHeight="1" s="24">
      <c r="B3" s="15" t="inlineStr">
        <is>
          <t>If we chose to invest in additional factories how many would be required (and at what levels) to reduce the manufacturing time to one week?</t>
        </is>
      </c>
      <c r="C3" s="28" t="inlineStr">
        <is>
          <t>1,486 factories total across 7 tiers (1,479 beyond a 1-per-tier baseline) using a cost-minimising allocation, reducing total build time from 36,863.75 hrs to 164.2 hours (under the 1-week/168-hour target): Mineral 8, Raw material 297, P1 646, P2 352, P3 133, P4 48, Space station structure 2 (assembly bays). Solved via Lagrangian cost optimisation (minimise total factory spend subject to total build time &lt;= 168 hrs) - see 'Build Time &amp; Factory Plan' sheet, section 2, for the full formula-driven derivation.</t>
        </is>
      </c>
    </row>
    <row r="4" ht="90" customHeight="1" s="24">
      <c r="B4" s="15" t="inlineStr">
        <is>
          <t>What would the breakeven point be?</t>
        </is>
      </c>
      <c r="C4" s="28" t="inlineStr">
        <is>
          <t>Using the only cost figures present in the source data (Reference sheet 'Structure pricing', T:U): the factory investment required to hit the 1-week target costs 11,623 (price units per the sheet) and a completed Astrahus structure prices at 2,000 per the same table. Treating that 2,000 as net revenue per completed unit (materials cost not separately available - see note below), breakeven is reached after ceiling(11,623 / 2,000) = 6 completed Astrahus structures. IMPORTANT CAVEAT: the workbook's 'Input prices' section (Reference sheet H:I) lists material categories (Minerals, Cerlestes/PI resources) but was never populated with per-unit ISK prices - only a reference link to evemarketer.com was left. A materials-cost-inclusive breakeven cannot be honestly computed without those live market prices; this answer uses only the cost data actually present in the workbook.</t>
        </is>
      </c>
    </row>
    <row r="5" ht="90" customHeight="1" s="24">
      <c r="B5" s="15" t="inlineStr">
        <is>
          <t>Buy or make input materials?</t>
        </is>
      </c>
      <c r="C5" s="28" t="inlineStr">
        <is>
          <t>Buy, for the low-tier bulk commodities - Raw material, P1 and P2 items alone account for 92.7% of all processing hours (Raw 17.6%, P1 50.2%, P2 24.9%; see 'Build Time &amp; Factory Plan'). These are exactly the commodities EVE's market is typically deepest and cheapest for, so self-manufacturing them ties up enormous factory-time for low unit value. Make, for P3/P4 and the final Space station structure components (6.9% of total hours combined) - lower volume, higher value-add, and the item this whole exercise is trying to produce. This is a workload-based recommendation, not a $ margin comparison, because per-unit market prices were not populated in the source workbook (see Q4 caveat) - a live evemarketer.com price pull would let this be re-run as a true buy-vs-make margin per material.</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C1:U1736"/>
  <sheetViews>
    <sheetView workbookViewId="0">
      <selection activeCell="A1" sqref="A1"/>
    </sheetView>
  </sheetViews>
  <sheetFormatPr baseColWidth="8" defaultColWidth="12.63" defaultRowHeight="15.75" customHeight="1"/>
  <cols>
    <col width="21.88" customWidth="1" style="24" min="3" max="3"/>
    <col width="10.88" customWidth="1" style="24" min="13" max="13"/>
    <col width="29.88" customWidth="1" style="24" min="14" max="14"/>
    <col width="27.13" customWidth="1" style="24" min="17" max="17"/>
  </cols>
  <sheetData>
    <row r="1">
      <c r="C1" s="15" t="inlineStr">
        <is>
          <t>Extraction and manufacturing times</t>
        </is>
      </c>
      <c r="H1" s="15" t="inlineStr">
        <is>
          <t>Input prices</t>
        </is>
      </c>
      <c r="K1" s="15" t="inlineStr">
        <is>
          <t>Material reference</t>
        </is>
      </c>
      <c r="M1" s="4" t="n"/>
      <c r="N1" s="15" t="inlineStr">
        <is>
          <t>Bill of materials (https://eve-industry.org/calc/)</t>
        </is>
      </c>
      <c r="Q1" s="15" t="inlineStr">
        <is>
          <t>Astrahus blueprint</t>
        </is>
      </c>
      <c r="R1" s="3" t="inlineStr">
        <is>
          <t>https://evemarketer.com/</t>
        </is>
      </c>
      <c r="T1" s="15" t="inlineStr">
        <is>
          <t>Structure pricing</t>
        </is>
      </c>
    </row>
    <row r="2">
      <c r="M2" s="4" t="n"/>
    </row>
    <row r="3">
      <c r="D3" s="11" t="inlineStr">
        <is>
          <t>Time (hrs)</t>
        </is>
      </c>
      <c r="E3" s="11" t="inlineStr">
        <is>
          <t>Input</t>
        </is>
      </c>
      <c r="F3" s="11" t="inlineStr">
        <is>
          <t>Output</t>
        </is>
      </c>
      <c r="H3" s="15" t="inlineStr">
        <is>
          <t>Minerals</t>
        </is>
      </c>
      <c r="I3" s="6" t="inlineStr">
        <is>
          <t>Cerlestes</t>
        </is>
      </c>
      <c r="K3" s="11" t="inlineStr">
        <is>
          <t>Name</t>
        </is>
      </c>
      <c r="L3" s="11" t="inlineStr">
        <is>
          <t>Type</t>
        </is>
      </c>
      <c r="M3" s="7" t="n"/>
      <c r="N3" s="9" t="inlineStr">
        <is>
          <t>Name</t>
        </is>
      </c>
      <c r="O3" s="9" t="inlineStr">
        <is>
          <t>Quantity</t>
        </is>
      </c>
      <c r="Q3" s="10" t="inlineStr">
        <is>
          <t>Structure Construction Parts</t>
        </is>
      </c>
      <c r="R3" s="10" t="n">
        <v>1</v>
      </c>
      <c r="T3" s="15" t="inlineStr">
        <is>
          <t>Factories</t>
        </is>
      </c>
      <c r="U3" s="15" t="inlineStr">
        <is>
          <t>Price per structure</t>
        </is>
      </c>
    </row>
    <row r="4">
      <c r="C4" s="11" t="inlineStr">
        <is>
          <t>Raw material</t>
        </is>
      </c>
      <c r="D4" s="15" t="n">
        <v>24</v>
      </c>
      <c r="F4" s="15" t="n">
        <v>500000</v>
      </c>
      <c r="I4" s="15" t="inlineStr">
        <is>
          <t>Price per unit</t>
        </is>
      </c>
      <c r="K4" s="12" t="inlineStr">
        <is>
          <t>Biotech research reports</t>
        </is>
      </c>
      <c r="L4" s="11" t="inlineStr">
        <is>
          <t>P3</t>
        </is>
      </c>
      <c r="M4" s="13" t="n"/>
      <c r="N4" s="10" t="inlineStr">
        <is>
          <t>Structure Construction Parts</t>
        </is>
      </c>
      <c r="O4" s="10" t="n">
        <v>1</v>
      </c>
      <c r="Q4" s="10" t="inlineStr">
        <is>
          <t>Structure Hangar Array</t>
        </is>
      </c>
      <c r="R4" s="10" t="n">
        <v>1</v>
      </c>
      <c r="T4" s="15" t="inlineStr">
        <is>
          <t>Mineral</t>
        </is>
      </c>
      <c r="U4" s="15" t="n">
        <v>100</v>
      </c>
    </row>
    <row r="5">
      <c r="C5" s="11" t="inlineStr">
        <is>
          <t>P1</t>
        </is>
      </c>
      <c r="D5" s="14" t="n">
        <v>0.5</v>
      </c>
      <c r="E5" s="14" t="n">
        <v>3000</v>
      </c>
      <c r="F5" s="14" t="n">
        <v>20</v>
      </c>
      <c r="H5" s="15" t="inlineStr">
        <is>
          <t>Isogen</t>
        </is>
      </c>
      <c r="K5" s="16" t="inlineStr">
        <is>
          <t>Camera Drones</t>
        </is>
      </c>
      <c r="L5" s="11" t="inlineStr">
        <is>
          <t>P3</t>
        </is>
      </c>
      <c r="M5" s="13" t="n"/>
      <c r="N5" s="10" t="inlineStr">
        <is>
          <t>Tritanium</t>
        </is>
      </c>
      <c r="O5" s="17" t="n">
        <v>450000</v>
      </c>
      <c r="Q5" s="10" t="inlineStr">
        <is>
          <t>Structure Storage Bay</t>
        </is>
      </c>
      <c r="R5" s="10" t="n">
        <v>1</v>
      </c>
      <c r="T5" s="15" t="inlineStr">
        <is>
          <t>Raw</t>
        </is>
      </c>
      <c r="U5" s="15" t="n">
        <v>5</v>
      </c>
    </row>
    <row r="6">
      <c r="C6" s="11" t="inlineStr">
        <is>
          <t>P2</t>
        </is>
      </c>
      <c r="D6" s="14" t="n">
        <v>1</v>
      </c>
      <c r="E6" s="14" t="n">
        <v>40</v>
      </c>
      <c r="F6" s="14" t="n">
        <v>5</v>
      </c>
      <c r="H6" s="15" t="inlineStr">
        <is>
          <t>Megacyte</t>
        </is>
      </c>
      <c r="K6" s="16" t="inlineStr">
        <is>
          <t>Condensates</t>
        </is>
      </c>
      <c r="L6" s="11" t="inlineStr">
        <is>
          <t>P3</t>
        </is>
      </c>
      <c r="M6" s="13" t="n"/>
      <c r="N6" s="10" t="inlineStr">
        <is>
          <t>Pyerite</t>
        </is>
      </c>
      <c r="O6" s="17" t="n">
        <v>90000</v>
      </c>
      <c r="Q6" s="10" t="inlineStr">
        <is>
          <t>Structure Repair Facility</t>
        </is>
      </c>
      <c r="R6" s="10" t="n">
        <v>1</v>
      </c>
      <c r="T6" s="11" t="inlineStr">
        <is>
          <t>P1</t>
        </is>
      </c>
      <c r="U6" s="15" t="n">
        <v>3</v>
      </c>
    </row>
    <row r="7">
      <c r="C7" s="11" t="inlineStr">
        <is>
          <t>P3</t>
        </is>
      </c>
      <c r="D7" s="14" t="n">
        <v>1</v>
      </c>
      <c r="E7" s="14" t="n">
        <v>10</v>
      </c>
      <c r="F7" s="14" t="n">
        <v>3</v>
      </c>
      <c r="H7" s="15" t="inlineStr">
        <is>
          <t>Mexallon</t>
        </is>
      </c>
      <c r="K7" s="16" t="inlineStr">
        <is>
          <t>Cryoprotectant Solution</t>
        </is>
      </c>
      <c r="L7" s="11" t="inlineStr">
        <is>
          <t>P3</t>
        </is>
      </c>
      <c r="M7" s="13" t="n"/>
      <c r="N7" s="10" t="inlineStr">
        <is>
          <t>Mexallon</t>
        </is>
      </c>
      <c r="O7" s="17" t="n">
        <v>31500</v>
      </c>
      <c r="Q7" s="10" t="inlineStr">
        <is>
          <t>Structure Docking Bay</t>
        </is>
      </c>
      <c r="R7" s="10" t="n">
        <v>1</v>
      </c>
      <c r="T7" s="11" t="inlineStr">
        <is>
          <t>P2</t>
        </is>
      </c>
      <c r="U7" s="15" t="n">
        <v>5</v>
      </c>
    </row>
    <row r="8">
      <c r="C8" s="11" t="inlineStr">
        <is>
          <t>P4</t>
        </is>
      </c>
      <c r="D8" s="14" t="n">
        <v>1</v>
      </c>
      <c r="E8" s="14" t="n">
        <v>6</v>
      </c>
      <c r="F8" s="14" t="n">
        <v>1</v>
      </c>
      <c r="H8" s="15" t="inlineStr">
        <is>
          <t>Nocxium</t>
        </is>
      </c>
      <c r="K8" s="16" t="inlineStr">
        <is>
          <t>Data Chips</t>
        </is>
      </c>
      <c r="L8" s="11" t="inlineStr">
        <is>
          <t>P3</t>
        </is>
      </c>
      <c r="M8" s="13" t="n"/>
      <c r="N8" s="10" t="inlineStr">
        <is>
          <t>Isogen</t>
        </is>
      </c>
      <c r="O8" s="17" t="n">
        <v>3600</v>
      </c>
      <c r="Q8" s="10" t="inlineStr">
        <is>
          <t>Structure Medical Center</t>
        </is>
      </c>
      <c r="R8" s="10" t="n">
        <v>1</v>
      </c>
      <c r="T8" s="11" t="inlineStr">
        <is>
          <t>P3</t>
        </is>
      </c>
      <c r="U8" s="15" t="n">
        <v>8</v>
      </c>
    </row>
    <row r="9">
      <c r="C9" s="15" t="inlineStr">
        <is>
          <t>Space station structure</t>
        </is>
      </c>
      <c r="D9" s="15" t="n">
        <v>13</v>
      </c>
      <c r="F9" s="15" t="n">
        <v>1</v>
      </c>
      <c r="H9" s="15" t="inlineStr">
        <is>
          <t>Pyerite</t>
        </is>
      </c>
      <c r="K9" s="16" t="inlineStr">
        <is>
          <t>Gel-Matrix Biopaste</t>
        </is>
      </c>
      <c r="L9" s="11" t="inlineStr">
        <is>
          <t>P3</t>
        </is>
      </c>
      <c r="M9" s="13" t="n"/>
      <c r="N9" s="10" t="inlineStr">
        <is>
          <t>Nocxium</t>
        </is>
      </c>
      <c r="O9" s="10" t="n">
        <v>675</v>
      </c>
      <c r="Q9" s="10" t="inlineStr">
        <is>
          <t>Structure Office Center</t>
        </is>
      </c>
      <c r="R9" s="10" t="n">
        <v>1</v>
      </c>
      <c r="T9" s="11" t="inlineStr">
        <is>
          <t>P4</t>
        </is>
      </c>
      <c r="U9" s="15" t="n">
        <v>12</v>
      </c>
    </row>
    <row r="10">
      <c r="C10" s="11" t="inlineStr">
        <is>
          <t>Mineral</t>
        </is>
      </c>
      <c r="D10" s="15" t="n">
        <v>0.05</v>
      </c>
      <c r="F10" s="15" t="n">
        <v>6000</v>
      </c>
      <c r="H10" s="15" t="inlineStr">
        <is>
          <t>Tritanium</t>
        </is>
      </c>
      <c r="K10" s="16" t="inlineStr">
        <is>
          <t>Guidance Systems</t>
        </is>
      </c>
      <c r="L10" s="11" t="inlineStr">
        <is>
          <t>P3</t>
        </is>
      </c>
      <c r="M10" s="13" t="n"/>
      <c r="N10" s="10" t="inlineStr">
        <is>
          <t>Zydrine</t>
        </is>
      </c>
      <c r="O10" s="10" t="n">
        <v>315</v>
      </c>
      <c r="Q10" s="10" t="inlineStr">
        <is>
          <t>Structure Market Network</t>
        </is>
      </c>
      <c r="R10" s="10" t="n">
        <v>4</v>
      </c>
      <c r="T10" s="15" t="inlineStr">
        <is>
          <t>Space station structure</t>
        </is>
      </c>
      <c r="U10" s="15" t="n">
        <v>2000</v>
      </c>
    </row>
    <row r="11">
      <c r="H11" s="15" t="inlineStr">
        <is>
          <t>Zydrine</t>
        </is>
      </c>
      <c r="K11" s="16" t="inlineStr">
        <is>
          <t>Hazmat Detection Systems</t>
        </is>
      </c>
      <c r="L11" s="11" t="inlineStr">
        <is>
          <t>P3</t>
        </is>
      </c>
      <c r="M11" s="13" t="n"/>
      <c r="N11" s="10" t="inlineStr">
        <is>
          <t>Megacyte</t>
        </is>
      </c>
      <c r="O11" s="10" t="n">
        <v>135</v>
      </c>
    </row>
    <row r="12">
      <c r="I12" s="3" t="inlineStr">
        <is>
          <t>https://evemarketer.com/</t>
        </is>
      </c>
      <c r="K12" s="16" t="inlineStr">
        <is>
          <t>Hermetic Membranes</t>
        </is>
      </c>
      <c r="L12" s="11" t="inlineStr">
        <is>
          <t>P3</t>
        </is>
      </c>
      <c r="M12" s="13" t="n"/>
      <c r="N12" s="10" t="inlineStr">
        <is>
          <t>Integrity Response Drones</t>
        </is>
      </c>
      <c r="O12" s="10" t="n">
        <v>3</v>
      </c>
    </row>
    <row r="13">
      <c r="H13" s="15" t="inlineStr">
        <is>
          <t>Aqueous Liquids</t>
        </is>
      </c>
      <c r="K13" s="16" t="inlineStr">
        <is>
          <t>High-Tech Transmitters</t>
        </is>
      </c>
      <c r="L13" s="11" t="inlineStr">
        <is>
          <t>P3</t>
        </is>
      </c>
      <c r="M13" s="18" t="n"/>
      <c r="N13" s="19" t="inlineStr">
        <is>
          <t>Gel-Matrix Biopaste</t>
        </is>
      </c>
      <c r="O13" s="19" t="n">
        <v>18</v>
      </c>
    </row>
    <row r="14">
      <c r="H14" s="15" t="inlineStr">
        <is>
          <t>Autotrophs</t>
        </is>
      </c>
      <c r="K14" s="16" t="inlineStr">
        <is>
          <t>Industrial Explosives</t>
        </is>
      </c>
      <c r="L14" s="11" t="inlineStr">
        <is>
          <t>P3</t>
        </is>
      </c>
      <c r="M14" s="18" t="n"/>
      <c r="N14" s="19" t="inlineStr">
        <is>
          <t>Biocells</t>
        </is>
      </c>
      <c r="O14" s="19" t="n">
        <v>60</v>
      </c>
    </row>
    <row r="15">
      <c r="H15" s="15" t="inlineStr">
        <is>
          <t>Base Metals</t>
        </is>
      </c>
      <c r="K15" s="16" t="inlineStr">
        <is>
          <t>Neocoms</t>
        </is>
      </c>
      <c r="L15" s="11" t="inlineStr">
        <is>
          <t>P3</t>
        </is>
      </c>
      <c r="M15" s="18" t="n"/>
      <c r="N15" s="19" t="inlineStr">
        <is>
          <t>Biofuels</t>
        </is>
      </c>
      <c r="O15" s="19" t="n">
        <v>480</v>
      </c>
    </row>
    <row r="16">
      <c r="H16" s="15" t="inlineStr">
        <is>
          <t>Carbon Compounds</t>
        </is>
      </c>
      <c r="K16" s="16" t="inlineStr">
        <is>
          <t>Nuclear Reactors</t>
        </is>
      </c>
      <c r="L16" s="11" t="inlineStr">
        <is>
          <t>P3</t>
        </is>
      </c>
      <c r="M16" s="18" t="n"/>
      <c r="N16" s="19" t="inlineStr">
        <is>
          <t>Carbon Compounds</t>
        </is>
      </c>
      <c r="O16" s="20" t="n">
        <v>72000</v>
      </c>
    </row>
    <row r="17">
      <c r="H17" s="15" t="inlineStr">
        <is>
          <t>Complex Organisms</t>
        </is>
      </c>
      <c r="K17" s="16" t="inlineStr">
        <is>
          <t>Planetary Vehicles</t>
        </is>
      </c>
      <c r="L17" s="11" t="inlineStr">
        <is>
          <t>P3</t>
        </is>
      </c>
      <c r="M17" s="18" t="n"/>
      <c r="N17" s="19" t="inlineStr">
        <is>
          <t>Precious Metals</t>
        </is>
      </c>
      <c r="O17" s="19" t="n">
        <v>480</v>
      </c>
    </row>
    <row r="18">
      <c r="H18" s="15" t="inlineStr">
        <is>
          <t>Felsic Magma</t>
        </is>
      </c>
      <c r="K18" s="16" t="inlineStr">
        <is>
          <t>Robotics</t>
        </is>
      </c>
      <c r="L18" s="11" t="inlineStr">
        <is>
          <t>P3</t>
        </is>
      </c>
      <c r="M18" s="18" t="n"/>
      <c r="N18" s="19" t="inlineStr">
        <is>
          <t>Noble Metals</t>
        </is>
      </c>
      <c r="O18" s="20" t="n">
        <v>72000</v>
      </c>
    </row>
    <row r="19">
      <c r="H19" s="15" t="inlineStr">
        <is>
          <t>Heavy Metals</t>
        </is>
      </c>
      <c r="K19" s="16" t="inlineStr">
        <is>
          <t>Smartfab Units</t>
        </is>
      </c>
      <c r="L19" s="11" t="inlineStr">
        <is>
          <t>P3</t>
        </is>
      </c>
      <c r="M19" s="18" t="n"/>
      <c r="N19" s="19" t="inlineStr">
        <is>
          <t>Oxides</t>
        </is>
      </c>
      <c r="O19" s="19" t="n">
        <v>60</v>
      </c>
    </row>
    <row r="20">
      <c r="H20" s="15" t="inlineStr">
        <is>
          <t>Ionic Solutions</t>
        </is>
      </c>
      <c r="K20" s="16" t="inlineStr">
        <is>
          <t>Supercomputers</t>
        </is>
      </c>
      <c r="L20" s="11" t="inlineStr">
        <is>
          <t>P3</t>
        </is>
      </c>
      <c r="M20" s="18" t="n"/>
      <c r="N20" s="19" t="inlineStr">
        <is>
          <t>Oxidizing Compound</t>
        </is>
      </c>
      <c r="O20" s="19" t="n">
        <v>480</v>
      </c>
    </row>
    <row r="21">
      <c r="H21" s="15" t="inlineStr">
        <is>
          <t>Microorganisms</t>
        </is>
      </c>
      <c r="K21" s="16" t="inlineStr">
        <is>
          <t>Synthetic Synapses</t>
        </is>
      </c>
      <c r="L21" s="11" t="inlineStr">
        <is>
          <t>P3</t>
        </is>
      </c>
      <c r="M21" s="18" t="n"/>
      <c r="N21" s="19" t="inlineStr">
        <is>
          <t>Reactive Gas</t>
        </is>
      </c>
      <c r="O21" s="20" t="n">
        <v>72000</v>
      </c>
    </row>
    <row r="22">
      <c r="H22" s="15" t="inlineStr">
        <is>
          <t>Noble Gas</t>
        </is>
      </c>
      <c r="K22" s="16" t="inlineStr">
        <is>
          <t>Transcranial Microcontrollers</t>
        </is>
      </c>
      <c r="L22" s="11" t="inlineStr">
        <is>
          <t>P3</t>
        </is>
      </c>
      <c r="M22" s="18" t="n"/>
      <c r="N22" s="19" t="inlineStr">
        <is>
          <t>Oxygen</t>
        </is>
      </c>
      <c r="O22" s="19" t="n">
        <v>480</v>
      </c>
    </row>
    <row r="23">
      <c r="H23" s="15" t="inlineStr">
        <is>
          <t>Noble Metals</t>
        </is>
      </c>
      <c r="K23" s="16" t="inlineStr">
        <is>
          <t>Ukomi Superconductors</t>
        </is>
      </c>
      <c r="L23" s="11" t="inlineStr">
        <is>
          <t>P3</t>
        </is>
      </c>
      <c r="M23" s="18" t="n"/>
      <c r="N23" s="19" t="inlineStr">
        <is>
          <t>Noble Gas</t>
        </is>
      </c>
      <c r="O23" s="20" t="n">
        <v>72000</v>
      </c>
    </row>
    <row r="24">
      <c r="H24" s="15" t="inlineStr">
        <is>
          <t>Non-CS Crystals</t>
        </is>
      </c>
      <c r="K24" s="16" t="inlineStr">
        <is>
          <t>Vaccines</t>
        </is>
      </c>
      <c r="L24" s="11" t="inlineStr">
        <is>
          <t>P3</t>
        </is>
      </c>
      <c r="M24" s="18" t="n"/>
      <c r="N24" s="19" t="inlineStr">
        <is>
          <t>Superconductors</t>
        </is>
      </c>
      <c r="O24" s="19" t="n">
        <v>60</v>
      </c>
    </row>
    <row r="25">
      <c r="H25" s="15" t="inlineStr">
        <is>
          <t>Planktic Colonies</t>
        </is>
      </c>
      <c r="K25" s="21" t="inlineStr">
        <is>
          <t>Broadcast Node</t>
        </is>
      </c>
      <c r="L25" s="11" t="inlineStr">
        <is>
          <t>P4</t>
        </is>
      </c>
      <c r="M25" s="18" t="n"/>
      <c r="N25" s="19" t="inlineStr">
        <is>
          <t>Plasmoids</t>
        </is>
      </c>
      <c r="O25" s="19" t="n">
        <v>480</v>
      </c>
    </row>
    <row r="26">
      <c r="H26" s="15" t="inlineStr">
        <is>
          <t>Reactive Gas</t>
        </is>
      </c>
      <c r="K26" s="21" t="inlineStr">
        <is>
          <t>Integrity Response Drones</t>
        </is>
      </c>
      <c r="L26" s="11" t="inlineStr">
        <is>
          <t>P4</t>
        </is>
      </c>
      <c r="M26" s="18" t="n"/>
      <c r="N26" s="19" t="inlineStr">
        <is>
          <t>Suspended Plasma</t>
        </is>
      </c>
      <c r="O26" s="20" t="n">
        <v>72000</v>
      </c>
    </row>
    <row r="27">
      <c r="H27" s="15" t="inlineStr">
        <is>
          <t>Suspended Plasma</t>
        </is>
      </c>
      <c r="K27" s="21" t="inlineStr">
        <is>
          <t>Nano-Factory</t>
        </is>
      </c>
      <c r="L27" s="11" t="inlineStr">
        <is>
          <t>P4</t>
        </is>
      </c>
      <c r="M27" s="18" t="n"/>
      <c r="N27" s="19" t="inlineStr">
        <is>
          <t>Water</t>
        </is>
      </c>
      <c r="O27" s="19" t="n">
        <v>480</v>
      </c>
    </row>
    <row r="28">
      <c r="K28" s="21" t="inlineStr">
        <is>
          <t>Organic Mortar Applicators</t>
        </is>
      </c>
      <c r="L28" s="11" t="inlineStr">
        <is>
          <t>P4</t>
        </is>
      </c>
      <c r="M28" s="18" t="n"/>
      <c r="N28" s="19" t="inlineStr">
        <is>
          <t>Aqueous Liquids</t>
        </is>
      </c>
      <c r="O28" s="20" t="n">
        <v>72000</v>
      </c>
    </row>
    <row r="29">
      <c r="K29" s="21" t="inlineStr">
        <is>
          <t>Recursive Computing Module</t>
        </is>
      </c>
      <c r="L29" s="11" t="inlineStr">
        <is>
          <t>P4</t>
        </is>
      </c>
      <c r="M29" s="18" t="n"/>
      <c r="N29" s="19" t="inlineStr">
        <is>
          <t>Hazmat Detection Systems</t>
        </is>
      </c>
      <c r="O29" s="19" t="n">
        <v>18</v>
      </c>
    </row>
    <row r="30">
      <c r="K30" s="21" t="inlineStr">
        <is>
          <t>Self-Harmonizing Power Core</t>
        </is>
      </c>
      <c r="L30" s="11" t="inlineStr">
        <is>
          <t>P4</t>
        </is>
      </c>
      <c r="M30" s="18" t="n"/>
      <c r="N30" s="19" t="inlineStr">
        <is>
          <t>Transmitter</t>
        </is>
      </c>
      <c r="O30" s="19" t="n">
        <v>60</v>
      </c>
    </row>
    <row r="31">
      <c r="K31" s="21" t="inlineStr">
        <is>
          <t>Sterile Conduits</t>
        </is>
      </c>
      <c r="L31" s="11" t="inlineStr">
        <is>
          <t>P4</t>
        </is>
      </c>
      <c r="M31" s="18" t="n"/>
      <c r="N31" s="19" t="inlineStr">
        <is>
          <t>Chiral Structures</t>
        </is>
      </c>
      <c r="O31" s="19" t="n">
        <v>480</v>
      </c>
    </row>
    <row r="32">
      <c r="K32" s="21" t="inlineStr">
        <is>
          <t>Wetware Mainframe</t>
        </is>
      </c>
      <c r="L32" s="11" t="inlineStr">
        <is>
          <t>P4</t>
        </is>
      </c>
      <c r="M32" s="18" t="n"/>
      <c r="N32" s="19" t="inlineStr">
        <is>
          <t>Non-CS Crystals</t>
        </is>
      </c>
      <c r="O32" s="20" t="n">
        <v>72000</v>
      </c>
    </row>
    <row r="33">
      <c r="K33" s="22" t="inlineStr">
        <is>
          <t>Biocells</t>
        </is>
      </c>
      <c r="L33" s="11" t="inlineStr">
        <is>
          <t>P2</t>
        </is>
      </c>
      <c r="M33" s="18" t="n"/>
      <c r="N33" s="19" t="inlineStr">
        <is>
          <t>Plasmoids</t>
        </is>
      </c>
      <c r="O33" s="19" t="n">
        <v>480</v>
      </c>
    </row>
    <row r="34">
      <c r="K34" s="22" t="inlineStr">
        <is>
          <t>Construction Blocks</t>
        </is>
      </c>
      <c r="L34" s="11" t="inlineStr">
        <is>
          <t>P2</t>
        </is>
      </c>
      <c r="M34" s="18" t="n"/>
      <c r="N34" s="19" t="inlineStr">
        <is>
          <t>Suspended Plasma</t>
        </is>
      </c>
      <c r="O34" s="20" t="n">
        <v>72000</v>
      </c>
    </row>
    <row r="35">
      <c r="K35" s="22" t="inlineStr">
        <is>
          <t>Consumer Electronics</t>
        </is>
      </c>
      <c r="L35" s="11" t="inlineStr">
        <is>
          <t>P2</t>
        </is>
      </c>
      <c r="M35" s="18" t="n"/>
      <c r="N35" s="19" t="inlineStr">
        <is>
          <t>Polytextiles</t>
        </is>
      </c>
      <c r="O35" s="19" t="n">
        <v>60</v>
      </c>
    </row>
    <row r="36">
      <c r="K36" s="22" t="inlineStr">
        <is>
          <t>Coolant</t>
        </is>
      </c>
      <c r="L36" s="11" t="inlineStr">
        <is>
          <t>P2</t>
        </is>
      </c>
      <c r="M36" s="18" t="n"/>
      <c r="N36" s="19" t="inlineStr">
        <is>
          <t>Biofuels</t>
        </is>
      </c>
      <c r="O36" s="19" t="n">
        <v>480</v>
      </c>
    </row>
    <row r="37">
      <c r="K37" s="22" t="inlineStr">
        <is>
          <t>Enriched Uranium</t>
        </is>
      </c>
      <c r="L37" s="11" t="inlineStr">
        <is>
          <t>P2</t>
        </is>
      </c>
      <c r="M37" s="18" t="n"/>
      <c r="N37" s="19" t="inlineStr">
        <is>
          <t>Carbon Compounds</t>
        </is>
      </c>
      <c r="O37" s="20" t="n">
        <v>72000</v>
      </c>
    </row>
    <row r="38">
      <c r="K38" s="22" t="inlineStr">
        <is>
          <t>Fertilizer</t>
        </is>
      </c>
      <c r="L38" s="11" t="inlineStr">
        <is>
          <t>P2</t>
        </is>
      </c>
      <c r="M38" s="18" t="n"/>
      <c r="N38" s="19" t="inlineStr">
        <is>
          <t>Industrial Fibers</t>
        </is>
      </c>
      <c r="O38" s="19" t="n">
        <v>480</v>
      </c>
    </row>
    <row r="39">
      <c r="K39" s="22" t="inlineStr">
        <is>
          <t>Genetically Enhanced Livestock</t>
        </is>
      </c>
      <c r="L39" s="11" t="inlineStr">
        <is>
          <t>P2</t>
        </is>
      </c>
      <c r="M39" s="18" t="n"/>
      <c r="N39" s="19" t="inlineStr">
        <is>
          <t>Autotrophs</t>
        </is>
      </c>
      <c r="O39" s="20" t="n">
        <v>72000</v>
      </c>
    </row>
    <row r="40">
      <c r="K40" s="22" t="inlineStr">
        <is>
          <t>Livestock</t>
        </is>
      </c>
      <c r="L40" s="11" t="inlineStr">
        <is>
          <t>P2</t>
        </is>
      </c>
      <c r="M40" s="18" t="n"/>
      <c r="N40" s="19" t="inlineStr">
        <is>
          <t>Viral Agent</t>
        </is>
      </c>
      <c r="O40" s="19" t="n">
        <v>60</v>
      </c>
    </row>
    <row r="41">
      <c r="K41" s="22" t="inlineStr">
        <is>
          <t>Mechanical Parts</t>
        </is>
      </c>
      <c r="L41" s="11" t="inlineStr">
        <is>
          <t>P2</t>
        </is>
      </c>
      <c r="M41" s="18" t="n"/>
      <c r="N41" s="19" t="inlineStr">
        <is>
          <t>Bacteria</t>
        </is>
      </c>
      <c r="O41" s="19" t="n">
        <v>480</v>
      </c>
    </row>
    <row r="42">
      <c r="K42" s="22" t="inlineStr">
        <is>
          <t>Microfiber Shielding</t>
        </is>
      </c>
      <c r="L42" s="11" t="inlineStr">
        <is>
          <t>P2</t>
        </is>
      </c>
      <c r="M42" s="18" t="n"/>
      <c r="N42" s="19" t="inlineStr">
        <is>
          <t>Microorganisms</t>
        </is>
      </c>
      <c r="O42" s="20" t="n">
        <v>72000</v>
      </c>
    </row>
    <row r="43">
      <c r="K43" s="22" t="inlineStr">
        <is>
          <t>Miniature Electronics</t>
        </is>
      </c>
      <c r="L43" s="11" t="inlineStr">
        <is>
          <t>P2</t>
        </is>
      </c>
      <c r="M43" s="18" t="n"/>
      <c r="N43" s="19" t="inlineStr">
        <is>
          <t>Biomass</t>
        </is>
      </c>
      <c r="O43" s="19" t="n">
        <v>480</v>
      </c>
    </row>
    <row r="44">
      <c r="K44" s="22" t="inlineStr">
        <is>
          <t>Nanites</t>
        </is>
      </c>
      <c r="L44" s="11" t="inlineStr">
        <is>
          <t>P2</t>
        </is>
      </c>
      <c r="M44" s="18" t="n"/>
      <c r="N44" s="19" t="inlineStr">
        <is>
          <t>Planktic Colonies</t>
        </is>
      </c>
      <c r="O44" s="20" t="n">
        <v>72000</v>
      </c>
    </row>
    <row r="45">
      <c r="K45" s="22" t="inlineStr">
        <is>
          <t>Oxides</t>
        </is>
      </c>
      <c r="L45" s="11" t="inlineStr">
        <is>
          <t>P2</t>
        </is>
      </c>
      <c r="M45" s="18" t="n"/>
      <c r="N45" s="19" t="inlineStr">
        <is>
          <t>Planetary Vehicles</t>
        </is>
      </c>
      <c r="O45" s="19" t="n">
        <v>18</v>
      </c>
    </row>
    <row r="46">
      <c r="K46" s="22" t="inlineStr">
        <is>
          <t>Polyaramids</t>
        </is>
      </c>
      <c r="L46" s="11" t="inlineStr">
        <is>
          <t>P2</t>
        </is>
      </c>
      <c r="M46" s="18" t="n"/>
      <c r="N46" s="19" t="inlineStr">
        <is>
          <t>Supertensile Plastics</t>
        </is>
      </c>
      <c r="O46" s="19" t="n">
        <v>60</v>
      </c>
    </row>
    <row r="47">
      <c r="K47" s="22" t="inlineStr">
        <is>
          <t>Polytextiles</t>
        </is>
      </c>
      <c r="L47" s="11" t="inlineStr">
        <is>
          <t>P2</t>
        </is>
      </c>
      <c r="M47" s="18" t="n"/>
      <c r="N47" s="19" t="inlineStr">
        <is>
          <t>Oxygen</t>
        </is>
      </c>
      <c r="O47" s="19" t="n">
        <v>480</v>
      </c>
    </row>
    <row r="48">
      <c r="K48" s="22" t="inlineStr">
        <is>
          <t>Rocket Fuel</t>
        </is>
      </c>
      <c r="L48" s="11" t="inlineStr">
        <is>
          <t>P2</t>
        </is>
      </c>
      <c r="M48" s="18" t="n"/>
      <c r="N48" s="19" t="inlineStr">
        <is>
          <t>Noble Gas</t>
        </is>
      </c>
      <c r="O48" s="20" t="n">
        <v>72000</v>
      </c>
    </row>
    <row r="49">
      <c r="K49" s="22" t="inlineStr">
        <is>
          <t>Silicate Glass</t>
        </is>
      </c>
      <c r="L49" s="11" t="inlineStr">
        <is>
          <t>P2</t>
        </is>
      </c>
      <c r="M49" s="18" t="n"/>
      <c r="N49" s="19" t="inlineStr">
        <is>
          <t>Biomass</t>
        </is>
      </c>
      <c r="O49" s="19" t="n">
        <v>480</v>
      </c>
    </row>
    <row r="50">
      <c r="K50" s="22" t="inlineStr">
        <is>
          <t>Superconductors</t>
        </is>
      </c>
      <c r="L50" s="11" t="inlineStr">
        <is>
          <t>P2</t>
        </is>
      </c>
      <c r="M50" s="18" t="n"/>
      <c r="N50" s="19" t="inlineStr">
        <is>
          <t>Planktic Colonies</t>
        </is>
      </c>
      <c r="O50" s="20" t="n">
        <v>72000</v>
      </c>
    </row>
    <row r="51">
      <c r="K51" s="22" t="inlineStr">
        <is>
          <t>Supertensile Plastics</t>
        </is>
      </c>
      <c r="L51" s="11" t="inlineStr">
        <is>
          <t>P2</t>
        </is>
      </c>
      <c r="M51" s="18" t="n"/>
      <c r="N51" s="19" t="inlineStr">
        <is>
          <t>Mechanical Parts</t>
        </is>
      </c>
      <c r="O51" s="19" t="n">
        <v>60</v>
      </c>
    </row>
    <row r="52">
      <c r="K52" s="22" t="inlineStr">
        <is>
          <t>Synthetic Oil</t>
        </is>
      </c>
      <c r="L52" s="11" t="inlineStr">
        <is>
          <t>P2</t>
        </is>
      </c>
      <c r="M52" s="18" t="n"/>
      <c r="N52" s="19" t="inlineStr">
        <is>
          <t>Reactive Metals</t>
        </is>
      </c>
      <c r="O52" s="19" t="n">
        <v>480</v>
      </c>
    </row>
    <row r="53">
      <c r="K53" s="22" t="inlineStr">
        <is>
          <t>Test Cultures</t>
        </is>
      </c>
      <c r="L53" s="11" t="inlineStr">
        <is>
          <t>P2</t>
        </is>
      </c>
      <c r="M53" s="18" t="n"/>
      <c r="N53" s="19" t="inlineStr">
        <is>
          <t>Base Metals</t>
        </is>
      </c>
      <c r="O53" s="20" t="n">
        <v>72000</v>
      </c>
    </row>
    <row r="54">
      <c r="K54" s="22" t="inlineStr">
        <is>
          <t>Transmitter</t>
        </is>
      </c>
      <c r="L54" s="11" t="inlineStr">
        <is>
          <t>P2</t>
        </is>
      </c>
      <c r="M54" s="18" t="n"/>
      <c r="N54" s="19" t="inlineStr">
        <is>
          <t>Precious Metals</t>
        </is>
      </c>
      <c r="O54" s="19" t="n">
        <v>480</v>
      </c>
    </row>
    <row r="55">
      <c r="K55" s="22" t="inlineStr">
        <is>
          <t>Viral Agent</t>
        </is>
      </c>
      <c r="L55" s="11" t="inlineStr">
        <is>
          <t>P2</t>
        </is>
      </c>
      <c r="M55" s="18" t="n"/>
      <c r="N55" s="19" t="inlineStr">
        <is>
          <t>Noble Metals</t>
        </is>
      </c>
      <c r="O55" s="20" t="n">
        <v>72000</v>
      </c>
    </row>
    <row r="56">
      <c r="K56" s="22" t="inlineStr">
        <is>
          <t>Water-Cooled CPU</t>
        </is>
      </c>
      <c r="L56" s="11" t="inlineStr">
        <is>
          <t>P2</t>
        </is>
      </c>
      <c r="M56" s="18" t="n"/>
      <c r="N56" s="19" t="inlineStr">
        <is>
          <t>Miniature Electronics</t>
        </is>
      </c>
      <c r="O56" s="19" t="n">
        <v>60</v>
      </c>
    </row>
    <row r="57">
      <c r="K57" s="23" t="inlineStr">
        <is>
          <t>Bacteria</t>
        </is>
      </c>
      <c r="L57" s="11" t="inlineStr">
        <is>
          <t>P1</t>
        </is>
      </c>
      <c r="M57" s="18" t="n"/>
      <c r="N57" s="19" t="inlineStr">
        <is>
          <t>Chiral Structures</t>
        </is>
      </c>
      <c r="O57" s="19" t="n">
        <v>480</v>
      </c>
    </row>
    <row r="58">
      <c r="K58" s="23" t="inlineStr">
        <is>
          <t>Biofuels</t>
        </is>
      </c>
      <c r="L58" s="11" t="inlineStr">
        <is>
          <t>P1</t>
        </is>
      </c>
      <c r="M58" s="18" t="n"/>
      <c r="N58" s="19" t="inlineStr">
        <is>
          <t>Non-CS Crystals</t>
        </is>
      </c>
      <c r="O58" s="20" t="n">
        <v>72000</v>
      </c>
    </row>
    <row r="59">
      <c r="K59" s="23" t="inlineStr">
        <is>
          <t>Biomass</t>
        </is>
      </c>
      <c r="L59" s="11" t="inlineStr">
        <is>
          <t>P1</t>
        </is>
      </c>
      <c r="M59" s="18" t="n"/>
      <c r="N59" s="19" t="inlineStr">
        <is>
          <t>Silicon</t>
        </is>
      </c>
      <c r="O59" s="19" t="n">
        <v>480</v>
      </c>
    </row>
    <row r="60">
      <c r="K60" s="23" t="inlineStr">
        <is>
          <t>Chiral Structures</t>
        </is>
      </c>
      <c r="L60" s="11" t="inlineStr">
        <is>
          <t>P1</t>
        </is>
      </c>
      <c r="M60" s="18" t="n"/>
      <c r="N60" s="19" t="inlineStr">
        <is>
          <t>Felsic Magma</t>
        </is>
      </c>
      <c r="O60" s="20" t="n">
        <v>72000</v>
      </c>
    </row>
    <row r="61">
      <c r="K61" s="23" t="inlineStr">
        <is>
          <t>Electrolytes</t>
        </is>
      </c>
      <c r="L61" s="11" t="inlineStr">
        <is>
          <t>P1</t>
        </is>
      </c>
      <c r="M61" s="13" t="n"/>
      <c r="N61" s="10" t="inlineStr">
        <is>
          <t>Nano-Factory</t>
        </is>
      </c>
      <c r="O61" s="10" t="n">
        <v>5</v>
      </c>
    </row>
    <row r="62">
      <c r="K62" s="23" t="inlineStr">
        <is>
          <t>Industrial Fibers</t>
        </is>
      </c>
      <c r="L62" s="11" t="inlineStr">
        <is>
          <t>P1</t>
        </is>
      </c>
      <c r="M62" s="18" t="n"/>
      <c r="N62" s="19" t="inlineStr">
        <is>
          <t>Industrial Explosives</t>
        </is>
      </c>
      <c r="O62" s="19" t="n">
        <v>30</v>
      </c>
    </row>
    <row r="63">
      <c r="K63" s="23" t="inlineStr">
        <is>
          <t>Oxidizing Compound</t>
        </is>
      </c>
      <c r="L63" s="11" t="inlineStr">
        <is>
          <t>P1</t>
        </is>
      </c>
      <c r="M63" s="18" t="n"/>
      <c r="N63" s="19" t="inlineStr">
        <is>
          <t>Fertilizer</t>
        </is>
      </c>
      <c r="O63" s="19" t="n">
        <v>100</v>
      </c>
    </row>
    <row r="64">
      <c r="K64" s="23" t="inlineStr">
        <is>
          <t>Oxygen</t>
        </is>
      </c>
      <c r="L64" s="11" t="inlineStr">
        <is>
          <t>P1</t>
        </is>
      </c>
      <c r="M64" s="18" t="n"/>
      <c r="N64" s="19" t="inlineStr">
        <is>
          <t>Bacteria</t>
        </is>
      </c>
      <c r="O64" s="19" t="n">
        <v>800</v>
      </c>
    </row>
    <row r="65">
      <c r="K65" s="23" t="inlineStr">
        <is>
          <t>Plasmoids</t>
        </is>
      </c>
      <c r="L65" s="11" t="inlineStr">
        <is>
          <t>P1</t>
        </is>
      </c>
      <c r="M65" s="18" t="n"/>
      <c r="N65" s="19" t="inlineStr">
        <is>
          <t>Microorganisms</t>
        </is>
      </c>
      <c r="O65" s="20" t="n">
        <v>120000</v>
      </c>
    </row>
    <row r="66">
      <c r="K66" s="23" t="inlineStr">
        <is>
          <t>Precious Metals</t>
        </is>
      </c>
      <c r="L66" s="11" t="inlineStr">
        <is>
          <t>P1</t>
        </is>
      </c>
      <c r="M66" s="18" t="n"/>
      <c r="N66" s="19" t="inlineStr">
        <is>
          <t>Proteins</t>
        </is>
      </c>
      <c r="O66" s="19" t="n">
        <v>800</v>
      </c>
    </row>
    <row r="67">
      <c r="K67" s="23" t="inlineStr">
        <is>
          <t>Proteins</t>
        </is>
      </c>
      <c r="L67" s="11" t="inlineStr">
        <is>
          <t>P1</t>
        </is>
      </c>
      <c r="M67" s="18" t="n"/>
      <c r="N67" s="19" t="inlineStr">
        <is>
          <t>Complex Organisms</t>
        </is>
      </c>
      <c r="O67" s="20" t="n">
        <v>120000</v>
      </c>
    </row>
    <row r="68">
      <c r="K68" s="23" t="inlineStr">
        <is>
          <t>Reactive Metals</t>
        </is>
      </c>
      <c r="L68" s="11" t="inlineStr">
        <is>
          <t>P1</t>
        </is>
      </c>
      <c r="M68" s="18" t="n"/>
      <c r="N68" s="19" t="inlineStr">
        <is>
          <t>Polytextiles</t>
        </is>
      </c>
      <c r="O68" s="19" t="n">
        <v>100</v>
      </c>
    </row>
    <row r="69">
      <c r="K69" s="23" t="inlineStr">
        <is>
          <t>Silicon</t>
        </is>
      </c>
      <c r="L69" s="11" t="inlineStr">
        <is>
          <t>P1</t>
        </is>
      </c>
      <c r="M69" s="18" t="n"/>
      <c r="N69" s="19" t="inlineStr">
        <is>
          <t>Biofuels</t>
        </is>
      </c>
      <c r="O69" s="19" t="n">
        <v>800</v>
      </c>
    </row>
    <row r="70">
      <c r="K70" s="23" t="inlineStr">
        <is>
          <t>Toxic Metals</t>
        </is>
      </c>
      <c r="L70" s="11" t="inlineStr">
        <is>
          <t>P1</t>
        </is>
      </c>
      <c r="M70" s="18" t="n"/>
      <c r="N70" s="19" t="inlineStr">
        <is>
          <t>Carbon Compounds</t>
        </is>
      </c>
      <c r="O70" s="20" t="n">
        <v>120000</v>
      </c>
    </row>
    <row r="71">
      <c r="K71" s="23" t="inlineStr">
        <is>
          <t>Water</t>
        </is>
      </c>
      <c r="L71" s="11" t="inlineStr">
        <is>
          <t>P1</t>
        </is>
      </c>
      <c r="M71" s="18" t="n"/>
      <c r="N71" s="19" t="inlineStr">
        <is>
          <t>Industrial Fibers</t>
        </is>
      </c>
      <c r="O71" s="19" t="n">
        <v>800</v>
      </c>
    </row>
    <row r="72">
      <c r="K72" s="9" t="inlineStr">
        <is>
          <t>Tritanium</t>
        </is>
      </c>
      <c r="L72" s="11" t="inlineStr">
        <is>
          <t>Mineral</t>
        </is>
      </c>
      <c r="M72" s="18" t="n"/>
      <c r="N72" s="19" t="inlineStr">
        <is>
          <t>Autotrophs</t>
        </is>
      </c>
      <c r="O72" s="20" t="n">
        <v>120000</v>
      </c>
    </row>
    <row r="73">
      <c r="K73" s="9" t="inlineStr">
        <is>
          <t>Pyerite</t>
        </is>
      </c>
      <c r="L73" s="11" t="inlineStr">
        <is>
          <t>Mineral</t>
        </is>
      </c>
      <c r="M73" s="18" t="n"/>
      <c r="N73" s="19" t="inlineStr">
        <is>
          <t>Ukomi Superconductors</t>
        </is>
      </c>
      <c r="O73" s="19" t="n">
        <v>30</v>
      </c>
    </row>
    <row r="74">
      <c r="K74" s="9" t="inlineStr">
        <is>
          <t>Mexallon</t>
        </is>
      </c>
      <c r="L74" s="11" t="inlineStr">
        <is>
          <t>Mineral</t>
        </is>
      </c>
      <c r="M74" s="18" t="n"/>
      <c r="N74" s="19" t="inlineStr">
        <is>
          <t>Synthetic Oil</t>
        </is>
      </c>
      <c r="O74" s="19" t="n">
        <v>100</v>
      </c>
    </row>
    <row r="75">
      <c r="K75" s="9" t="inlineStr">
        <is>
          <t>Isogen</t>
        </is>
      </c>
      <c r="L75" s="11" t="inlineStr">
        <is>
          <t>Mineral</t>
        </is>
      </c>
      <c r="M75" s="18" t="n"/>
      <c r="N75" s="19" t="inlineStr">
        <is>
          <t>Oxygen</t>
        </is>
      </c>
      <c r="O75" s="19" t="n">
        <v>800</v>
      </c>
    </row>
    <row r="76">
      <c r="K76" s="9" t="inlineStr">
        <is>
          <t>Nocxium</t>
        </is>
      </c>
      <c r="L76" s="11" t="inlineStr">
        <is>
          <t>Mineral</t>
        </is>
      </c>
      <c r="M76" s="18" t="n"/>
      <c r="N76" s="19" t="inlineStr">
        <is>
          <t>Noble Gas</t>
        </is>
      </c>
      <c r="O76" s="20" t="n">
        <v>120000</v>
      </c>
    </row>
    <row r="77">
      <c r="K77" s="9" t="inlineStr">
        <is>
          <t>Zydrine</t>
        </is>
      </c>
      <c r="L77" s="11" t="inlineStr">
        <is>
          <t>Mineral</t>
        </is>
      </c>
      <c r="M77" s="18" t="n"/>
      <c r="N77" s="19" t="inlineStr">
        <is>
          <t>Electrolytes</t>
        </is>
      </c>
      <c r="O77" s="19" t="n">
        <v>800</v>
      </c>
    </row>
    <row r="78">
      <c r="K78" s="9" t="inlineStr">
        <is>
          <t>Megacyte</t>
        </is>
      </c>
      <c r="L78" s="11" t="inlineStr">
        <is>
          <t>Mineral</t>
        </is>
      </c>
      <c r="M78" s="18" t="n"/>
      <c r="N78" s="19" t="inlineStr">
        <is>
          <t>Ionic Solutions</t>
        </is>
      </c>
      <c r="O78" s="20" t="n">
        <v>120000</v>
      </c>
    </row>
    <row r="79">
      <c r="K79" s="15" t="inlineStr">
        <is>
          <t>Structure Docking Bay</t>
        </is>
      </c>
      <c r="L79" s="15" t="inlineStr">
        <is>
          <t>Space station structure</t>
        </is>
      </c>
      <c r="M79" s="18" t="n"/>
      <c r="N79" s="19" t="inlineStr">
        <is>
          <t>Superconductors</t>
        </is>
      </c>
      <c r="O79" s="19" t="n">
        <v>100</v>
      </c>
    </row>
    <row r="80">
      <c r="K80" s="15" t="inlineStr">
        <is>
          <t>Structure Hangar Array</t>
        </is>
      </c>
      <c r="L80" s="15" t="inlineStr">
        <is>
          <t>Space station structure</t>
        </is>
      </c>
      <c r="M80" s="18" t="n"/>
      <c r="N80" s="19" t="inlineStr">
        <is>
          <t>Plasmoids</t>
        </is>
      </c>
      <c r="O80" s="19" t="n">
        <v>800</v>
      </c>
    </row>
    <row r="81">
      <c r="K81" s="15" t="inlineStr">
        <is>
          <t>Structure Market Network</t>
        </is>
      </c>
      <c r="L81" s="15" t="inlineStr">
        <is>
          <t>Space station structure</t>
        </is>
      </c>
      <c r="M81" s="18" t="n"/>
      <c r="N81" s="19" t="inlineStr">
        <is>
          <t>Suspended Plasma</t>
        </is>
      </c>
      <c r="O81" s="20" t="n">
        <v>120000</v>
      </c>
    </row>
    <row r="82">
      <c r="K82" s="15" t="inlineStr">
        <is>
          <t>Structure Medical Center</t>
        </is>
      </c>
      <c r="L82" s="15" t="inlineStr">
        <is>
          <t>Space station structure</t>
        </is>
      </c>
      <c r="M82" s="18" t="n"/>
      <c r="N82" s="19" t="inlineStr">
        <is>
          <t>Water</t>
        </is>
      </c>
      <c r="O82" s="19" t="n">
        <v>800</v>
      </c>
    </row>
    <row r="83">
      <c r="K83" s="15" t="inlineStr">
        <is>
          <t>Structure Office Center</t>
        </is>
      </c>
      <c r="L83" s="15" t="inlineStr">
        <is>
          <t>Space station structure</t>
        </is>
      </c>
      <c r="M83" s="18" t="n"/>
      <c r="N83" s="19" t="inlineStr">
        <is>
          <t>Aqueous Liquids</t>
        </is>
      </c>
      <c r="O83" s="20" t="n">
        <v>120000</v>
      </c>
    </row>
    <row r="84">
      <c r="K84" s="15" t="inlineStr">
        <is>
          <t>Structure Repair Facility</t>
        </is>
      </c>
      <c r="L84" s="15" t="inlineStr">
        <is>
          <t>Space station structure</t>
        </is>
      </c>
      <c r="M84" s="18" t="n"/>
      <c r="N84" s="19" t="inlineStr">
        <is>
          <t>Reactive Metals</t>
        </is>
      </c>
      <c r="O84" s="19" t="n">
        <v>200</v>
      </c>
    </row>
    <row r="85">
      <c r="K85" s="15" t="inlineStr">
        <is>
          <t>Structure Storage Bay</t>
        </is>
      </c>
      <c r="L85" s="15" t="inlineStr">
        <is>
          <t>Space station structure</t>
        </is>
      </c>
      <c r="M85" s="18" t="n"/>
      <c r="N85" s="19" t="inlineStr">
        <is>
          <t>Base Metals</t>
        </is>
      </c>
      <c r="O85" s="20" t="n">
        <v>30000</v>
      </c>
    </row>
    <row r="86">
      <c r="K86" s="15" t="inlineStr">
        <is>
          <t>Structure Construction Parts</t>
        </is>
      </c>
      <c r="L86" s="15" t="inlineStr">
        <is>
          <t>Space station structure</t>
        </is>
      </c>
      <c r="M86" s="13" t="n"/>
      <c r="N86" s="10" t="inlineStr">
        <is>
          <t>Organic Mortar Applicators</t>
        </is>
      </c>
      <c r="O86" s="10" t="n">
        <v>5</v>
      </c>
    </row>
    <row r="87">
      <c r="M87" s="18" t="n"/>
      <c r="N87" s="19" t="inlineStr">
        <is>
          <t>Condensates</t>
        </is>
      </c>
      <c r="O87" s="19" t="n">
        <v>30</v>
      </c>
    </row>
    <row r="88">
      <c r="M88" s="18" t="n"/>
      <c r="N88" s="19" t="inlineStr">
        <is>
          <t>Coolant</t>
        </is>
      </c>
      <c r="O88" s="19" t="n">
        <v>100</v>
      </c>
    </row>
    <row r="89">
      <c r="M89" s="18" t="n"/>
      <c r="N89" s="19" t="inlineStr">
        <is>
          <t>Water</t>
        </is>
      </c>
      <c r="O89" s="19" t="n">
        <v>800</v>
      </c>
    </row>
    <row r="90">
      <c r="M90" s="18" t="n"/>
      <c r="N90" s="19" t="inlineStr">
        <is>
          <t>Aqueous Liquids</t>
        </is>
      </c>
      <c r="O90" s="20" t="n">
        <v>120000</v>
      </c>
    </row>
    <row r="91">
      <c r="M91" s="18" t="n"/>
      <c r="N91" s="19" t="inlineStr">
        <is>
          <t>Electrolytes</t>
        </is>
      </c>
      <c r="O91" s="19" t="n">
        <v>800</v>
      </c>
    </row>
    <row r="92">
      <c r="M92" s="18" t="n"/>
      <c r="N92" s="19" t="inlineStr">
        <is>
          <t>Ionic Solutions</t>
        </is>
      </c>
      <c r="O92" s="20" t="n">
        <v>120000</v>
      </c>
    </row>
    <row r="93">
      <c r="M93" s="18" t="n"/>
      <c r="N93" s="19" t="inlineStr">
        <is>
          <t>Oxides</t>
        </is>
      </c>
      <c r="O93" s="19" t="n">
        <v>100</v>
      </c>
    </row>
    <row r="94">
      <c r="M94" s="18" t="n"/>
      <c r="N94" s="19" t="inlineStr">
        <is>
          <t>Oxidizing Compound</t>
        </is>
      </c>
      <c r="O94" s="19" t="n">
        <v>800</v>
      </c>
    </row>
    <row r="95">
      <c r="M95" s="18" t="n"/>
      <c r="N95" s="19" t="inlineStr">
        <is>
          <t>Reactive Gas</t>
        </is>
      </c>
      <c r="O95" s="20" t="n">
        <v>120000</v>
      </c>
    </row>
    <row r="96">
      <c r="M96" s="18" t="n"/>
      <c r="N96" s="19" t="inlineStr">
        <is>
          <t>Oxygen</t>
        </is>
      </c>
      <c r="O96" s="19" t="n">
        <v>800</v>
      </c>
    </row>
    <row r="97">
      <c r="M97" s="18" t="n"/>
      <c r="N97" s="19" t="inlineStr">
        <is>
          <t>Noble Gas</t>
        </is>
      </c>
      <c r="O97" s="20" t="n">
        <v>120000</v>
      </c>
    </row>
    <row r="98">
      <c r="M98" s="18" t="n"/>
      <c r="N98" s="19" t="inlineStr">
        <is>
          <t>Bacteria</t>
        </is>
      </c>
      <c r="O98" s="19" t="n">
        <v>200</v>
      </c>
    </row>
    <row r="99">
      <c r="M99" s="18" t="n"/>
      <c r="N99" s="19" t="inlineStr">
        <is>
          <t>Microorganisms</t>
        </is>
      </c>
      <c r="O99" s="20" t="n">
        <v>30000</v>
      </c>
    </row>
    <row r="100">
      <c r="M100" s="18" t="n"/>
      <c r="N100" s="19" t="inlineStr">
        <is>
          <t>Robotics</t>
        </is>
      </c>
      <c r="O100" s="19" t="n">
        <v>30</v>
      </c>
    </row>
    <row r="101">
      <c r="M101" s="18" t="n"/>
      <c r="N101" s="19" t="inlineStr">
        <is>
          <t>Mechanical Parts</t>
        </is>
      </c>
      <c r="O101" s="19" t="n">
        <v>100</v>
      </c>
    </row>
    <row r="102">
      <c r="M102" s="18" t="n"/>
      <c r="N102" s="19" t="inlineStr">
        <is>
          <t>Reactive Metals</t>
        </is>
      </c>
      <c r="O102" s="19" t="n">
        <v>800</v>
      </c>
    </row>
    <row r="103">
      <c r="M103" s="18" t="n"/>
      <c r="N103" s="19" t="inlineStr">
        <is>
          <t>Base Metals</t>
        </is>
      </c>
      <c r="O103" s="20" t="n">
        <v>120000</v>
      </c>
    </row>
    <row r="104">
      <c r="M104" s="18" t="n"/>
      <c r="N104" s="19" t="inlineStr">
        <is>
          <t>Precious Metals</t>
        </is>
      </c>
      <c r="O104" s="19" t="n">
        <v>800</v>
      </c>
    </row>
    <row r="105">
      <c r="M105" s="18" t="n"/>
      <c r="N105" s="19" t="inlineStr">
        <is>
          <t>Noble Metals</t>
        </is>
      </c>
      <c r="O105" s="20" t="n">
        <v>120000</v>
      </c>
    </row>
    <row r="106">
      <c r="M106" s="18" t="n"/>
      <c r="N106" s="19" t="inlineStr">
        <is>
          <t>Consumer Electronics</t>
        </is>
      </c>
      <c r="O106" s="19" t="n">
        <v>100</v>
      </c>
    </row>
    <row r="107">
      <c r="M107" s="18" t="n"/>
      <c r="N107" s="19" t="inlineStr">
        <is>
          <t>Toxic Metals</t>
        </is>
      </c>
      <c r="O107" s="19" t="n">
        <v>800</v>
      </c>
    </row>
    <row r="108">
      <c r="M108" s="18" t="n"/>
      <c r="N108" s="19" t="inlineStr">
        <is>
          <t>Heavy Metals</t>
        </is>
      </c>
      <c r="O108" s="20" t="n">
        <v>120000</v>
      </c>
    </row>
    <row r="109">
      <c r="M109" s="18" t="n"/>
      <c r="N109" s="19" t="inlineStr">
        <is>
          <t>Chiral Structures</t>
        </is>
      </c>
      <c r="O109" s="19" t="n">
        <v>800</v>
      </c>
    </row>
    <row r="110">
      <c r="M110" s="18" t="n"/>
      <c r="N110" s="19" t="inlineStr">
        <is>
          <t>Non-CS Crystals</t>
        </is>
      </c>
      <c r="O110" s="20" t="n">
        <v>120000</v>
      </c>
    </row>
    <row r="111">
      <c r="M111" s="13" t="n"/>
      <c r="N111" s="10" t="inlineStr">
        <is>
          <t>Recursive Computing Module</t>
        </is>
      </c>
      <c r="O111" s="10" t="n">
        <v>3</v>
      </c>
    </row>
    <row r="112">
      <c r="M112" s="18" t="n"/>
      <c r="N112" s="19" t="inlineStr">
        <is>
          <t>Synthetic Synapses</t>
        </is>
      </c>
      <c r="O112" s="19" t="n">
        <v>18</v>
      </c>
    </row>
    <row r="113">
      <c r="M113" s="18" t="n"/>
      <c r="N113" s="19" t="inlineStr">
        <is>
          <t>Supertensile Plastics</t>
        </is>
      </c>
      <c r="O113" s="19" t="n">
        <v>60</v>
      </c>
    </row>
    <row r="114">
      <c r="M114" s="18" t="n"/>
      <c r="N114" s="19" t="inlineStr">
        <is>
          <t>Oxygen</t>
        </is>
      </c>
      <c r="O114" s="19" t="n">
        <v>480</v>
      </c>
    </row>
    <row r="115">
      <c r="M115" s="18" t="n"/>
      <c r="N115" s="19" t="inlineStr">
        <is>
          <t>Noble Gas</t>
        </is>
      </c>
      <c r="O115" s="20" t="n">
        <v>72000</v>
      </c>
    </row>
    <row r="116">
      <c r="M116" s="18" t="n"/>
      <c r="N116" s="19" t="inlineStr">
        <is>
          <t>Biomass</t>
        </is>
      </c>
      <c r="O116" s="19" t="n">
        <v>480</v>
      </c>
    </row>
    <row r="117">
      <c r="M117" s="18" t="n"/>
      <c r="N117" s="19" t="inlineStr">
        <is>
          <t>Planktic Colonies</t>
        </is>
      </c>
      <c r="O117" s="20" t="n">
        <v>72000</v>
      </c>
    </row>
    <row r="118">
      <c r="M118" s="18" t="n"/>
      <c r="N118" s="19" t="inlineStr">
        <is>
          <t>Test Cultures</t>
        </is>
      </c>
      <c r="O118" s="19" t="n">
        <v>60</v>
      </c>
    </row>
    <row r="119">
      <c r="M119" s="18" t="n"/>
      <c r="N119" s="19" t="inlineStr">
        <is>
          <t>Bacteria</t>
        </is>
      </c>
      <c r="O119" s="19" t="n">
        <v>480</v>
      </c>
    </row>
    <row r="120">
      <c r="M120" s="18" t="n"/>
      <c r="N120" s="19" t="inlineStr">
        <is>
          <t>Microorganisms</t>
        </is>
      </c>
      <c r="O120" s="20" t="n">
        <v>72000</v>
      </c>
    </row>
    <row r="121">
      <c r="M121" s="18" t="n"/>
      <c r="N121" s="19" t="inlineStr">
        <is>
          <t>Water</t>
        </is>
      </c>
      <c r="O121" s="19" t="n">
        <v>480</v>
      </c>
    </row>
    <row r="122">
      <c r="M122" s="18" t="n"/>
      <c r="N122" s="19" t="inlineStr">
        <is>
          <t>Aqueous Liquids</t>
        </is>
      </c>
      <c r="O122" s="20" t="n">
        <v>72000</v>
      </c>
    </row>
    <row r="123">
      <c r="M123" s="18" t="n"/>
      <c r="N123" s="19" t="inlineStr">
        <is>
          <t>Transcranial Microcontrollers</t>
        </is>
      </c>
      <c r="O123" s="19" t="n">
        <v>18</v>
      </c>
    </row>
    <row r="124">
      <c r="M124" s="18" t="n"/>
      <c r="N124" s="19" t="inlineStr">
        <is>
          <t>Biocells</t>
        </is>
      </c>
      <c r="O124" s="19" t="n">
        <v>60</v>
      </c>
    </row>
    <row r="125">
      <c r="M125" s="18" t="n"/>
      <c r="N125" s="19" t="inlineStr">
        <is>
          <t>Biofuels</t>
        </is>
      </c>
      <c r="O125" s="19" t="n">
        <v>480</v>
      </c>
    </row>
    <row r="126">
      <c r="M126" s="18" t="n"/>
      <c r="N126" s="19" t="inlineStr">
        <is>
          <t>Carbon Compounds</t>
        </is>
      </c>
      <c r="O126" s="20" t="n">
        <v>72000</v>
      </c>
    </row>
    <row r="127">
      <c r="M127" s="18" t="n"/>
      <c r="N127" s="19" t="inlineStr">
        <is>
          <t>Precious Metals</t>
        </is>
      </c>
      <c r="O127" s="19" t="n">
        <v>480</v>
      </c>
    </row>
    <row r="128">
      <c r="M128" s="18" t="n"/>
      <c r="N128" s="19" t="inlineStr">
        <is>
          <t>Noble Metals</t>
        </is>
      </c>
      <c r="O128" s="20" t="n">
        <v>72000</v>
      </c>
    </row>
    <row r="129">
      <c r="M129" s="18" t="n"/>
      <c r="N129" s="19" t="inlineStr">
        <is>
          <t>Nanites</t>
        </is>
      </c>
      <c r="O129" s="19" t="n">
        <v>60</v>
      </c>
    </row>
    <row r="130">
      <c r="M130" s="18" t="n"/>
      <c r="N130" s="19" t="inlineStr">
        <is>
          <t>Bacteria</t>
        </is>
      </c>
      <c r="O130" s="19" t="n">
        <v>480</v>
      </c>
    </row>
    <row r="131">
      <c r="M131" s="18" t="n"/>
      <c r="N131" s="19" t="inlineStr">
        <is>
          <t>Microorganisms</t>
        </is>
      </c>
      <c r="O131" s="20" t="n">
        <v>72000</v>
      </c>
    </row>
    <row r="132">
      <c r="M132" s="18" t="n"/>
      <c r="N132" s="19" t="inlineStr">
        <is>
          <t>Reactive Metals</t>
        </is>
      </c>
      <c r="O132" s="19" t="n">
        <v>480</v>
      </c>
    </row>
    <row r="133">
      <c r="M133" s="18" t="n"/>
      <c r="N133" s="19" t="inlineStr">
        <is>
          <t>Base Metals</t>
        </is>
      </c>
      <c r="O133" s="20" t="n">
        <v>72000</v>
      </c>
    </row>
    <row r="134">
      <c r="M134" s="18" t="n"/>
      <c r="N134" s="19" t="inlineStr">
        <is>
          <t>Guidance Systems</t>
        </is>
      </c>
      <c r="O134" s="19" t="n">
        <v>18</v>
      </c>
    </row>
    <row r="135">
      <c r="M135" s="18" t="n"/>
      <c r="N135" s="19" t="inlineStr">
        <is>
          <t>Water-Cooled CPU</t>
        </is>
      </c>
      <c r="O135" s="19" t="n">
        <v>60</v>
      </c>
    </row>
    <row r="136">
      <c r="M136" s="18" t="n"/>
      <c r="N136" s="19" t="inlineStr">
        <is>
          <t>Water</t>
        </is>
      </c>
      <c r="O136" s="19" t="n">
        <v>480</v>
      </c>
    </row>
    <row r="137">
      <c r="M137" s="18" t="n"/>
      <c r="N137" s="19" t="inlineStr">
        <is>
          <t>Aqueous Liquids</t>
        </is>
      </c>
      <c r="O137" s="20" t="n">
        <v>72000</v>
      </c>
    </row>
    <row r="138">
      <c r="M138" s="18" t="n"/>
      <c r="N138" s="19" t="inlineStr">
        <is>
          <t>Reactive Metals</t>
        </is>
      </c>
      <c r="O138" s="19" t="n">
        <v>480</v>
      </c>
    </row>
    <row r="139">
      <c r="M139" s="18" t="n"/>
      <c r="N139" s="19" t="inlineStr">
        <is>
          <t>Base Metals</t>
        </is>
      </c>
      <c r="O139" s="20" t="n">
        <v>72000</v>
      </c>
    </row>
    <row r="140">
      <c r="M140" s="18" t="n"/>
      <c r="N140" s="19" t="inlineStr">
        <is>
          <t>Transmitter</t>
        </is>
      </c>
      <c r="O140" s="19" t="n">
        <v>60</v>
      </c>
    </row>
    <row r="141">
      <c r="M141" s="18" t="n"/>
      <c r="N141" s="19" t="inlineStr">
        <is>
          <t>Chiral Structures</t>
        </is>
      </c>
      <c r="O141" s="19" t="n">
        <v>480</v>
      </c>
    </row>
    <row r="142">
      <c r="M142" s="18" t="n"/>
      <c r="N142" s="19" t="inlineStr">
        <is>
          <t>Non-CS Crystals</t>
        </is>
      </c>
      <c r="O142" s="20" t="n">
        <v>72000</v>
      </c>
    </row>
    <row r="143">
      <c r="M143" s="18" t="n"/>
      <c r="N143" s="19" t="inlineStr">
        <is>
          <t>Plasmoids</t>
        </is>
      </c>
      <c r="O143" s="19" t="n">
        <v>480</v>
      </c>
    </row>
    <row r="144">
      <c r="M144" s="18" t="n"/>
      <c r="N144" s="19" t="inlineStr">
        <is>
          <t>Suspended Plasma</t>
        </is>
      </c>
      <c r="O144" s="20" t="n">
        <v>72000</v>
      </c>
    </row>
    <row r="145">
      <c r="M145" s="13" t="n"/>
      <c r="N145" s="10" t="inlineStr">
        <is>
          <t>Self-Harmonizing Power Core</t>
        </is>
      </c>
      <c r="O145" s="10" t="n">
        <v>3</v>
      </c>
    </row>
    <row r="146">
      <c r="M146" s="18" t="n"/>
      <c r="N146" s="19" t="inlineStr">
        <is>
          <t>Nuclear Reactors</t>
        </is>
      </c>
      <c r="O146" s="19" t="n">
        <v>18</v>
      </c>
    </row>
    <row r="147">
      <c r="M147" s="18" t="n"/>
      <c r="N147" s="19" t="inlineStr">
        <is>
          <t>Enriched Uranium</t>
        </is>
      </c>
      <c r="O147" s="19" t="n">
        <v>60</v>
      </c>
    </row>
    <row r="148">
      <c r="M148" s="18" t="n"/>
      <c r="N148" s="19" t="inlineStr">
        <is>
          <t>Toxic Metals</t>
        </is>
      </c>
      <c r="O148" s="19" t="n">
        <v>480</v>
      </c>
    </row>
    <row r="149">
      <c r="M149" s="18" t="n"/>
      <c r="N149" s="19" t="inlineStr">
        <is>
          <t>Heavy Metals</t>
        </is>
      </c>
      <c r="O149" s="20" t="n">
        <v>72000</v>
      </c>
    </row>
    <row r="150">
      <c r="M150" s="18" t="n"/>
      <c r="N150" s="19" t="inlineStr">
        <is>
          <t>Precious Metals</t>
        </is>
      </c>
      <c r="O150" s="19" t="n">
        <v>480</v>
      </c>
    </row>
    <row r="151">
      <c r="M151" s="18" t="n"/>
      <c r="N151" s="19" t="inlineStr">
        <is>
          <t>Noble Metals</t>
        </is>
      </c>
      <c r="O151" s="20" t="n">
        <v>72000</v>
      </c>
    </row>
    <row r="152">
      <c r="M152" s="18" t="n"/>
      <c r="N152" s="19" t="inlineStr">
        <is>
          <t>Microfiber Shielding</t>
        </is>
      </c>
      <c r="O152" s="19" t="n">
        <v>60</v>
      </c>
    </row>
    <row r="153">
      <c r="M153" s="18" t="n"/>
      <c r="N153" s="19" t="inlineStr">
        <is>
          <t>Silicon</t>
        </is>
      </c>
      <c r="O153" s="19" t="n">
        <v>480</v>
      </c>
    </row>
    <row r="154">
      <c r="M154" s="18" t="n"/>
      <c r="N154" s="19" t="inlineStr">
        <is>
          <t>Felsic Magma</t>
        </is>
      </c>
      <c r="O154" s="20" t="n">
        <v>72000</v>
      </c>
    </row>
    <row r="155">
      <c r="M155" s="18" t="n"/>
      <c r="N155" s="19" t="inlineStr">
        <is>
          <t>Industrial Fibers</t>
        </is>
      </c>
      <c r="O155" s="19" t="n">
        <v>480</v>
      </c>
    </row>
    <row r="156">
      <c r="M156" s="18" t="n"/>
      <c r="N156" s="19" t="inlineStr">
        <is>
          <t>Autotrophs</t>
        </is>
      </c>
      <c r="O156" s="20" t="n">
        <v>72000</v>
      </c>
    </row>
    <row r="157">
      <c r="M157" s="18" t="n"/>
      <c r="N157" s="19" t="inlineStr">
        <is>
          <t>Camera Drones</t>
        </is>
      </c>
      <c r="O157" s="19" t="n">
        <v>18</v>
      </c>
    </row>
    <row r="158">
      <c r="M158" s="18" t="n"/>
      <c r="N158" s="19" t="inlineStr">
        <is>
          <t>Rocket Fuel</t>
        </is>
      </c>
      <c r="O158" s="19" t="n">
        <v>60</v>
      </c>
    </row>
    <row r="159">
      <c r="M159" s="18" t="n"/>
      <c r="N159" s="19" t="inlineStr">
        <is>
          <t>Electrolytes</t>
        </is>
      </c>
      <c r="O159" s="19" t="n">
        <v>480</v>
      </c>
    </row>
    <row r="160">
      <c r="M160" s="18" t="n"/>
      <c r="N160" s="19" t="inlineStr">
        <is>
          <t>Ionic Solutions</t>
        </is>
      </c>
      <c r="O160" s="20" t="n">
        <v>72000</v>
      </c>
    </row>
    <row r="161">
      <c r="M161" s="18" t="n"/>
      <c r="N161" s="19" t="inlineStr">
        <is>
          <t>Plasmoids</t>
        </is>
      </c>
      <c r="O161" s="19" t="n">
        <v>480</v>
      </c>
    </row>
    <row r="162">
      <c r="M162" s="18" t="n"/>
      <c r="N162" s="19" t="inlineStr">
        <is>
          <t>Suspended Plasma</t>
        </is>
      </c>
      <c r="O162" s="20" t="n">
        <v>72000</v>
      </c>
    </row>
    <row r="163">
      <c r="M163" s="18" t="n"/>
      <c r="N163" s="19" t="inlineStr">
        <is>
          <t>Silicate Glass</t>
        </is>
      </c>
      <c r="O163" s="19" t="n">
        <v>60</v>
      </c>
    </row>
    <row r="164">
      <c r="M164" s="18" t="n"/>
      <c r="N164" s="19" t="inlineStr">
        <is>
          <t>Oxidizing Compound</t>
        </is>
      </c>
      <c r="O164" s="19" t="n">
        <v>480</v>
      </c>
    </row>
    <row r="165">
      <c r="M165" s="18" t="n"/>
      <c r="N165" s="19" t="inlineStr">
        <is>
          <t>Reactive Gas</t>
        </is>
      </c>
      <c r="O165" s="20" t="n">
        <v>72000</v>
      </c>
    </row>
    <row r="166">
      <c r="M166" s="18" t="n"/>
      <c r="N166" s="19" t="inlineStr">
        <is>
          <t>Silicon</t>
        </is>
      </c>
      <c r="O166" s="19" t="n">
        <v>480</v>
      </c>
    </row>
    <row r="167">
      <c r="M167" s="18" t="n"/>
      <c r="N167" s="19" t="inlineStr">
        <is>
          <t>Felsic Magma</t>
        </is>
      </c>
      <c r="O167" s="20" t="n">
        <v>72000</v>
      </c>
    </row>
    <row r="168">
      <c r="M168" s="18" t="n"/>
      <c r="N168" s="19" t="inlineStr">
        <is>
          <t>Hermetic Membranes</t>
        </is>
      </c>
      <c r="O168" s="19" t="n">
        <v>18</v>
      </c>
    </row>
    <row r="169">
      <c r="M169" s="18" t="n"/>
      <c r="N169" s="19" t="inlineStr">
        <is>
          <t>Polyaramids</t>
        </is>
      </c>
      <c r="O169" s="19" t="n">
        <v>60</v>
      </c>
    </row>
    <row r="170">
      <c r="M170" s="18" t="n"/>
      <c r="N170" s="19" t="inlineStr">
        <is>
          <t>Oxidizing Compound</t>
        </is>
      </c>
      <c r="O170" s="19" t="n">
        <v>480</v>
      </c>
    </row>
    <row r="171">
      <c r="M171" s="18" t="n"/>
      <c r="N171" s="19" t="inlineStr">
        <is>
          <t>Reactive Gas</t>
        </is>
      </c>
      <c r="O171" s="20" t="n">
        <v>72000</v>
      </c>
    </row>
    <row r="172">
      <c r="M172" s="18" t="n"/>
      <c r="N172" s="19" t="inlineStr">
        <is>
          <t>Industrial Fibers</t>
        </is>
      </c>
      <c r="O172" s="19" t="n">
        <v>480</v>
      </c>
    </row>
    <row r="173">
      <c r="M173" s="18" t="n"/>
      <c r="N173" s="19" t="inlineStr">
        <is>
          <t>Autotrophs</t>
        </is>
      </c>
      <c r="O173" s="20" t="n">
        <v>72000</v>
      </c>
    </row>
    <row r="174">
      <c r="M174" s="18" t="n"/>
      <c r="N174" s="19" t="inlineStr">
        <is>
          <t>Genetically Enhanced Livestock</t>
        </is>
      </c>
      <c r="O174" s="19" t="n">
        <v>60</v>
      </c>
    </row>
    <row r="175">
      <c r="M175" s="18" t="n"/>
      <c r="N175" s="19" t="inlineStr">
        <is>
          <t>Proteins</t>
        </is>
      </c>
      <c r="O175" s="19" t="n">
        <v>480</v>
      </c>
    </row>
    <row r="176">
      <c r="M176" s="18" t="n"/>
      <c r="N176" s="19" t="inlineStr">
        <is>
          <t>Complex Organisms</t>
        </is>
      </c>
      <c r="O176" s="20" t="n">
        <v>72000</v>
      </c>
    </row>
    <row r="177">
      <c r="M177" s="18" t="n"/>
      <c r="N177" s="19" t="inlineStr">
        <is>
          <t>Biomass</t>
        </is>
      </c>
      <c r="O177" s="19" t="n">
        <v>480</v>
      </c>
    </row>
    <row r="178">
      <c r="M178" s="18" t="n"/>
      <c r="N178" s="19" t="inlineStr">
        <is>
          <t>Planktic Colonies</t>
        </is>
      </c>
      <c r="O178" s="20" t="n">
        <v>72000</v>
      </c>
    </row>
    <row r="179">
      <c r="M179" s="13" t="n"/>
      <c r="N179" s="10" t="inlineStr">
        <is>
          <t>Sterile Conduits</t>
        </is>
      </c>
      <c r="O179" s="10" t="n">
        <v>3</v>
      </c>
    </row>
    <row r="180">
      <c r="M180" s="18" t="n"/>
      <c r="N180" s="19" t="inlineStr">
        <is>
          <t>Water</t>
        </is>
      </c>
      <c r="O180" s="19" t="n">
        <v>120</v>
      </c>
    </row>
    <row r="181">
      <c r="M181" s="18" t="n"/>
      <c r="N181" s="19" t="inlineStr">
        <is>
          <t>Aqueous Liquids</t>
        </is>
      </c>
      <c r="O181" s="20" t="n">
        <v>18000</v>
      </c>
    </row>
    <row r="182">
      <c r="M182" s="18" t="n"/>
      <c r="N182" s="19" t="inlineStr">
        <is>
          <t>Vaccines</t>
        </is>
      </c>
      <c r="O182" s="19" t="n">
        <v>18</v>
      </c>
    </row>
    <row r="183">
      <c r="M183" s="18" t="n"/>
      <c r="N183" s="19" t="inlineStr">
        <is>
          <t>Livestock</t>
        </is>
      </c>
      <c r="O183" s="19" t="n">
        <v>60</v>
      </c>
    </row>
    <row r="184">
      <c r="M184" s="18" t="n"/>
      <c r="N184" s="19" t="inlineStr">
        <is>
          <t>Proteins</t>
        </is>
      </c>
      <c r="O184" s="19" t="n">
        <v>480</v>
      </c>
    </row>
    <row r="185">
      <c r="M185" s="18" t="n"/>
      <c r="N185" s="19" t="inlineStr">
        <is>
          <t>Complex Organisms</t>
        </is>
      </c>
      <c r="O185" s="20" t="n">
        <v>72000</v>
      </c>
    </row>
    <row r="186">
      <c r="M186" s="18" t="n"/>
      <c r="N186" s="19" t="inlineStr">
        <is>
          <t>Biofuels</t>
        </is>
      </c>
      <c r="O186" s="19" t="n">
        <v>480</v>
      </c>
    </row>
    <row r="187">
      <c r="M187" s="18" t="n"/>
      <c r="N187" s="19" t="inlineStr">
        <is>
          <t>Carbon Compounds</t>
        </is>
      </c>
      <c r="O187" s="20" t="n">
        <v>72000</v>
      </c>
    </row>
    <row r="188">
      <c r="M188" s="18" t="n"/>
      <c r="N188" s="19" t="inlineStr">
        <is>
          <t>Viral Agent</t>
        </is>
      </c>
      <c r="O188" s="19" t="n">
        <v>60</v>
      </c>
    </row>
    <row r="189">
      <c r="M189" s="18" t="n"/>
      <c r="N189" s="19" t="inlineStr">
        <is>
          <t>Bacteria</t>
        </is>
      </c>
      <c r="O189" s="19" t="n">
        <v>480</v>
      </c>
    </row>
    <row r="190">
      <c r="M190" s="18" t="n"/>
      <c r="N190" s="19" t="inlineStr">
        <is>
          <t>Microorganisms</t>
        </is>
      </c>
      <c r="O190" s="20" t="n">
        <v>72000</v>
      </c>
    </row>
    <row r="191">
      <c r="M191" s="18" t="n"/>
      <c r="N191" s="19" t="inlineStr">
        <is>
          <t>Biomass</t>
        </is>
      </c>
      <c r="O191" s="19" t="n">
        <v>480</v>
      </c>
    </row>
    <row r="192">
      <c r="M192" s="18" t="n"/>
      <c r="N192" s="19" t="inlineStr">
        <is>
          <t>Planktic Colonies</t>
        </is>
      </c>
      <c r="O192" s="20" t="n">
        <v>72000</v>
      </c>
    </row>
    <row r="193">
      <c r="M193" s="18" t="n"/>
      <c r="N193" s="19" t="inlineStr">
        <is>
          <t>Smartfab Units</t>
        </is>
      </c>
      <c r="O193" s="19" t="n">
        <v>18</v>
      </c>
    </row>
    <row r="194">
      <c r="M194" s="18" t="n"/>
      <c r="N194" s="19" t="inlineStr">
        <is>
          <t>Miniature Electronics</t>
        </is>
      </c>
      <c r="O194" s="19" t="n">
        <v>60</v>
      </c>
    </row>
    <row r="195">
      <c r="M195" s="18" t="n"/>
      <c r="N195" s="19" t="inlineStr">
        <is>
          <t>Chiral Structures</t>
        </is>
      </c>
      <c r="O195" s="19" t="n">
        <v>480</v>
      </c>
    </row>
    <row r="196">
      <c r="M196" s="18" t="n"/>
      <c r="N196" s="19" t="inlineStr">
        <is>
          <t>Non-CS Crystals</t>
        </is>
      </c>
      <c r="O196" s="20" t="n">
        <v>72000</v>
      </c>
    </row>
    <row r="197">
      <c r="M197" s="18" t="n"/>
      <c r="N197" s="19" t="inlineStr">
        <is>
          <t>Silicon</t>
        </is>
      </c>
      <c r="O197" s="19" t="n">
        <v>480</v>
      </c>
    </row>
    <row r="198">
      <c r="M198" s="18" t="n"/>
      <c r="N198" s="19" t="inlineStr">
        <is>
          <t>Felsic Magma</t>
        </is>
      </c>
      <c r="O198" s="20" t="n">
        <v>72000</v>
      </c>
    </row>
    <row r="199">
      <c r="M199" s="18" t="n"/>
      <c r="N199" s="19" t="inlineStr">
        <is>
          <t>Construction Blocks</t>
        </is>
      </c>
      <c r="O199" s="19" t="n">
        <v>60</v>
      </c>
    </row>
    <row r="200">
      <c r="M200" s="18" t="n"/>
      <c r="N200" s="19" t="inlineStr">
        <is>
          <t>Toxic Metals</t>
        </is>
      </c>
      <c r="O200" s="19" t="n">
        <v>480</v>
      </c>
    </row>
    <row r="201">
      <c r="M201" s="18" t="n"/>
      <c r="N201" s="19" t="inlineStr">
        <is>
          <t>Heavy Metals</t>
        </is>
      </c>
      <c r="O201" s="20" t="n">
        <v>72000</v>
      </c>
    </row>
    <row r="202">
      <c r="M202" s="18" t="n"/>
      <c r="N202" s="19" t="inlineStr">
        <is>
          <t>Reactive Metals</t>
        </is>
      </c>
      <c r="O202" s="19" t="n">
        <v>480</v>
      </c>
    </row>
    <row r="203">
      <c r="M203" s="18" t="n"/>
      <c r="N203" s="19" t="inlineStr">
        <is>
          <t>Base Metals</t>
        </is>
      </c>
      <c r="O203" s="20" t="n">
        <v>72000</v>
      </c>
    </row>
    <row r="204">
      <c r="M204" s="13" t="n"/>
      <c r="N204" s="10" t="inlineStr">
        <is>
          <t>Structure Hangar Array</t>
        </is>
      </c>
      <c r="O204" s="10" t="n">
        <v>1</v>
      </c>
    </row>
    <row r="205">
      <c r="M205" s="13" t="n"/>
      <c r="N205" s="10" t="inlineStr">
        <is>
          <t>Tritanium</t>
        </is>
      </c>
      <c r="O205" s="17" t="n">
        <v>450000</v>
      </c>
    </row>
    <row r="206">
      <c r="M206" s="13" t="n"/>
      <c r="N206" s="10" t="inlineStr">
        <is>
          <t>Pyerite</t>
        </is>
      </c>
      <c r="O206" s="17" t="n">
        <v>90000</v>
      </c>
    </row>
    <row r="207">
      <c r="M207" s="13" t="n"/>
      <c r="N207" s="10" t="inlineStr">
        <is>
          <t>Mexallon</t>
        </is>
      </c>
      <c r="O207" s="17" t="n">
        <v>31500</v>
      </c>
    </row>
    <row r="208">
      <c r="M208" s="13" t="n"/>
      <c r="N208" s="10" t="inlineStr">
        <is>
          <t>Isogen</t>
        </is>
      </c>
      <c r="O208" s="17" t="n">
        <v>3600</v>
      </c>
    </row>
    <row r="209">
      <c r="M209" s="13" t="n"/>
      <c r="N209" s="10" t="inlineStr">
        <is>
          <t>Nocxium</t>
        </is>
      </c>
      <c r="O209" s="10" t="n">
        <v>675</v>
      </c>
    </row>
    <row r="210">
      <c r="M210" s="13" t="n"/>
      <c r="N210" s="10" t="inlineStr">
        <is>
          <t>Zydrine</t>
        </is>
      </c>
      <c r="O210" s="10" t="n">
        <v>315</v>
      </c>
    </row>
    <row r="211">
      <c r="M211" s="13" t="n"/>
      <c r="N211" s="10" t="inlineStr">
        <is>
          <t>Megacyte</t>
        </is>
      </c>
      <c r="O211" s="10" t="n">
        <v>135</v>
      </c>
    </row>
    <row r="212">
      <c r="M212" s="13" t="n"/>
      <c r="N212" s="10" t="inlineStr">
        <is>
          <t>Broadcast Node</t>
        </is>
      </c>
      <c r="O212" s="10" t="n">
        <v>3</v>
      </c>
    </row>
    <row r="213">
      <c r="M213" s="18" t="n"/>
      <c r="N213" s="19" t="inlineStr">
        <is>
          <t>Data Chips</t>
        </is>
      </c>
      <c r="O213" s="19" t="n">
        <v>18</v>
      </c>
    </row>
    <row r="214">
      <c r="M214" s="18" t="n"/>
      <c r="N214" s="19" t="inlineStr">
        <is>
          <t>Supertensile Plastics</t>
        </is>
      </c>
      <c r="O214" s="19" t="n">
        <v>60</v>
      </c>
    </row>
    <row r="215">
      <c r="M215" s="18" t="n"/>
      <c r="N215" s="19" t="inlineStr">
        <is>
          <t>Oxygen</t>
        </is>
      </c>
      <c r="O215" s="19" t="n">
        <v>480</v>
      </c>
    </row>
    <row r="216">
      <c r="M216" s="18" t="n"/>
      <c r="N216" s="19" t="inlineStr">
        <is>
          <t>Noble Gas</t>
        </is>
      </c>
      <c r="O216" s="20" t="n">
        <v>72000</v>
      </c>
    </row>
    <row r="217">
      <c r="M217" s="18" t="n"/>
      <c r="N217" s="19" t="inlineStr">
        <is>
          <t>Biomass</t>
        </is>
      </c>
      <c r="O217" s="19" t="n">
        <v>480</v>
      </c>
    </row>
    <row r="218">
      <c r="M218" s="18" t="n"/>
      <c r="N218" s="19" t="inlineStr">
        <is>
          <t>Planktic Colonies</t>
        </is>
      </c>
      <c r="O218" s="20" t="n">
        <v>72000</v>
      </c>
    </row>
    <row r="219">
      <c r="M219" s="18" t="n"/>
      <c r="N219" s="19" t="inlineStr">
        <is>
          <t>Microfiber Shielding</t>
        </is>
      </c>
      <c r="O219" s="19" t="n">
        <v>60</v>
      </c>
    </row>
    <row r="220">
      <c r="M220" s="18" t="n"/>
      <c r="N220" s="19" t="inlineStr">
        <is>
          <t>Silicon</t>
        </is>
      </c>
      <c r="O220" s="19" t="n">
        <v>480</v>
      </c>
    </row>
    <row r="221">
      <c r="M221" s="18" t="n"/>
      <c r="N221" s="19" t="inlineStr">
        <is>
          <t>Felsic Magma</t>
        </is>
      </c>
      <c r="O221" s="20" t="n">
        <v>72000</v>
      </c>
    </row>
    <row r="222">
      <c r="M222" s="18" t="n"/>
      <c r="N222" s="19" t="inlineStr">
        <is>
          <t>Industrial Fibers</t>
        </is>
      </c>
      <c r="O222" s="19" t="n">
        <v>480</v>
      </c>
    </row>
    <row r="223">
      <c r="M223" s="18" t="n"/>
      <c r="N223" s="19" t="inlineStr">
        <is>
          <t>Autotrophs</t>
        </is>
      </c>
      <c r="O223" s="20" t="n">
        <v>72000</v>
      </c>
    </row>
    <row r="224">
      <c r="M224" s="18" t="n"/>
      <c r="N224" s="19" t="inlineStr">
        <is>
          <t>Neocoms</t>
        </is>
      </c>
      <c r="O224" s="19" t="n">
        <v>18</v>
      </c>
    </row>
    <row r="225">
      <c r="M225" s="18" t="n"/>
      <c r="N225" s="19" t="inlineStr">
        <is>
          <t>Biocells</t>
        </is>
      </c>
      <c r="O225" s="19" t="n">
        <v>60</v>
      </c>
    </row>
    <row r="226">
      <c r="M226" s="18" t="n"/>
      <c r="N226" s="19" t="inlineStr">
        <is>
          <t>Biofuels</t>
        </is>
      </c>
      <c r="O226" s="19" t="n">
        <v>480</v>
      </c>
    </row>
    <row r="227">
      <c r="M227" s="18" t="n"/>
      <c r="N227" s="19" t="inlineStr">
        <is>
          <t>Carbon Compounds</t>
        </is>
      </c>
      <c r="O227" s="20" t="n">
        <v>72000</v>
      </c>
    </row>
    <row r="228">
      <c r="M228" s="18" t="n"/>
      <c r="N228" s="19" t="inlineStr">
        <is>
          <t>Precious Metals</t>
        </is>
      </c>
      <c r="O228" s="19" t="n">
        <v>480</v>
      </c>
    </row>
    <row r="229">
      <c r="M229" s="18" t="n"/>
      <c r="N229" s="19" t="inlineStr">
        <is>
          <t>Noble Metals</t>
        </is>
      </c>
      <c r="O229" s="20" t="n">
        <v>72000</v>
      </c>
    </row>
    <row r="230">
      <c r="M230" s="18" t="n"/>
      <c r="N230" s="19" t="inlineStr">
        <is>
          <t>Silicate Glass</t>
        </is>
      </c>
      <c r="O230" s="19" t="n">
        <v>60</v>
      </c>
    </row>
    <row r="231">
      <c r="M231" s="18" t="n"/>
      <c r="N231" s="19" t="inlineStr">
        <is>
          <t>Oxidizing Compound</t>
        </is>
      </c>
      <c r="O231" s="19" t="n">
        <v>480</v>
      </c>
    </row>
    <row r="232">
      <c r="M232" s="18" t="n"/>
      <c r="N232" s="19" t="inlineStr">
        <is>
          <t>Reactive Gas</t>
        </is>
      </c>
      <c r="O232" s="20" t="n">
        <v>72000</v>
      </c>
    </row>
    <row r="233">
      <c r="M233" s="18" t="n"/>
      <c r="N233" s="19" t="inlineStr">
        <is>
          <t>Silicon</t>
        </is>
      </c>
      <c r="O233" s="19" t="n">
        <v>480</v>
      </c>
    </row>
    <row r="234">
      <c r="M234" s="18" t="n"/>
      <c r="N234" s="19" t="inlineStr">
        <is>
          <t>Felsic Magma</t>
        </is>
      </c>
      <c r="O234" s="20" t="n">
        <v>72000</v>
      </c>
    </row>
    <row r="235">
      <c r="M235" s="18" t="n"/>
      <c r="N235" s="19" t="inlineStr">
        <is>
          <t>High-Tech Transmitters</t>
        </is>
      </c>
      <c r="O235" s="19" t="n">
        <v>18</v>
      </c>
    </row>
    <row r="236">
      <c r="M236" s="18" t="n"/>
      <c r="N236" s="19" t="inlineStr">
        <is>
          <t>Transmitter</t>
        </is>
      </c>
      <c r="O236" s="19" t="n">
        <v>60</v>
      </c>
    </row>
    <row r="237">
      <c r="M237" s="18" t="n"/>
      <c r="N237" s="19" t="inlineStr">
        <is>
          <t>Chiral Structures</t>
        </is>
      </c>
      <c r="O237" s="19" t="n">
        <v>480</v>
      </c>
    </row>
    <row r="238">
      <c r="M238" s="18" t="n"/>
      <c r="N238" s="19" t="inlineStr">
        <is>
          <t>Non-CS Crystals</t>
        </is>
      </c>
      <c r="O238" s="20" t="n">
        <v>72000</v>
      </c>
    </row>
    <row r="239">
      <c r="M239" s="18" t="n"/>
      <c r="N239" s="19" t="inlineStr">
        <is>
          <t>Plasmoids</t>
        </is>
      </c>
      <c r="O239" s="19" t="n">
        <v>480</v>
      </c>
    </row>
    <row r="240">
      <c r="M240" s="18" t="n"/>
      <c r="N240" s="19" t="inlineStr">
        <is>
          <t>Suspended Plasma</t>
        </is>
      </c>
      <c r="O240" s="20" t="n">
        <v>72000</v>
      </c>
    </row>
    <row r="241">
      <c r="M241" s="18" t="n"/>
      <c r="N241" s="19" t="inlineStr">
        <is>
          <t>Polyaramids</t>
        </is>
      </c>
      <c r="O241" s="19" t="n">
        <v>60</v>
      </c>
    </row>
    <row r="242">
      <c r="M242" s="18" t="n"/>
      <c r="N242" s="19" t="inlineStr">
        <is>
          <t>Oxidizing Compound</t>
        </is>
      </c>
      <c r="O242" s="19" t="n">
        <v>480</v>
      </c>
    </row>
    <row r="243">
      <c r="M243" s="18" t="n"/>
      <c r="N243" s="19" t="inlineStr">
        <is>
          <t>Reactive Gas</t>
        </is>
      </c>
      <c r="O243" s="20" t="n">
        <v>72000</v>
      </c>
    </row>
    <row r="244">
      <c r="M244" s="18" t="n"/>
      <c r="N244" s="19" t="inlineStr">
        <is>
          <t>Industrial Fibers</t>
        </is>
      </c>
      <c r="O244" s="19" t="n">
        <v>480</v>
      </c>
    </row>
    <row r="245">
      <c r="M245" s="18" t="n"/>
      <c r="N245" s="19" t="inlineStr">
        <is>
          <t>Autotrophs</t>
        </is>
      </c>
      <c r="O245" s="20" t="n">
        <v>72000</v>
      </c>
    </row>
    <row r="246">
      <c r="M246" s="13" t="n"/>
      <c r="N246" s="10" t="inlineStr">
        <is>
          <t>Nano-Factory</t>
        </is>
      </c>
      <c r="O246" s="10" t="n">
        <v>5</v>
      </c>
    </row>
    <row r="247">
      <c r="M247" s="18" t="n"/>
      <c r="N247" s="19" t="inlineStr">
        <is>
          <t>Industrial Explosives</t>
        </is>
      </c>
      <c r="O247" s="19" t="n">
        <v>30</v>
      </c>
    </row>
    <row r="248">
      <c r="M248" s="18" t="n"/>
      <c r="N248" s="19" t="inlineStr">
        <is>
          <t>Fertilizer</t>
        </is>
      </c>
      <c r="O248" s="19" t="n">
        <v>100</v>
      </c>
    </row>
    <row r="249">
      <c r="M249" s="18" t="n"/>
      <c r="N249" s="19" t="inlineStr">
        <is>
          <t>Bacteria</t>
        </is>
      </c>
      <c r="O249" s="19" t="n">
        <v>800</v>
      </c>
    </row>
    <row r="250">
      <c r="M250" s="18" t="n"/>
      <c r="N250" s="19" t="inlineStr">
        <is>
          <t>Microorganisms</t>
        </is>
      </c>
      <c r="O250" s="20" t="n">
        <v>120000</v>
      </c>
    </row>
    <row r="251">
      <c r="M251" s="18" t="n"/>
      <c r="N251" s="19" t="inlineStr">
        <is>
          <t>Proteins</t>
        </is>
      </c>
      <c r="O251" s="19" t="n">
        <v>800</v>
      </c>
    </row>
    <row r="252">
      <c r="M252" s="18" t="n"/>
      <c r="N252" s="19" t="inlineStr">
        <is>
          <t>Complex Organisms</t>
        </is>
      </c>
      <c r="O252" s="20" t="n">
        <v>120000</v>
      </c>
    </row>
    <row r="253">
      <c r="M253" s="18" t="n"/>
      <c r="N253" s="19" t="inlineStr">
        <is>
          <t>Polytextiles</t>
        </is>
      </c>
      <c r="O253" s="19" t="n">
        <v>100</v>
      </c>
    </row>
    <row r="254">
      <c r="M254" s="18" t="n"/>
      <c r="N254" s="19" t="inlineStr">
        <is>
          <t>Biofuels</t>
        </is>
      </c>
      <c r="O254" s="19" t="n">
        <v>800</v>
      </c>
    </row>
    <row r="255">
      <c r="M255" s="18" t="n"/>
      <c r="N255" s="19" t="inlineStr">
        <is>
          <t>Carbon Compounds</t>
        </is>
      </c>
      <c r="O255" s="20" t="n">
        <v>120000</v>
      </c>
    </row>
    <row r="256">
      <c r="M256" s="18" t="n"/>
      <c r="N256" s="19" t="inlineStr">
        <is>
          <t>Industrial Fibers</t>
        </is>
      </c>
      <c r="O256" s="19" t="n">
        <v>800</v>
      </c>
    </row>
    <row r="257">
      <c r="M257" s="18" t="n"/>
      <c r="N257" s="19" t="inlineStr">
        <is>
          <t>Autotrophs</t>
        </is>
      </c>
      <c r="O257" s="20" t="n">
        <v>120000</v>
      </c>
    </row>
    <row r="258">
      <c r="M258" s="18" t="n"/>
      <c r="N258" s="19" t="inlineStr">
        <is>
          <t>Ukomi Superconductors</t>
        </is>
      </c>
      <c r="O258" s="19" t="n">
        <v>30</v>
      </c>
    </row>
    <row r="259">
      <c r="M259" s="18" t="n"/>
      <c r="N259" s="19" t="inlineStr">
        <is>
          <t>Synthetic Oil</t>
        </is>
      </c>
      <c r="O259" s="19" t="n">
        <v>100</v>
      </c>
    </row>
    <row r="260">
      <c r="M260" s="18" t="n"/>
      <c r="N260" s="19" t="inlineStr">
        <is>
          <t>Oxygen</t>
        </is>
      </c>
      <c r="O260" s="19" t="n">
        <v>800</v>
      </c>
    </row>
    <row r="261">
      <c r="M261" s="18" t="n"/>
      <c r="N261" s="19" t="inlineStr">
        <is>
          <t>Noble Gas</t>
        </is>
      </c>
      <c r="O261" s="20" t="n">
        <v>120000</v>
      </c>
    </row>
    <row r="262">
      <c r="M262" s="18" t="n"/>
      <c r="N262" s="19" t="inlineStr">
        <is>
          <t>Electrolytes</t>
        </is>
      </c>
      <c r="O262" s="19" t="n">
        <v>800</v>
      </c>
    </row>
    <row r="263">
      <c r="M263" s="18" t="n"/>
      <c r="N263" s="19" t="inlineStr">
        <is>
          <t>Ionic Solutions</t>
        </is>
      </c>
      <c r="O263" s="20" t="n">
        <v>120000</v>
      </c>
    </row>
    <row r="264">
      <c r="M264" s="18" t="n"/>
      <c r="N264" s="19" t="inlineStr">
        <is>
          <t>Superconductors</t>
        </is>
      </c>
      <c r="O264" s="19" t="n">
        <v>100</v>
      </c>
    </row>
    <row r="265">
      <c r="M265" s="18" t="n"/>
      <c r="N265" s="19" t="inlineStr">
        <is>
          <t>Plasmoids</t>
        </is>
      </c>
      <c r="O265" s="19" t="n">
        <v>800</v>
      </c>
    </row>
    <row r="266">
      <c r="M266" s="18" t="n"/>
      <c r="N266" s="19" t="inlineStr">
        <is>
          <t>Suspended Plasma</t>
        </is>
      </c>
      <c r="O266" s="20" t="n">
        <v>120000</v>
      </c>
    </row>
    <row r="267">
      <c r="M267" s="18" t="n"/>
      <c r="N267" s="19" t="inlineStr">
        <is>
          <t>Water</t>
        </is>
      </c>
      <c r="O267" s="19" t="n">
        <v>800</v>
      </c>
    </row>
    <row r="268">
      <c r="M268" s="18" t="n"/>
      <c r="N268" s="19" t="inlineStr">
        <is>
          <t>Aqueous Liquids</t>
        </is>
      </c>
      <c r="O268" s="20" t="n">
        <v>120000</v>
      </c>
    </row>
    <row r="269">
      <c r="M269" s="18" t="n"/>
      <c r="N269" s="19" t="inlineStr">
        <is>
          <t>Reactive Metals</t>
        </is>
      </c>
      <c r="O269" s="19" t="n">
        <v>200</v>
      </c>
    </row>
    <row r="270">
      <c r="M270" s="18" t="n"/>
      <c r="N270" s="19" t="inlineStr">
        <is>
          <t>Base Metals</t>
        </is>
      </c>
      <c r="O270" s="20" t="n">
        <v>30000</v>
      </c>
    </row>
    <row r="271">
      <c r="M271" s="13" t="n"/>
      <c r="N271" s="10" t="inlineStr">
        <is>
          <t>Recursive Computing Module</t>
        </is>
      </c>
      <c r="O271" s="10" t="n">
        <v>3</v>
      </c>
    </row>
    <row r="272">
      <c r="M272" s="18" t="n"/>
      <c r="N272" s="19" t="inlineStr">
        <is>
          <t>Synthetic Synapses</t>
        </is>
      </c>
      <c r="O272" s="19" t="n">
        <v>18</v>
      </c>
    </row>
    <row r="273">
      <c r="M273" s="18" t="n"/>
      <c r="N273" s="19" t="inlineStr">
        <is>
          <t>Supertensile Plastics</t>
        </is>
      </c>
      <c r="O273" s="19" t="n">
        <v>60</v>
      </c>
    </row>
    <row r="274">
      <c r="M274" s="18" t="n"/>
      <c r="N274" s="19" t="inlineStr">
        <is>
          <t>Oxygen</t>
        </is>
      </c>
      <c r="O274" s="19" t="n">
        <v>480</v>
      </c>
    </row>
    <row r="275">
      <c r="M275" s="18" t="n"/>
      <c r="N275" s="19" t="inlineStr">
        <is>
          <t>Noble Gas</t>
        </is>
      </c>
      <c r="O275" s="20" t="n">
        <v>72000</v>
      </c>
    </row>
    <row r="276">
      <c r="M276" s="18" t="n"/>
      <c r="N276" s="19" t="inlineStr">
        <is>
          <t>Biomass</t>
        </is>
      </c>
      <c r="O276" s="19" t="n">
        <v>480</v>
      </c>
    </row>
    <row r="277">
      <c r="M277" s="18" t="n"/>
      <c r="N277" s="19" t="inlineStr">
        <is>
          <t>Planktic Colonies</t>
        </is>
      </c>
      <c r="O277" s="20" t="n">
        <v>72000</v>
      </c>
    </row>
    <row r="278">
      <c r="M278" s="18" t="n"/>
      <c r="N278" s="19" t="inlineStr">
        <is>
          <t>Test Cultures</t>
        </is>
      </c>
      <c r="O278" s="19" t="n">
        <v>60</v>
      </c>
    </row>
    <row r="279">
      <c r="M279" s="18" t="n"/>
      <c r="N279" s="19" t="inlineStr">
        <is>
          <t>Bacteria</t>
        </is>
      </c>
      <c r="O279" s="19" t="n">
        <v>480</v>
      </c>
    </row>
    <row r="280">
      <c r="M280" s="18" t="n"/>
      <c r="N280" s="19" t="inlineStr">
        <is>
          <t>Microorganisms</t>
        </is>
      </c>
      <c r="O280" s="20" t="n">
        <v>72000</v>
      </c>
    </row>
    <row r="281">
      <c r="M281" s="18" t="n"/>
      <c r="N281" s="19" t="inlineStr">
        <is>
          <t>Water</t>
        </is>
      </c>
      <c r="O281" s="19" t="n">
        <v>480</v>
      </c>
    </row>
    <row r="282">
      <c r="M282" s="18" t="n"/>
      <c r="N282" s="19" t="inlineStr">
        <is>
          <t>Aqueous Liquids</t>
        </is>
      </c>
      <c r="O282" s="20" t="n">
        <v>72000</v>
      </c>
    </row>
    <row r="283">
      <c r="M283" s="18" t="n"/>
      <c r="N283" s="19" t="inlineStr">
        <is>
          <t>Transcranial Microcontrollers</t>
        </is>
      </c>
      <c r="O283" s="19" t="n">
        <v>18</v>
      </c>
    </row>
    <row r="284">
      <c r="M284" s="18" t="n"/>
      <c r="N284" s="19" t="inlineStr">
        <is>
          <t>Biocells</t>
        </is>
      </c>
      <c r="O284" s="19" t="n">
        <v>60</v>
      </c>
    </row>
    <row r="285">
      <c r="M285" s="18" t="n"/>
      <c r="N285" s="19" t="inlineStr">
        <is>
          <t>Biofuels</t>
        </is>
      </c>
      <c r="O285" s="19" t="n">
        <v>480</v>
      </c>
    </row>
    <row r="286">
      <c r="M286" s="18" t="n"/>
      <c r="N286" s="19" t="inlineStr">
        <is>
          <t>Carbon Compounds</t>
        </is>
      </c>
      <c r="O286" s="20" t="n">
        <v>72000</v>
      </c>
    </row>
    <row r="287">
      <c r="M287" s="18" t="n"/>
      <c r="N287" s="19" t="inlineStr">
        <is>
          <t>Precious Metals</t>
        </is>
      </c>
      <c r="O287" s="19" t="n">
        <v>480</v>
      </c>
    </row>
    <row r="288">
      <c r="M288" s="18" t="n"/>
      <c r="N288" s="19" t="inlineStr">
        <is>
          <t>Noble Metals</t>
        </is>
      </c>
      <c r="O288" s="20" t="n">
        <v>72000</v>
      </c>
    </row>
    <row r="289">
      <c r="M289" s="18" t="n"/>
      <c r="N289" s="19" t="inlineStr">
        <is>
          <t>Nanites</t>
        </is>
      </c>
      <c r="O289" s="19" t="n">
        <v>60</v>
      </c>
    </row>
    <row r="290">
      <c r="M290" s="18" t="n"/>
      <c r="N290" s="19" t="inlineStr">
        <is>
          <t>Bacteria</t>
        </is>
      </c>
      <c r="O290" s="19" t="n">
        <v>480</v>
      </c>
    </row>
    <row r="291">
      <c r="M291" s="18" t="n"/>
      <c r="N291" s="19" t="inlineStr">
        <is>
          <t>Microorganisms</t>
        </is>
      </c>
      <c r="O291" s="20" t="n">
        <v>72000</v>
      </c>
    </row>
    <row r="292">
      <c r="M292" s="18" t="n"/>
      <c r="N292" s="19" t="inlineStr">
        <is>
          <t>Reactive Metals</t>
        </is>
      </c>
      <c r="O292" s="19" t="n">
        <v>480</v>
      </c>
    </row>
    <row r="293">
      <c r="M293" s="18" t="n"/>
      <c r="N293" s="19" t="inlineStr">
        <is>
          <t>Base Metals</t>
        </is>
      </c>
      <c r="O293" s="20" t="n">
        <v>72000</v>
      </c>
    </row>
    <row r="294">
      <c r="M294" s="18" t="n"/>
      <c r="N294" s="19" t="inlineStr">
        <is>
          <t>Guidance Systems</t>
        </is>
      </c>
      <c r="O294" s="19" t="n">
        <v>18</v>
      </c>
    </row>
    <row r="295">
      <c r="M295" s="18" t="n"/>
      <c r="N295" s="19" t="inlineStr">
        <is>
          <t>Water-Cooled CPU</t>
        </is>
      </c>
      <c r="O295" s="19" t="n">
        <v>60</v>
      </c>
    </row>
    <row r="296">
      <c r="M296" s="18" t="n"/>
      <c r="N296" s="19" t="inlineStr">
        <is>
          <t>Water</t>
        </is>
      </c>
      <c r="O296" s="19" t="n">
        <v>480</v>
      </c>
    </row>
    <row r="297">
      <c r="M297" s="18" t="n"/>
      <c r="N297" s="19" t="inlineStr">
        <is>
          <t>Aqueous Liquids</t>
        </is>
      </c>
      <c r="O297" s="20" t="n">
        <v>72000</v>
      </c>
    </row>
    <row r="298">
      <c r="M298" s="18" t="n"/>
      <c r="N298" s="19" t="inlineStr">
        <is>
          <t>Reactive Metals</t>
        </is>
      </c>
      <c r="O298" s="19" t="n">
        <v>480</v>
      </c>
    </row>
    <row r="299">
      <c r="M299" s="18" t="n"/>
      <c r="N299" s="19" t="inlineStr">
        <is>
          <t>Base Metals</t>
        </is>
      </c>
      <c r="O299" s="20" t="n">
        <v>72000</v>
      </c>
    </row>
    <row r="300">
      <c r="M300" s="18" t="n"/>
      <c r="N300" s="19" t="inlineStr">
        <is>
          <t>Transmitter</t>
        </is>
      </c>
      <c r="O300" s="19" t="n">
        <v>60</v>
      </c>
    </row>
    <row r="301">
      <c r="M301" s="18" t="n"/>
      <c r="N301" s="19" t="inlineStr">
        <is>
          <t>Chiral Structures</t>
        </is>
      </c>
      <c r="O301" s="19" t="n">
        <v>480</v>
      </c>
    </row>
    <row r="302">
      <c r="M302" s="18" t="n"/>
      <c r="N302" s="19" t="inlineStr">
        <is>
          <t>Non-CS Crystals</t>
        </is>
      </c>
      <c r="O302" s="20" t="n">
        <v>72000</v>
      </c>
    </row>
    <row r="303">
      <c r="M303" s="18" t="n"/>
      <c r="N303" s="19" t="inlineStr">
        <is>
          <t>Plasmoids</t>
        </is>
      </c>
      <c r="O303" s="19" t="n">
        <v>480</v>
      </c>
    </row>
    <row r="304">
      <c r="M304" s="18" t="n"/>
      <c r="N304" s="19" t="inlineStr">
        <is>
          <t>Suspended Plasma</t>
        </is>
      </c>
      <c r="O304" s="20" t="n">
        <v>72000</v>
      </c>
    </row>
    <row r="305">
      <c r="M305" s="13" t="n"/>
      <c r="N305" s="10" t="inlineStr">
        <is>
          <t>Self-Harmonizing Power Core</t>
        </is>
      </c>
      <c r="O305" s="10" t="n">
        <v>3</v>
      </c>
    </row>
    <row r="306">
      <c r="M306" s="18" t="n"/>
      <c r="N306" s="19" t="inlineStr">
        <is>
          <t>Nuclear Reactors</t>
        </is>
      </c>
      <c r="O306" s="19" t="n">
        <v>18</v>
      </c>
    </row>
    <row r="307">
      <c r="M307" s="18" t="n"/>
      <c r="N307" s="19" t="inlineStr">
        <is>
          <t>Enriched Uranium</t>
        </is>
      </c>
      <c r="O307" s="19" t="n">
        <v>60</v>
      </c>
    </row>
    <row r="308">
      <c r="M308" s="18" t="n"/>
      <c r="N308" s="19" t="inlineStr">
        <is>
          <t>Toxic Metals</t>
        </is>
      </c>
      <c r="O308" s="19" t="n">
        <v>480</v>
      </c>
    </row>
    <row r="309">
      <c r="M309" s="18" t="n"/>
      <c r="N309" s="19" t="inlineStr">
        <is>
          <t>Heavy Metals</t>
        </is>
      </c>
      <c r="O309" s="20" t="n">
        <v>72000</v>
      </c>
    </row>
    <row r="310">
      <c r="M310" s="18" t="n"/>
      <c r="N310" s="19" t="inlineStr">
        <is>
          <t>Precious Metals</t>
        </is>
      </c>
      <c r="O310" s="19" t="n">
        <v>480</v>
      </c>
    </row>
    <row r="311">
      <c r="M311" s="18" t="n"/>
      <c r="N311" s="19" t="inlineStr">
        <is>
          <t>Noble Metals</t>
        </is>
      </c>
      <c r="O311" s="20" t="n">
        <v>72000</v>
      </c>
    </row>
    <row r="312">
      <c r="M312" s="18" t="n"/>
      <c r="N312" s="19" t="inlineStr">
        <is>
          <t>Microfiber Shielding</t>
        </is>
      </c>
      <c r="O312" s="19" t="n">
        <v>60</v>
      </c>
    </row>
    <row r="313">
      <c r="M313" s="18" t="n"/>
      <c r="N313" s="19" t="inlineStr">
        <is>
          <t>Silicon</t>
        </is>
      </c>
      <c r="O313" s="19" t="n">
        <v>480</v>
      </c>
    </row>
    <row r="314">
      <c r="M314" s="18" t="n"/>
      <c r="N314" s="19" t="inlineStr">
        <is>
          <t>Felsic Magma</t>
        </is>
      </c>
      <c r="O314" s="20" t="n">
        <v>72000</v>
      </c>
    </row>
    <row r="315">
      <c r="M315" s="18" t="n"/>
      <c r="N315" s="19" t="inlineStr">
        <is>
          <t>Industrial Fibers</t>
        </is>
      </c>
      <c r="O315" s="19" t="n">
        <v>480</v>
      </c>
    </row>
    <row r="316">
      <c r="M316" s="18" t="n"/>
      <c r="N316" s="19" t="inlineStr">
        <is>
          <t>Autotrophs</t>
        </is>
      </c>
      <c r="O316" s="20" t="n">
        <v>72000</v>
      </c>
    </row>
    <row r="317">
      <c r="M317" s="18" t="n"/>
      <c r="N317" s="19" t="inlineStr">
        <is>
          <t>Camera Drones</t>
        </is>
      </c>
      <c r="O317" s="19" t="n">
        <v>18</v>
      </c>
    </row>
    <row r="318">
      <c r="M318" s="18" t="n"/>
      <c r="N318" s="19" t="inlineStr">
        <is>
          <t>Rocket Fuel</t>
        </is>
      </c>
      <c r="O318" s="19" t="n">
        <v>60</v>
      </c>
    </row>
    <row r="319">
      <c r="M319" s="18" t="n"/>
      <c r="N319" s="19" t="inlineStr">
        <is>
          <t>Electrolytes</t>
        </is>
      </c>
      <c r="O319" s="19" t="n">
        <v>480</v>
      </c>
    </row>
    <row r="320">
      <c r="M320" s="18" t="n"/>
      <c r="N320" s="19" t="inlineStr">
        <is>
          <t>Ionic Solutions</t>
        </is>
      </c>
      <c r="O320" s="20" t="n">
        <v>72000</v>
      </c>
    </row>
    <row r="321">
      <c r="M321" s="18" t="n"/>
      <c r="N321" s="19" t="inlineStr">
        <is>
          <t>Plasmoids</t>
        </is>
      </c>
      <c r="O321" s="19" t="n">
        <v>480</v>
      </c>
    </row>
    <row r="322">
      <c r="M322" s="18" t="n"/>
      <c r="N322" s="19" t="inlineStr">
        <is>
          <t>Suspended Plasma</t>
        </is>
      </c>
      <c r="O322" s="20" t="n">
        <v>72000</v>
      </c>
    </row>
    <row r="323">
      <c r="M323" s="18" t="n"/>
      <c r="N323" s="19" t="inlineStr">
        <is>
          <t>Silicate Glass</t>
        </is>
      </c>
      <c r="O323" s="19" t="n">
        <v>60</v>
      </c>
    </row>
    <row r="324">
      <c r="M324" s="18" t="n"/>
      <c r="N324" s="19" t="inlineStr">
        <is>
          <t>Oxidizing Compound</t>
        </is>
      </c>
      <c r="O324" s="19" t="n">
        <v>480</v>
      </c>
    </row>
    <row r="325">
      <c r="M325" s="18" t="n"/>
      <c r="N325" s="19" t="inlineStr">
        <is>
          <t>Reactive Gas</t>
        </is>
      </c>
      <c r="O325" s="20" t="n">
        <v>72000</v>
      </c>
    </row>
    <row r="326">
      <c r="M326" s="18" t="n"/>
      <c r="N326" s="19" t="inlineStr">
        <is>
          <t>Silicon</t>
        </is>
      </c>
      <c r="O326" s="19" t="n">
        <v>480</v>
      </c>
    </row>
    <row r="327">
      <c r="M327" s="18" t="n"/>
      <c r="N327" s="19" t="inlineStr">
        <is>
          <t>Felsic Magma</t>
        </is>
      </c>
      <c r="O327" s="20" t="n">
        <v>72000</v>
      </c>
    </row>
    <row r="328">
      <c r="M328" s="18" t="n"/>
      <c r="N328" s="19" t="inlineStr">
        <is>
          <t>Hermetic Membranes</t>
        </is>
      </c>
      <c r="O328" s="19" t="n">
        <v>18</v>
      </c>
    </row>
    <row r="329">
      <c r="M329" s="18" t="n"/>
      <c r="N329" s="19" t="inlineStr">
        <is>
          <t>Polyaramids</t>
        </is>
      </c>
      <c r="O329" s="19" t="n">
        <v>60</v>
      </c>
    </row>
    <row r="330">
      <c r="M330" s="18" t="n"/>
      <c r="N330" s="19" t="inlineStr">
        <is>
          <t>Oxidizing Compound</t>
        </is>
      </c>
      <c r="O330" s="19" t="n">
        <v>480</v>
      </c>
    </row>
    <row r="331">
      <c r="M331" s="18" t="n"/>
      <c r="N331" s="19" t="inlineStr">
        <is>
          <t>Reactive Gas</t>
        </is>
      </c>
      <c r="O331" s="20" t="n">
        <v>72000</v>
      </c>
    </row>
    <row r="332">
      <c r="M332" s="18" t="n"/>
      <c r="N332" s="19" t="inlineStr">
        <is>
          <t>Industrial Fibers</t>
        </is>
      </c>
      <c r="O332" s="19" t="n">
        <v>480</v>
      </c>
    </row>
    <row r="333">
      <c r="M333" s="18" t="n"/>
      <c r="N333" s="19" t="inlineStr">
        <is>
          <t>Autotrophs</t>
        </is>
      </c>
      <c r="O333" s="20" t="n">
        <v>72000</v>
      </c>
    </row>
    <row r="334">
      <c r="M334" s="18" t="n"/>
      <c r="N334" s="19" t="inlineStr">
        <is>
          <t>Genetically Enhanced Livestock</t>
        </is>
      </c>
      <c r="O334" s="19" t="n">
        <v>60</v>
      </c>
    </row>
    <row r="335">
      <c r="M335" s="18" t="n"/>
      <c r="N335" s="19" t="inlineStr">
        <is>
          <t>Proteins</t>
        </is>
      </c>
      <c r="O335" s="19" t="n">
        <v>480</v>
      </c>
    </row>
    <row r="336">
      <c r="M336" s="18" t="n"/>
      <c r="N336" s="19" t="inlineStr">
        <is>
          <t>Complex Organisms</t>
        </is>
      </c>
      <c r="O336" s="20" t="n">
        <v>72000</v>
      </c>
    </row>
    <row r="337">
      <c r="M337" s="18" t="n"/>
      <c r="N337" s="19" t="inlineStr">
        <is>
          <t>Biomass</t>
        </is>
      </c>
      <c r="O337" s="19" t="n">
        <v>480</v>
      </c>
    </row>
    <row r="338">
      <c r="M338" s="18" t="n"/>
      <c r="N338" s="19" t="inlineStr">
        <is>
          <t>Planktic Colonies</t>
        </is>
      </c>
      <c r="O338" s="20" t="n">
        <v>72000</v>
      </c>
    </row>
    <row r="339">
      <c r="M339" s="13" t="n"/>
      <c r="N339" s="10" t="inlineStr">
        <is>
          <t>Sterile Conduits</t>
        </is>
      </c>
      <c r="O339" s="10" t="n">
        <v>3</v>
      </c>
    </row>
    <row r="340">
      <c r="M340" s="18" t="n"/>
      <c r="N340" s="19" t="inlineStr">
        <is>
          <t>Water</t>
        </is>
      </c>
      <c r="O340" s="19" t="n">
        <v>120</v>
      </c>
    </row>
    <row r="341">
      <c r="M341" s="18" t="n"/>
      <c r="N341" s="19" t="inlineStr">
        <is>
          <t>Aqueous Liquids</t>
        </is>
      </c>
      <c r="O341" s="20" t="n">
        <v>18000</v>
      </c>
    </row>
    <row r="342">
      <c r="M342" s="18" t="n"/>
      <c r="N342" s="19" t="inlineStr">
        <is>
          <t>Vaccines</t>
        </is>
      </c>
      <c r="O342" s="19" t="n">
        <v>18</v>
      </c>
    </row>
    <row r="343">
      <c r="M343" s="18" t="n"/>
      <c r="N343" s="19" t="inlineStr">
        <is>
          <t>Livestock</t>
        </is>
      </c>
      <c r="O343" s="19" t="n">
        <v>60</v>
      </c>
    </row>
    <row r="344">
      <c r="M344" s="18" t="n"/>
      <c r="N344" s="19" t="inlineStr">
        <is>
          <t>Proteins</t>
        </is>
      </c>
      <c r="O344" s="19" t="n">
        <v>480</v>
      </c>
    </row>
    <row r="345">
      <c r="M345" s="18" t="n"/>
      <c r="N345" s="19" t="inlineStr">
        <is>
          <t>Complex Organisms</t>
        </is>
      </c>
      <c r="O345" s="20" t="n">
        <v>72000</v>
      </c>
    </row>
    <row r="346">
      <c r="M346" s="18" t="n"/>
      <c r="N346" s="19" t="inlineStr">
        <is>
          <t>Biofuels</t>
        </is>
      </c>
      <c r="O346" s="19" t="n">
        <v>480</v>
      </c>
    </row>
    <row r="347">
      <c r="M347" s="18" t="n"/>
      <c r="N347" s="19" t="inlineStr">
        <is>
          <t>Carbon Compounds</t>
        </is>
      </c>
      <c r="O347" s="20" t="n">
        <v>72000</v>
      </c>
    </row>
    <row r="348">
      <c r="M348" s="18" t="n"/>
      <c r="N348" s="19" t="inlineStr">
        <is>
          <t>Viral Agent</t>
        </is>
      </c>
      <c r="O348" s="19" t="n">
        <v>60</v>
      </c>
    </row>
    <row r="349">
      <c r="M349" s="18" t="n"/>
      <c r="N349" s="19" t="inlineStr">
        <is>
          <t>Bacteria</t>
        </is>
      </c>
      <c r="O349" s="19" t="n">
        <v>480</v>
      </c>
    </row>
    <row r="350">
      <c r="M350" s="18" t="n"/>
      <c r="N350" s="19" t="inlineStr">
        <is>
          <t>Microorganisms</t>
        </is>
      </c>
      <c r="O350" s="20" t="n">
        <v>72000</v>
      </c>
    </row>
    <row r="351">
      <c r="M351" s="18" t="n"/>
      <c r="N351" s="19" t="inlineStr">
        <is>
          <t>Biomass</t>
        </is>
      </c>
      <c r="O351" s="19" t="n">
        <v>480</v>
      </c>
    </row>
    <row r="352">
      <c r="M352" s="18" t="n"/>
      <c r="N352" s="19" t="inlineStr">
        <is>
          <t>Planktic Colonies</t>
        </is>
      </c>
      <c r="O352" s="20" t="n">
        <v>72000</v>
      </c>
    </row>
    <row r="353">
      <c r="M353" s="18" t="n"/>
      <c r="N353" s="19" t="inlineStr">
        <is>
          <t>Smartfab Units</t>
        </is>
      </c>
      <c r="O353" s="19" t="n">
        <v>18</v>
      </c>
    </row>
    <row r="354">
      <c r="M354" s="18" t="n"/>
      <c r="N354" s="19" t="inlineStr">
        <is>
          <t>Miniature Electronics</t>
        </is>
      </c>
      <c r="O354" s="19" t="n">
        <v>60</v>
      </c>
    </row>
    <row r="355">
      <c r="M355" s="18" t="n"/>
      <c r="N355" s="19" t="inlineStr">
        <is>
          <t>Chiral Structures</t>
        </is>
      </c>
      <c r="O355" s="19" t="n">
        <v>480</v>
      </c>
    </row>
    <row r="356">
      <c r="M356" s="18" t="n"/>
      <c r="N356" s="19" t="inlineStr">
        <is>
          <t>Non-CS Crystals</t>
        </is>
      </c>
      <c r="O356" s="20" t="n">
        <v>72000</v>
      </c>
    </row>
    <row r="357">
      <c r="M357" s="18" t="n"/>
      <c r="N357" s="19" t="inlineStr">
        <is>
          <t>Silicon</t>
        </is>
      </c>
      <c r="O357" s="19" t="n">
        <v>480</v>
      </c>
    </row>
    <row r="358">
      <c r="M358" s="18" t="n"/>
      <c r="N358" s="19" t="inlineStr">
        <is>
          <t>Felsic Magma</t>
        </is>
      </c>
      <c r="O358" s="20" t="n">
        <v>72000</v>
      </c>
    </row>
    <row r="359">
      <c r="M359" s="18" t="n"/>
      <c r="N359" s="19" t="inlineStr">
        <is>
          <t>Construction Blocks</t>
        </is>
      </c>
      <c r="O359" s="19" t="n">
        <v>60</v>
      </c>
    </row>
    <row r="360">
      <c r="M360" s="18" t="n"/>
      <c r="N360" s="19" t="inlineStr">
        <is>
          <t>Toxic Metals</t>
        </is>
      </c>
      <c r="O360" s="19" t="n">
        <v>480</v>
      </c>
    </row>
    <row r="361">
      <c r="M361" s="18" t="n"/>
      <c r="N361" s="19" t="inlineStr">
        <is>
          <t>Heavy Metals</t>
        </is>
      </c>
      <c r="O361" s="20" t="n">
        <v>72000</v>
      </c>
    </row>
    <row r="362">
      <c r="M362" s="18" t="n"/>
      <c r="N362" s="19" t="inlineStr">
        <is>
          <t>Reactive Metals</t>
        </is>
      </c>
      <c r="O362" s="19" t="n">
        <v>480</v>
      </c>
    </row>
    <row r="363">
      <c r="M363" s="18" t="n"/>
      <c r="N363" s="19" t="inlineStr">
        <is>
          <t>Base Metals</t>
        </is>
      </c>
      <c r="O363" s="20" t="n">
        <v>72000</v>
      </c>
    </row>
    <row r="364">
      <c r="M364" s="13" t="n"/>
      <c r="N364" s="10" t="inlineStr">
        <is>
          <t>Wetware Mainframe</t>
        </is>
      </c>
      <c r="O364" s="10" t="n">
        <v>5</v>
      </c>
    </row>
    <row r="365">
      <c r="M365" s="18" t="n"/>
      <c r="N365" s="19" t="inlineStr">
        <is>
          <t>Supercomputers</t>
        </is>
      </c>
      <c r="O365" s="19" t="n">
        <v>30</v>
      </c>
    </row>
    <row r="366">
      <c r="M366" s="18" t="n"/>
      <c r="N366" s="19" t="inlineStr">
        <is>
          <t>Water-Cooled CPU</t>
        </is>
      </c>
      <c r="O366" s="19" t="n">
        <v>100</v>
      </c>
    </row>
    <row r="367">
      <c r="M367" s="18" t="n"/>
      <c r="N367" s="19" t="inlineStr">
        <is>
          <t>Water</t>
        </is>
      </c>
      <c r="O367" s="19" t="n">
        <v>800</v>
      </c>
    </row>
    <row r="368">
      <c r="M368" s="18" t="n"/>
      <c r="N368" s="19" t="inlineStr">
        <is>
          <t>Aqueous Liquids</t>
        </is>
      </c>
      <c r="O368" s="20" t="n">
        <v>120000</v>
      </c>
    </row>
    <row r="369">
      <c r="M369" s="18" t="n"/>
      <c r="N369" s="19" t="inlineStr">
        <is>
          <t>Reactive Metals</t>
        </is>
      </c>
      <c r="O369" s="19" t="n">
        <v>800</v>
      </c>
    </row>
    <row r="370">
      <c r="M370" s="18" t="n"/>
      <c r="N370" s="19" t="inlineStr">
        <is>
          <t>Base Metals</t>
        </is>
      </c>
      <c r="O370" s="20" t="n">
        <v>120000</v>
      </c>
    </row>
    <row r="371">
      <c r="M371" s="18" t="n"/>
      <c r="N371" s="19" t="inlineStr">
        <is>
          <t>Coolant</t>
        </is>
      </c>
      <c r="O371" s="19" t="n">
        <v>100</v>
      </c>
    </row>
    <row r="372">
      <c r="M372" s="18" t="n"/>
      <c r="N372" s="19" t="inlineStr">
        <is>
          <t>Water</t>
        </is>
      </c>
      <c r="O372" s="19" t="n">
        <v>800</v>
      </c>
    </row>
    <row r="373">
      <c r="M373" s="18" t="n"/>
      <c r="N373" s="19" t="inlineStr">
        <is>
          <t>Aqueous Liquids</t>
        </is>
      </c>
      <c r="O373" s="20" t="n">
        <v>120000</v>
      </c>
    </row>
    <row r="374">
      <c r="M374" s="18" t="n"/>
      <c r="N374" s="19" t="inlineStr">
        <is>
          <t>Electrolytes</t>
        </is>
      </c>
      <c r="O374" s="19" t="n">
        <v>800</v>
      </c>
    </row>
    <row r="375">
      <c r="M375" s="18" t="n"/>
      <c r="N375" s="19" t="inlineStr">
        <is>
          <t>Ionic Solutions</t>
        </is>
      </c>
      <c r="O375" s="20" t="n">
        <v>120000</v>
      </c>
    </row>
    <row r="376">
      <c r="M376" s="18" t="n"/>
      <c r="N376" s="19" t="inlineStr">
        <is>
          <t>Consumer Electronics</t>
        </is>
      </c>
      <c r="O376" s="19" t="n">
        <v>100</v>
      </c>
    </row>
    <row r="377">
      <c r="M377" s="18" t="n"/>
      <c r="N377" s="19" t="inlineStr">
        <is>
          <t>Toxic Metals</t>
        </is>
      </c>
      <c r="O377" s="19" t="n">
        <v>800</v>
      </c>
    </row>
    <row r="378">
      <c r="M378" s="18" t="n"/>
      <c r="N378" s="19" t="inlineStr">
        <is>
          <t>Heavy Metals</t>
        </is>
      </c>
      <c r="O378" s="20" t="n">
        <v>120000</v>
      </c>
    </row>
    <row r="379">
      <c r="M379" s="18" t="n"/>
      <c r="N379" s="19" t="inlineStr">
        <is>
          <t>Chiral Structures</t>
        </is>
      </c>
      <c r="O379" s="19" t="n">
        <v>800</v>
      </c>
    </row>
    <row r="380">
      <c r="M380" s="18" t="n"/>
      <c r="N380" s="19" t="inlineStr">
        <is>
          <t>Non-CS Crystals</t>
        </is>
      </c>
      <c r="O380" s="20" t="n">
        <v>120000</v>
      </c>
    </row>
    <row r="381">
      <c r="M381" s="18" t="n"/>
      <c r="N381" s="19" t="inlineStr">
        <is>
          <t>Biotech Research Reports</t>
        </is>
      </c>
      <c r="O381" s="19" t="n">
        <v>30</v>
      </c>
    </row>
    <row r="382">
      <c r="M382" s="18" t="n"/>
      <c r="N382" s="19" t="inlineStr">
        <is>
          <t>Construction Blocks</t>
        </is>
      </c>
      <c r="O382" s="19" t="n">
        <v>100</v>
      </c>
    </row>
    <row r="383">
      <c r="M383" s="18" t="n"/>
      <c r="N383" s="19" t="inlineStr">
        <is>
          <t>Toxic Metals</t>
        </is>
      </c>
      <c r="O383" s="19" t="n">
        <v>800</v>
      </c>
    </row>
    <row r="384">
      <c r="M384" s="18" t="n"/>
      <c r="N384" s="19" t="inlineStr">
        <is>
          <t>Heavy Metals</t>
        </is>
      </c>
      <c r="O384" s="20" t="n">
        <v>120000</v>
      </c>
    </row>
    <row r="385">
      <c r="M385" s="18" t="n"/>
      <c r="N385" s="19" t="inlineStr">
        <is>
          <t>Reactive Metals</t>
        </is>
      </c>
      <c r="O385" s="19" t="n">
        <v>800</v>
      </c>
    </row>
    <row r="386">
      <c r="M386" s="18" t="n"/>
      <c r="N386" s="19" t="inlineStr">
        <is>
          <t>Base Metals</t>
        </is>
      </c>
      <c r="O386" s="20" t="n">
        <v>120000</v>
      </c>
    </row>
    <row r="387">
      <c r="M387" s="18" t="n"/>
      <c r="N387" s="19" t="inlineStr">
        <is>
          <t>Livestock</t>
        </is>
      </c>
      <c r="O387" s="19" t="n">
        <v>100</v>
      </c>
    </row>
    <row r="388">
      <c r="M388" s="18" t="n"/>
      <c r="N388" s="19" t="inlineStr">
        <is>
          <t>Proteins</t>
        </is>
      </c>
      <c r="O388" s="19" t="n">
        <v>800</v>
      </c>
    </row>
    <row r="389">
      <c r="M389" s="18" t="n"/>
      <c r="N389" s="19" t="inlineStr">
        <is>
          <t>Complex Organisms</t>
        </is>
      </c>
      <c r="O389" s="20" t="n">
        <v>120000</v>
      </c>
    </row>
    <row r="390">
      <c r="M390" s="18" t="n"/>
      <c r="N390" s="19" t="inlineStr">
        <is>
          <t>Biofuels</t>
        </is>
      </c>
      <c r="O390" s="19" t="n">
        <v>800</v>
      </c>
    </row>
    <row r="391">
      <c r="M391" s="18" t="n"/>
      <c r="N391" s="19" t="inlineStr">
        <is>
          <t>Carbon Compounds</t>
        </is>
      </c>
      <c r="O391" s="20" t="n">
        <v>120000</v>
      </c>
    </row>
    <row r="392">
      <c r="M392" s="18" t="n"/>
      <c r="N392" s="19" t="inlineStr">
        <is>
          <t>Nanites</t>
        </is>
      </c>
      <c r="O392" s="19" t="n">
        <v>100</v>
      </c>
    </row>
    <row r="393">
      <c r="M393" s="18" t="n"/>
      <c r="N393" s="19" t="inlineStr">
        <is>
          <t>Bacteria</t>
        </is>
      </c>
      <c r="O393" s="19" t="n">
        <v>800</v>
      </c>
    </row>
    <row r="394">
      <c r="M394" s="18" t="n"/>
      <c r="N394" s="19" t="inlineStr">
        <is>
          <t>Microorganisms</t>
        </is>
      </c>
      <c r="O394" s="20" t="n">
        <v>120000</v>
      </c>
    </row>
    <row r="395">
      <c r="M395" s="18" t="n"/>
      <c r="N395" s="19" t="inlineStr">
        <is>
          <t>Reactive Metals</t>
        </is>
      </c>
      <c r="O395" s="19" t="n">
        <v>800</v>
      </c>
    </row>
    <row r="396">
      <c r="M396" s="18" t="n"/>
      <c r="N396" s="19" t="inlineStr">
        <is>
          <t>Base Metals</t>
        </is>
      </c>
      <c r="O396" s="20" t="n">
        <v>120000</v>
      </c>
    </row>
    <row r="397">
      <c r="M397" s="18" t="n"/>
      <c r="N397" s="19" t="inlineStr">
        <is>
          <t>Cryoprotectant Solution</t>
        </is>
      </c>
      <c r="O397" s="19" t="n">
        <v>30</v>
      </c>
    </row>
    <row r="398">
      <c r="M398" s="18" t="n"/>
      <c r="N398" s="19" t="inlineStr">
        <is>
          <t>Test Cultures</t>
        </is>
      </c>
      <c r="O398" s="19" t="n">
        <v>100</v>
      </c>
    </row>
    <row r="399">
      <c r="M399" s="18" t="n"/>
      <c r="N399" s="19" t="inlineStr">
        <is>
          <t>Bacteria</t>
        </is>
      </c>
      <c r="O399" s="19" t="n">
        <v>800</v>
      </c>
    </row>
    <row r="400">
      <c r="M400" s="18" t="n"/>
      <c r="N400" s="19" t="inlineStr">
        <is>
          <t>Microorganisms</t>
        </is>
      </c>
      <c r="O400" s="20" t="n">
        <v>120000</v>
      </c>
    </row>
    <row r="401">
      <c r="M401" s="18" t="n"/>
      <c r="N401" s="19" t="inlineStr">
        <is>
          <t>Water</t>
        </is>
      </c>
      <c r="O401" s="19" t="n">
        <v>800</v>
      </c>
    </row>
    <row r="402">
      <c r="M402" s="18" t="n"/>
      <c r="N402" s="19" t="inlineStr">
        <is>
          <t>Aqueous Liquids</t>
        </is>
      </c>
      <c r="O402" s="20" t="n">
        <v>120000</v>
      </c>
    </row>
    <row r="403">
      <c r="M403" s="18" t="n"/>
      <c r="N403" s="19" t="inlineStr">
        <is>
          <t>Synthetic Oil</t>
        </is>
      </c>
      <c r="O403" s="19" t="n">
        <v>100</v>
      </c>
    </row>
    <row r="404">
      <c r="M404" s="18" t="n"/>
      <c r="N404" s="19" t="inlineStr">
        <is>
          <t>Oxygen</t>
        </is>
      </c>
      <c r="O404" s="19" t="n">
        <v>800</v>
      </c>
    </row>
    <row r="405">
      <c r="M405" s="18" t="n"/>
      <c r="N405" s="19" t="inlineStr">
        <is>
          <t>Noble Gas</t>
        </is>
      </c>
      <c r="O405" s="20" t="n">
        <v>120000</v>
      </c>
    </row>
    <row r="406">
      <c r="M406" s="18" t="n"/>
      <c r="N406" s="19" t="inlineStr">
        <is>
          <t>Electrolytes</t>
        </is>
      </c>
      <c r="O406" s="19" t="n">
        <v>800</v>
      </c>
    </row>
    <row r="407">
      <c r="M407" s="18" t="n"/>
      <c r="N407" s="19" t="inlineStr">
        <is>
          <t>Ionic Solutions</t>
        </is>
      </c>
      <c r="O407" s="20" t="n">
        <v>120000</v>
      </c>
    </row>
    <row r="408">
      <c r="M408" s="18" t="n"/>
      <c r="N408" s="19" t="inlineStr">
        <is>
          <t>Fertilizer</t>
        </is>
      </c>
      <c r="O408" s="19" t="n">
        <v>100</v>
      </c>
    </row>
    <row r="409">
      <c r="M409" s="18" t="n"/>
      <c r="N409" s="19" t="inlineStr">
        <is>
          <t>Bacteria</t>
        </is>
      </c>
      <c r="O409" s="19" t="n">
        <v>800</v>
      </c>
    </row>
    <row r="410">
      <c r="M410" s="18" t="n"/>
      <c r="N410" s="19" t="inlineStr">
        <is>
          <t>Microorganisms</t>
        </is>
      </c>
      <c r="O410" s="20" t="n">
        <v>120000</v>
      </c>
    </row>
    <row r="411">
      <c r="M411" s="18" t="n"/>
      <c r="N411" s="19" t="inlineStr">
        <is>
          <t>Proteins</t>
        </is>
      </c>
      <c r="O411" s="19" t="n">
        <v>800</v>
      </c>
    </row>
    <row r="412">
      <c r="M412" s="18" t="n"/>
      <c r="N412" s="19" t="inlineStr">
        <is>
          <t>Complex Organisms</t>
        </is>
      </c>
      <c r="O412" s="20" t="n">
        <v>120000</v>
      </c>
    </row>
    <row r="413">
      <c r="M413" s="13" t="n"/>
      <c r="N413" s="10" t="inlineStr">
        <is>
          <t>Structure Storage Bay</t>
        </is>
      </c>
      <c r="O413" s="10" t="n">
        <v>1</v>
      </c>
    </row>
    <row r="414">
      <c r="M414" s="13" t="n"/>
      <c r="N414" s="10" t="inlineStr">
        <is>
          <t>Tritanium</t>
        </is>
      </c>
      <c r="O414" s="17" t="n">
        <v>450000</v>
      </c>
    </row>
    <row r="415">
      <c r="M415" s="13" t="n"/>
      <c r="N415" s="10" t="inlineStr">
        <is>
          <t>Pyerite</t>
        </is>
      </c>
      <c r="O415" s="17" t="n">
        <v>90000</v>
      </c>
    </row>
    <row r="416">
      <c r="M416" s="13" t="n"/>
      <c r="N416" s="10" t="inlineStr">
        <is>
          <t>Mexallon</t>
        </is>
      </c>
      <c r="O416" s="17" t="n">
        <v>31500</v>
      </c>
    </row>
    <row r="417">
      <c r="M417" s="13" t="n"/>
      <c r="N417" s="10" t="inlineStr">
        <is>
          <t>Isogen</t>
        </is>
      </c>
      <c r="O417" s="17" t="n">
        <v>3600</v>
      </c>
    </row>
    <row r="418">
      <c r="M418" s="13" t="n"/>
      <c r="N418" s="10" t="inlineStr">
        <is>
          <t>Nocxium</t>
        </is>
      </c>
      <c r="O418" s="10" t="n">
        <v>675</v>
      </c>
    </row>
    <row r="419">
      <c r="M419" s="13" t="n"/>
      <c r="N419" s="10" t="inlineStr">
        <is>
          <t>Zydrine</t>
        </is>
      </c>
      <c r="O419" s="10" t="n">
        <v>315</v>
      </c>
    </row>
    <row r="420">
      <c r="M420" s="13" t="n"/>
      <c r="N420" s="10" t="inlineStr">
        <is>
          <t>Megacyte</t>
        </is>
      </c>
      <c r="O420" s="10" t="n">
        <v>135</v>
      </c>
    </row>
    <row r="421">
      <c r="M421" s="13" t="n"/>
      <c r="N421" s="10" t="inlineStr">
        <is>
          <t>Broadcast Node</t>
        </is>
      </c>
      <c r="O421" s="10" t="n">
        <v>5</v>
      </c>
    </row>
    <row r="422">
      <c r="M422" s="18" t="n"/>
      <c r="N422" s="19" t="inlineStr">
        <is>
          <t>Data Chips</t>
        </is>
      </c>
      <c r="O422" s="19" t="n">
        <v>30</v>
      </c>
    </row>
    <row r="423">
      <c r="M423" s="18" t="n"/>
      <c r="N423" s="19" t="inlineStr">
        <is>
          <t>Supertensile Plastics</t>
        </is>
      </c>
      <c r="O423" s="19" t="n">
        <v>100</v>
      </c>
    </row>
    <row r="424">
      <c r="M424" s="18" t="n"/>
      <c r="N424" s="19" t="inlineStr">
        <is>
          <t>Oxygen</t>
        </is>
      </c>
      <c r="O424" s="19" t="n">
        <v>800</v>
      </c>
    </row>
    <row r="425">
      <c r="M425" s="18" t="n"/>
      <c r="N425" s="19" t="inlineStr">
        <is>
          <t>Noble Gas</t>
        </is>
      </c>
      <c r="O425" s="20" t="n">
        <v>120000</v>
      </c>
    </row>
    <row r="426">
      <c r="M426" s="18" t="n"/>
      <c r="N426" s="19" t="inlineStr">
        <is>
          <t>Biomass</t>
        </is>
      </c>
      <c r="O426" s="19" t="n">
        <v>800</v>
      </c>
    </row>
    <row r="427">
      <c r="M427" s="18" t="n"/>
      <c r="N427" s="19" t="inlineStr">
        <is>
          <t>Planktic Colonies</t>
        </is>
      </c>
      <c r="O427" s="20" t="n">
        <v>120000</v>
      </c>
    </row>
    <row r="428">
      <c r="M428" s="18" t="n"/>
      <c r="N428" s="19" t="inlineStr">
        <is>
          <t>Microfiber Shielding</t>
        </is>
      </c>
      <c r="O428" s="19" t="n">
        <v>100</v>
      </c>
    </row>
    <row r="429">
      <c r="M429" s="18" t="n"/>
      <c r="N429" s="19" t="inlineStr">
        <is>
          <t>Silicon</t>
        </is>
      </c>
      <c r="O429" s="19" t="n">
        <v>800</v>
      </c>
    </row>
    <row r="430">
      <c r="M430" s="18" t="n"/>
      <c r="N430" s="19" t="inlineStr">
        <is>
          <t>Felsic Magma</t>
        </is>
      </c>
      <c r="O430" s="20" t="n">
        <v>120000</v>
      </c>
    </row>
    <row r="431">
      <c r="M431" s="18" t="n"/>
      <c r="N431" s="19" t="inlineStr">
        <is>
          <t>Industrial Fibers</t>
        </is>
      </c>
      <c r="O431" s="19" t="n">
        <v>800</v>
      </c>
    </row>
    <row r="432">
      <c r="M432" s="18" t="n"/>
      <c r="N432" s="19" t="inlineStr">
        <is>
          <t>Autotrophs</t>
        </is>
      </c>
      <c r="O432" s="20" t="n">
        <v>120000</v>
      </c>
    </row>
    <row r="433">
      <c r="M433" s="18" t="n"/>
      <c r="N433" s="19" t="inlineStr">
        <is>
          <t>Neocoms</t>
        </is>
      </c>
      <c r="O433" s="19" t="n">
        <v>30</v>
      </c>
    </row>
    <row r="434">
      <c r="M434" s="18" t="n"/>
      <c r="N434" s="19" t="inlineStr">
        <is>
          <t>Biocells</t>
        </is>
      </c>
      <c r="O434" s="19" t="n">
        <v>100</v>
      </c>
    </row>
    <row r="435">
      <c r="M435" s="18" t="n"/>
      <c r="N435" s="19" t="inlineStr">
        <is>
          <t>Biofuels</t>
        </is>
      </c>
      <c r="O435" s="19" t="n">
        <v>800</v>
      </c>
    </row>
    <row r="436">
      <c r="M436" s="18" t="n"/>
      <c r="N436" s="19" t="inlineStr">
        <is>
          <t>Carbon Compounds</t>
        </is>
      </c>
      <c r="O436" s="20" t="n">
        <v>120000</v>
      </c>
    </row>
    <row r="437">
      <c r="M437" s="18" t="n"/>
      <c r="N437" s="19" t="inlineStr">
        <is>
          <t>Precious Metals</t>
        </is>
      </c>
      <c r="O437" s="19" t="n">
        <v>800</v>
      </c>
    </row>
    <row r="438">
      <c r="M438" s="18" t="n"/>
      <c r="N438" s="19" t="inlineStr">
        <is>
          <t>Noble Metals</t>
        </is>
      </c>
      <c r="O438" s="20" t="n">
        <v>120000</v>
      </c>
    </row>
    <row r="439">
      <c r="M439" s="18" t="n"/>
      <c r="N439" s="19" t="inlineStr">
        <is>
          <t>Silicate Glass</t>
        </is>
      </c>
      <c r="O439" s="19" t="n">
        <v>100</v>
      </c>
    </row>
    <row r="440">
      <c r="M440" s="18" t="n"/>
      <c r="N440" s="19" t="inlineStr">
        <is>
          <t>Oxidizing Compound</t>
        </is>
      </c>
      <c r="O440" s="19" t="n">
        <v>800</v>
      </c>
    </row>
    <row r="441">
      <c r="M441" s="18" t="n"/>
      <c r="N441" s="19" t="inlineStr">
        <is>
          <t>Reactive Gas</t>
        </is>
      </c>
      <c r="O441" s="20" t="n">
        <v>120000</v>
      </c>
    </row>
    <row r="442">
      <c r="M442" s="18" t="n"/>
      <c r="N442" s="19" t="inlineStr">
        <is>
          <t>Silicon</t>
        </is>
      </c>
      <c r="O442" s="19" t="n">
        <v>800</v>
      </c>
    </row>
    <row r="443">
      <c r="M443" s="18" t="n"/>
      <c r="N443" s="19" t="inlineStr">
        <is>
          <t>Felsic Magma</t>
        </is>
      </c>
      <c r="O443" s="20" t="n">
        <v>120000</v>
      </c>
    </row>
    <row r="444">
      <c r="M444" s="18" t="n"/>
      <c r="N444" s="19" t="inlineStr">
        <is>
          <t>High-Tech Transmitters</t>
        </is>
      </c>
      <c r="O444" s="19" t="n">
        <v>30</v>
      </c>
    </row>
    <row r="445">
      <c r="M445" s="18" t="n"/>
      <c r="N445" s="19" t="inlineStr">
        <is>
          <t>Transmitter</t>
        </is>
      </c>
      <c r="O445" s="19" t="n">
        <v>100</v>
      </c>
    </row>
    <row r="446">
      <c r="M446" s="18" t="n"/>
      <c r="N446" s="19" t="inlineStr">
        <is>
          <t>Chiral Structures</t>
        </is>
      </c>
      <c r="O446" s="19" t="n">
        <v>800</v>
      </c>
    </row>
    <row r="447">
      <c r="M447" s="18" t="n"/>
      <c r="N447" s="19" t="inlineStr">
        <is>
          <t>Non-CS Crystals</t>
        </is>
      </c>
      <c r="O447" s="20" t="n">
        <v>120000</v>
      </c>
    </row>
    <row r="448">
      <c r="M448" s="18" t="n"/>
      <c r="N448" s="19" t="inlineStr">
        <is>
          <t>Plasmoids</t>
        </is>
      </c>
      <c r="O448" s="19" t="n">
        <v>800</v>
      </c>
    </row>
    <row r="449">
      <c r="M449" s="18" t="n"/>
      <c r="N449" s="19" t="inlineStr">
        <is>
          <t>Suspended Plasma</t>
        </is>
      </c>
      <c r="O449" s="20" t="n">
        <v>120000</v>
      </c>
    </row>
    <row r="450">
      <c r="M450" s="18" t="n"/>
      <c r="N450" s="19" t="inlineStr">
        <is>
          <t>Polyaramids</t>
        </is>
      </c>
      <c r="O450" s="19" t="n">
        <v>100</v>
      </c>
    </row>
    <row r="451">
      <c r="M451" s="18" t="n"/>
      <c r="N451" s="19" t="inlineStr">
        <is>
          <t>Oxidizing Compound</t>
        </is>
      </c>
      <c r="O451" s="19" t="n">
        <v>800</v>
      </c>
    </row>
    <row r="452">
      <c r="M452" s="18" t="n"/>
      <c r="N452" s="19" t="inlineStr">
        <is>
          <t>Reactive Gas</t>
        </is>
      </c>
      <c r="O452" s="20" t="n">
        <v>120000</v>
      </c>
    </row>
    <row r="453">
      <c r="M453" s="18" t="n"/>
      <c r="N453" s="19" t="inlineStr">
        <is>
          <t>Industrial Fibers</t>
        </is>
      </c>
      <c r="O453" s="19" t="n">
        <v>800</v>
      </c>
    </row>
    <row r="454">
      <c r="M454" s="18" t="n"/>
      <c r="N454" s="19" t="inlineStr">
        <is>
          <t>Autotrophs</t>
        </is>
      </c>
      <c r="O454" s="20" t="n">
        <v>120000</v>
      </c>
    </row>
    <row r="455">
      <c r="M455" s="13" t="n"/>
      <c r="N455" s="10" t="inlineStr">
        <is>
          <t>Integrity Response Drones</t>
        </is>
      </c>
      <c r="O455" s="10" t="n">
        <v>3</v>
      </c>
    </row>
    <row r="456">
      <c r="M456" s="18" t="n"/>
      <c r="N456" s="19" t="inlineStr">
        <is>
          <t>Gel-Matrix Biopaste</t>
        </is>
      </c>
      <c r="O456" s="19" t="n">
        <v>18</v>
      </c>
    </row>
    <row r="457">
      <c r="M457" s="18" t="n"/>
      <c r="N457" s="19" t="inlineStr">
        <is>
          <t>Biocells</t>
        </is>
      </c>
      <c r="O457" s="19" t="n">
        <v>60</v>
      </c>
    </row>
    <row r="458">
      <c r="M458" s="18" t="n"/>
      <c r="N458" s="19" t="inlineStr">
        <is>
          <t>Biofuels</t>
        </is>
      </c>
      <c r="O458" s="19" t="n">
        <v>480</v>
      </c>
    </row>
    <row r="459">
      <c r="M459" s="18" t="n"/>
      <c r="N459" s="19" t="inlineStr">
        <is>
          <t>Carbon Compounds</t>
        </is>
      </c>
      <c r="O459" s="20" t="n">
        <v>72000</v>
      </c>
    </row>
    <row r="460">
      <c r="M460" s="18" t="n"/>
      <c r="N460" s="19" t="inlineStr">
        <is>
          <t>Precious Metals</t>
        </is>
      </c>
      <c r="O460" s="19" t="n">
        <v>480</v>
      </c>
    </row>
    <row r="461">
      <c r="M461" s="18" t="n"/>
      <c r="N461" s="19" t="inlineStr">
        <is>
          <t>Noble Metals</t>
        </is>
      </c>
      <c r="O461" s="20" t="n">
        <v>72000</v>
      </c>
    </row>
    <row r="462">
      <c r="M462" s="18" t="n"/>
      <c r="N462" s="19" t="inlineStr">
        <is>
          <t>Oxides</t>
        </is>
      </c>
      <c r="O462" s="19" t="n">
        <v>60</v>
      </c>
    </row>
    <row r="463">
      <c r="M463" s="18" t="n"/>
      <c r="N463" s="19" t="inlineStr">
        <is>
          <t>Oxidizing Compound</t>
        </is>
      </c>
      <c r="O463" s="19" t="n">
        <v>480</v>
      </c>
    </row>
    <row r="464">
      <c r="M464" s="18" t="n"/>
      <c r="N464" s="19" t="inlineStr">
        <is>
          <t>Reactive Gas</t>
        </is>
      </c>
      <c r="O464" s="20" t="n">
        <v>72000</v>
      </c>
    </row>
    <row r="465">
      <c r="M465" s="18" t="n"/>
      <c r="N465" s="19" t="inlineStr">
        <is>
          <t>Oxygen</t>
        </is>
      </c>
      <c r="O465" s="19" t="n">
        <v>480</v>
      </c>
    </row>
    <row r="466">
      <c r="M466" s="18" t="n"/>
      <c r="N466" s="19" t="inlineStr">
        <is>
          <t>Noble Gas</t>
        </is>
      </c>
      <c r="O466" s="20" t="n">
        <v>72000</v>
      </c>
    </row>
    <row r="467">
      <c r="M467" s="18" t="n"/>
      <c r="N467" s="19" t="inlineStr">
        <is>
          <t>Superconductors</t>
        </is>
      </c>
      <c r="O467" s="19" t="n">
        <v>60</v>
      </c>
    </row>
    <row r="468">
      <c r="M468" s="18" t="n"/>
      <c r="N468" s="19" t="inlineStr">
        <is>
          <t>Plasmoids</t>
        </is>
      </c>
      <c r="O468" s="19" t="n">
        <v>480</v>
      </c>
    </row>
    <row r="469">
      <c r="M469" s="18" t="n"/>
      <c r="N469" s="19" t="inlineStr">
        <is>
          <t>Suspended Plasma</t>
        </is>
      </c>
      <c r="O469" s="20" t="n">
        <v>72000</v>
      </c>
    </row>
    <row r="470">
      <c r="M470" s="18" t="n"/>
      <c r="N470" s="19" t="inlineStr">
        <is>
          <t>Water</t>
        </is>
      </c>
      <c r="O470" s="19" t="n">
        <v>480</v>
      </c>
    </row>
    <row r="471">
      <c r="M471" s="18" t="n"/>
      <c r="N471" s="19" t="inlineStr">
        <is>
          <t>Aqueous Liquids</t>
        </is>
      </c>
      <c r="O471" s="20" t="n">
        <v>72000</v>
      </c>
    </row>
    <row r="472">
      <c r="M472" s="18" t="n"/>
      <c r="N472" s="19" t="inlineStr">
        <is>
          <t>Hazmat Detection Systems</t>
        </is>
      </c>
      <c r="O472" s="19" t="n">
        <v>18</v>
      </c>
    </row>
    <row r="473">
      <c r="M473" s="18" t="n"/>
      <c r="N473" s="19" t="inlineStr">
        <is>
          <t>Transmitter</t>
        </is>
      </c>
      <c r="O473" s="19" t="n">
        <v>60</v>
      </c>
    </row>
    <row r="474">
      <c r="M474" s="18" t="n"/>
      <c r="N474" s="19" t="inlineStr">
        <is>
          <t>Chiral Structures</t>
        </is>
      </c>
      <c r="O474" s="19" t="n">
        <v>480</v>
      </c>
    </row>
    <row r="475">
      <c r="M475" s="18" t="n"/>
      <c r="N475" s="19" t="inlineStr">
        <is>
          <t>Non-CS Crystals</t>
        </is>
      </c>
      <c r="O475" s="20" t="n">
        <v>72000</v>
      </c>
    </row>
    <row r="476">
      <c r="M476" s="18" t="n"/>
      <c r="N476" s="19" t="inlineStr">
        <is>
          <t>Plasmoids</t>
        </is>
      </c>
      <c r="O476" s="19" t="n">
        <v>480</v>
      </c>
    </row>
    <row r="477">
      <c r="M477" s="18" t="n"/>
      <c r="N477" s="19" t="inlineStr">
        <is>
          <t>Suspended Plasma</t>
        </is>
      </c>
      <c r="O477" s="20" t="n">
        <v>72000</v>
      </c>
    </row>
    <row r="478">
      <c r="M478" s="18" t="n"/>
      <c r="N478" s="19" t="inlineStr">
        <is>
          <t>Polytextiles</t>
        </is>
      </c>
      <c r="O478" s="19" t="n">
        <v>60</v>
      </c>
    </row>
    <row r="479">
      <c r="M479" s="18" t="n"/>
      <c r="N479" s="19" t="inlineStr">
        <is>
          <t>Biofuels</t>
        </is>
      </c>
      <c r="O479" s="19" t="n">
        <v>480</v>
      </c>
    </row>
    <row r="480">
      <c r="M480" s="18" t="n"/>
      <c r="N480" s="19" t="inlineStr">
        <is>
          <t>Carbon Compounds</t>
        </is>
      </c>
      <c r="O480" s="20" t="n">
        <v>72000</v>
      </c>
    </row>
    <row r="481">
      <c r="M481" s="18" t="n"/>
      <c r="N481" s="19" t="inlineStr">
        <is>
          <t>Industrial Fibers</t>
        </is>
      </c>
      <c r="O481" s="19" t="n">
        <v>480</v>
      </c>
    </row>
    <row r="482">
      <c r="M482" s="18" t="n"/>
      <c r="N482" s="19" t="inlineStr">
        <is>
          <t>Autotrophs</t>
        </is>
      </c>
      <c r="O482" s="20" t="n">
        <v>72000</v>
      </c>
    </row>
    <row r="483">
      <c r="M483" s="18" t="n"/>
      <c r="N483" s="19" t="inlineStr">
        <is>
          <t>Viral Agent</t>
        </is>
      </c>
      <c r="O483" s="19" t="n">
        <v>60</v>
      </c>
    </row>
    <row r="484">
      <c r="M484" s="18" t="n"/>
      <c r="N484" s="19" t="inlineStr">
        <is>
          <t>Bacteria</t>
        </is>
      </c>
      <c r="O484" s="19" t="n">
        <v>480</v>
      </c>
    </row>
    <row r="485">
      <c r="M485" s="18" t="n"/>
      <c r="N485" s="19" t="inlineStr">
        <is>
          <t>Microorganisms</t>
        </is>
      </c>
      <c r="O485" s="20" t="n">
        <v>72000</v>
      </c>
    </row>
    <row r="486">
      <c r="M486" s="18" t="n"/>
      <c r="N486" s="19" t="inlineStr">
        <is>
          <t>Biomass</t>
        </is>
      </c>
      <c r="O486" s="19" t="n">
        <v>480</v>
      </c>
    </row>
    <row r="487">
      <c r="M487" s="18" t="n"/>
      <c r="N487" s="19" t="inlineStr">
        <is>
          <t>Planktic Colonies</t>
        </is>
      </c>
      <c r="O487" s="20" t="n">
        <v>72000</v>
      </c>
    </row>
    <row r="488">
      <c r="M488" s="18" t="n"/>
      <c r="N488" s="19" t="inlineStr">
        <is>
          <t>Planetary Vehicles</t>
        </is>
      </c>
      <c r="O488" s="19" t="n">
        <v>18</v>
      </c>
    </row>
    <row r="489">
      <c r="M489" s="18" t="n"/>
      <c r="N489" s="19" t="inlineStr">
        <is>
          <t>Supertensile Plastics</t>
        </is>
      </c>
      <c r="O489" s="19" t="n">
        <v>60</v>
      </c>
    </row>
    <row r="490">
      <c r="M490" s="18" t="n"/>
      <c r="N490" s="19" t="inlineStr">
        <is>
          <t>Oxygen</t>
        </is>
      </c>
      <c r="O490" s="19" t="n">
        <v>480</v>
      </c>
    </row>
    <row r="491">
      <c r="M491" s="18" t="n"/>
      <c r="N491" s="19" t="inlineStr">
        <is>
          <t>Noble Gas</t>
        </is>
      </c>
      <c r="O491" s="20" t="n">
        <v>72000</v>
      </c>
    </row>
    <row r="492">
      <c r="M492" s="18" t="n"/>
      <c r="N492" s="19" t="inlineStr">
        <is>
          <t>Biomass</t>
        </is>
      </c>
      <c r="O492" s="19" t="n">
        <v>480</v>
      </c>
    </row>
    <row r="493">
      <c r="M493" s="18" t="n"/>
      <c r="N493" s="19" t="inlineStr">
        <is>
          <t>Planktic Colonies</t>
        </is>
      </c>
      <c r="O493" s="20" t="n">
        <v>72000</v>
      </c>
    </row>
    <row r="494">
      <c r="M494" s="18" t="n"/>
      <c r="N494" s="19" t="inlineStr">
        <is>
          <t>Mechanical Parts</t>
        </is>
      </c>
      <c r="O494" s="19" t="n">
        <v>60</v>
      </c>
    </row>
    <row r="495">
      <c r="M495" s="18" t="n"/>
      <c r="N495" s="19" t="inlineStr">
        <is>
          <t>Reactive Metals</t>
        </is>
      </c>
      <c r="O495" s="19" t="n">
        <v>480</v>
      </c>
    </row>
    <row r="496">
      <c r="M496" s="18" t="n"/>
      <c r="N496" s="19" t="inlineStr">
        <is>
          <t>Base Metals</t>
        </is>
      </c>
      <c r="O496" s="20" t="n">
        <v>72000</v>
      </c>
    </row>
    <row r="497">
      <c r="M497" s="18" t="n"/>
      <c r="N497" s="19" t="inlineStr">
        <is>
          <t>Precious Metals</t>
        </is>
      </c>
      <c r="O497" s="19" t="n">
        <v>480</v>
      </c>
    </row>
    <row r="498">
      <c r="M498" s="18" t="n"/>
      <c r="N498" s="19" t="inlineStr">
        <is>
          <t>Noble Metals</t>
        </is>
      </c>
      <c r="O498" s="20" t="n">
        <v>72000</v>
      </c>
    </row>
    <row r="499">
      <c r="M499" s="18" t="n"/>
      <c r="N499" s="19" t="inlineStr">
        <is>
          <t>Miniature Electronics</t>
        </is>
      </c>
      <c r="O499" s="19" t="n">
        <v>60</v>
      </c>
    </row>
    <row r="500">
      <c r="M500" s="18" t="n"/>
      <c r="N500" s="19" t="inlineStr">
        <is>
          <t>Chiral Structures</t>
        </is>
      </c>
      <c r="O500" s="19" t="n">
        <v>480</v>
      </c>
    </row>
    <row r="501">
      <c r="M501" s="18" t="n"/>
      <c r="N501" s="19" t="inlineStr">
        <is>
          <t>Non-CS Crystals</t>
        </is>
      </c>
      <c r="O501" s="20" t="n">
        <v>72000</v>
      </c>
    </row>
    <row r="502">
      <c r="M502" s="18" t="n"/>
      <c r="N502" s="19" t="inlineStr">
        <is>
          <t>Silicon</t>
        </is>
      </c>
      <c r="O502" s="19" t="n">
        <v>480</v>
      </c>
    </row>
    <row r="503">
      <c r="M503" s="18" t="n"/>
      <c r="N503" s="19" t="inlineStr">
        <is>
          <t>Felsic Magma</t>
        </is>
      </c>
      <c r="O503" s="20" t="n">
        <v>72000</v>
      </c>
    </row>
    <row r="504">
      <c r="M504" s="13" t="n"/>
      <c r="N504" s="10" t="inlineStr">
        <is>
          <t>Nano-Factory</t>
        </is>
      </c>
      <c r="O504" s="10" t="n">
        <v>3</v>
      </c>
    </row>
    <row r="505">
      <c r="M505" s="18" t="n"/>
      <c r="N505" s="19" t="inlineStr">
        <is>
          <t>Industrial Explosives</t>
        </is>
      </c>
      <c r="O505" s="19" t="n">
        <v>18</v>
      </c>
    </row>
    <row r="506">
      <c r="M506" s="18" t="n"/>
      <c r="N506" s="19" t="inlineStr">
        <is>
          <t>Fertilizer</t>
        </is>
      </c>
      <c r="O506" s="19" t="n">
        <v>60</v>
      </c>
    </row>
    <row r="507">
      <c r="M507" s="18" t="n"/>
      <c r="N507" s="19" t="inlineStr">
        <is>
          <t>Bacteria</t>
        </is>
      </c>
      <c r="O507" s="19" t="n">
        <v>480</v>
      </c>
    </row>
    <row r="508">
      <c r="M508" s="18" t="n"/>
      <c r="N508" s="19" t="inlineStr">
        <is>
          <t>Microorganisms</t>
        </is>
      </c>
      <c r="O508" s="20" t="n">
        <v>72000</v>
      </c>
    </row>
    <row r="509">
      <c r="M509" s="18" t="n"/>
      <c r="N509" s="19" t="inlineStr">
        <is>
          <t>Proteins</t>
        </is>
      </c>
      <c r="O509" s="19" t="n">
        <v>480</v>
      </c>
    </row>
    <row r="510">
      <c r="M510" s="18" t="n"/>
      <c r="N510" s="19" t="inlineStr">
        <is>
          <t>Complex Organisms</t>
        </is>
      </c>
      <c r="O510" s="20" t="n">
        <v>72000</v>
      </c>
    </row>
    <row r="511">
      <c r="M511" s="18" t="n"/>
      <c r="N511" s="19" t="inlineStr">
        <is>
          <t>Polytextiles</t>
        </is>
      </c>
      <c r="O511" s="19" t="n">
        <v>60</v>
      </c>
    </row>
    <row r="512">
      <c r="M512" s="18" t="n"/>
      <c r="N512" s="19" t="inlineStr">
        <is>
          <t>Biofuels</t>
        </is>
      </c>
      <c r="O512" s="19" t="n">
        <v>480</v>
      </c>
    </row>
    <row r="513">
      <c r="M513" s="18" t="n"/>
      <c r="N513" s="19" t="inlineStr">
        <is>
          <t>Carbon Compounds</t>
        </is>
      </c>
      <c r="O513" s="20" t="n">
        <v>72000</v>
      </c>
    </row>
    <row r="514">
      <c r="M514" s="18" t="n"/>
      <c r="N514" s="19" t="inlineStr">
        <is>
          <t>Industrial Fibers</t>
        </is>
      </c>
      <c r="O514" s="19" t="n">
        <v>480</v>
      </c>
    </row>
    <row r="515">
      <c r="M515" s="18" t="n"/>
      <c r="N515" s="19" t="inlineStr">
        <is>
          <t>Autotrophs</t>
        </is>
      </c>
      <c r="O515" s="20" t="n">
        <v>72000</v>
      </c>
    </row>
    <row r="516">
      <c r="M516" s="18" t="n"/>
      <c r="N516" s="19" t="inlineStr">
        <is>
          <t>Ukomi Superconductors</t>
        </is>
      </c>
      <c r="O516" s="19" t="n">
        <v>18</v>
      </c>
    </row>
    <row r="517">
      <c r="M517" s="18" t="n"/>
      <c r="N517" s="19" t="inlineStr">
        <is>
          <t>Synthetic Oil</t>
        </is>
      </c>
      <c r="O517" s="19" t="n">
        <v>60</v>
      </c>
    </row>
    <row r="518">
      <c r="M518" s="18" t="n"/>
      <c r="N518" s="19" t="inlineStr">
        <is>
          <t>Oxygen</t>
        </is>
      </c>
      <c r="O518" s="19" t="n">
        <v>480</v>
      </c>
    </row>
    <row r="519">
      <c r="M519" s="18" t="n"/>
      <c r="N519" s="19" t="inlineStr">
        <is>
          <t>Noble Gas</t>
        </is>
      </c>
      <c r="O519" s="20" t="n">
        <v>72000</v>
      </c>
    </row>
    <row r="520">
      <c r="M520" s="18" t="n"/>
      <c r="N520" s="19" t="inlineStr">
        <is>
          <t>Electrolytes</t>
        </is>
      </c>
      <c r="O520" s="19" t="n">
        <v>480</v>
      </c>
    </row>
    <row r="521">
      <c r="M521" s="18" t="n"/>
      <c r="N521" s="19" t="inlineStr">
        <is>
          <t>Ionic Solutions</t>
        </is>
      </c>
      <c r="O521" s="20" t="n">
        <v>72000</v>
      </c>
    </row>
    <row r="522">
      <c r="M522" s="18" t="n"/>
      <c r="N522" s="19" t="inlineStr">
        <is>
          <t>Superconductors</t>
        </is>
      </c>
      <c r="O522" s="19" t="n">
        <v>60</v>
      </c>
    </row>
    <row r="523">
      <c r="M523" s="18" t="n"/>
      <c r="N523" s="19" t="inlineStr">
        <is>
          <t>Plasmoids</t>
        </is>
      </c>
      <c r="O523" s="19" t="n">
        <v>480</v>
      </c>
    </row>
    <row r="524">
      <c r="M524" s="18" t="n"/>
      <c r="N524" s="19" t="inlineStr">
        <is>
          <t>Suspended Plasma</t>
        </is>
      </c>
      <c r="O524" s="20" t="n">
        <v>72000</v>
      </c>
    </row>
    <row r="525">
      <c r="M525" s="18" t="n"/>
      <c r="N525" s="19" t="inlineStr">
        <is>
          <t>Water</t>
        </is>
      </c>
      <c r="O525" s="19" t="n">
        <v>480</v>
      </c>
    </row>
    <row r="526">
      <c r="M526" s="18" t="n"/>
      <c r="N526" s="19" t="inlineStr">
        <is>
          <t>Aqueous Liquids</t>
        </is>
      </c>
      <c r="O526" s="20" t="n">
        <v>72000</v>
      </c>
    </row>
    <row r="527">
      <c r="M527" s="18" t="n"/>
      <c r="N527" s="19" t="inlineStr">
        <is>
          <t>Reactive Metals</t>
        </is>
      </c>
      <c r="O527" s="19" t="n">
        <v>120</v>
      </c>
    </row>
    <row r="528">
      <c r="M528" s="18" t="n"/>
      <c r="N528" s="19" t="inlineStr">
        <is>
          <t>Base Metals</t>
        </is>
      </c>
      <c r="O528" s="20" t="n">
        <v>18000</v>
      </c>
    </row>
    <row r="529">
      <c r="M529" s="13" t="n"/>
      <c r="N529" s="10" t="inlineStr">
        <is>
          <t>Organic Mortar Applicators</t>
        </is>
      </c>
      <c r="O529" s="10" t="n">
        <v>3</v>
      </c>
    </row>
    <row r="530">
      <c r="M530" s="18" t="n"/>
      <c r="N530" s="19" t="inlineStr">
        <is>
          <t>Condensates</t>
        </is>
      </c>
      <c r="O530" s="19" t="n">
        <v>18</v>
      </c>
    </row>
    <row r="531">
      <c r="M531" s="18" t="n"/>
      <c r="N531" s="19" t="inlineStr">
        <is>
          <t>Coolant</t>
        </is>
      </c>
      <c r="O531" s="19" t="n">
        <v>60</v>
      </c>
    </row>
    <row r="532">
      <c r="M532" s="18" t="n"/>
      <c r="N532" s="19" t="inlineStr">
        <is>
          <t>Water</t>
        </is>
      </c>
      <c r="O532" s="19" t="n">
        <v>480</v>
      </c>
    </row>
    <row r="533">
      <c r="M533" s="18" t="n"/>
      <c r="N533" s="19" t="inlineStr">
        <is>
          <t>Aqueous Liquids</t>
        </is>
      </c>
      <c r="O533" s="20" t="n">
        <v>72000</v>
      </c>
    </row>
    <row r="534">
      <c r="M534" s="18" t="n"/>
      <c r="N534" s="19" t="inlineStr">
        <is>
          <t>Electrolytes</t>
        </is>
      </c>
      <c r="O534" s="19" t="n">
        <v>480</v>
      </c>
    </row>
    <row r="535">
      <c r="M535" s="18" t="n"/>
      <c r="N535" s="19" t="inlineStr">
        <is>
          <t>Ionic Solutions</t>
        </is>
      </c>
      <c r="O535" s="20" t="n">
        <v>72000</v>
      </c>
    </row>
    <row r="536">
      <c r="M536" s="18" t="n"/>
      <c r="N536" s="19" t="inlineStr">
        <is>
          <t>Oxides</t>
        </is>
      </c>
      <c r="O536" s="19" t="n">
        <v>60</v>
      </c>
    </row>
    <row r="537">
      <c r="M537" s="18" t="n"/>
      <c r="N537" s="19" t="inlineStr">
        <is>
          <t>Oxidizing Compound</t>
        </is>
      </c>
      <c r="O537" s="19" t="n">
        <v>480</v>
      </c>
    </row>
    <row r="538">
      <c r="M538" s="18" t="n"/>
      <c r="N538" s="19" t="inlineStr">
        <is>
          <t>Reactive Gas</t>
        </is>
      </c>
      <c r="O538" s="20" t="n">
        <v>72000</v>
      </c>
    </row>
    <row r="539">
      <c r="M539" s="18" t="n"/>
      <c r="N539" s="19" t="inlineStr">
        <is>
          <t>Oxygen</t>
        </is>
      </c>
      <c r="O539" s="19" t="n">
        <v>480</v>
      </c>
    </row>
    <row r="540">
      <c r="M540" s="18" t="n"/>
      <c r="N540" s="19" t="inlineStr">
        <is>
          <t>Noble Gas</t>
        </is>
      </c>
      <c r="O540" s="20" t="n">
        <v>72000</v>
      </c>
    </row>
    <row r="541">
      <c r="M541" s="18" t="n"/>
      <c r="N541" s="19" t="inlineStr">
        <is>
          <t>Bacteria</t>
        </is>
      </c>
      <c r="O541" s="19" t="n">
        <v>120</v>
      </c>
    </row>
    <row r="542">
      <c r="M542" s="18" t="n"/>
      <c r="N542" s="19" t="inlineStr">
        <is>
          <t>Microorganisms</t>
        </is>
      </c>
      <c r="O542" s="20" t="n">
        <v>18000</v>
      </c>
    </row>
    <row r="543">
      <c r="M543" s="18" t="n"/>
      <c r="N543" s="19" t="inlineStr">
        <is>
          <t>Robotics</t>
        </is>
      </c>
      <c r="O543" s="19" t="n">
        <v>18</v>
      </c>
    </row>
    <row r="544">
      <c r="M544" s="18" t="n"/>
      <c r="N544" s="19" t="inlineStr">
        <is>
          <t>Mechanical Parts</t>
        </is>
      </c>
      <c r="O544" s="19" t="n">
        <v>60</v>
      </c>
    </row>
    <row r="545">
      <c r="M545" s="18" t="n"/>
      <c r="N545" s="19" t="inlineStr">
        <is>
          <t>Reactive Metals</t>
        </is>
      </c>
      <c r="O545" s="19" t="n">
        <v>480</v>
      </c>
    </row>
    <row r="546">
      <c r="M546" s="18" t="n"/>
      <c r="N546" s="19" t="inlineStr">
        <is>
          <t>Base Metals</t>
        </is>
      </c>
      <c r="O546" s="20" t="n">
        <v>72000</v>
      </c>
    </row>
    <row r="547">
      <c r="M547" s="18" t="n"/>
      <c r="N547" s="19" t="inlineStr">
        <is>
          <t>Precious Metals</t>
        </is>
      </c>
      <c r="O547" s="19" t="n">
        <v>480</v>
      </c>
    </row>
    <row r="548">
      <c r="M548" s="18" t="n"/>
      <c r="N548" s="19" t="inlineStr">
        <is>
          <t>Noble Metals</t>
        </is>
      </c>
      <c r="O548" s="20" t="n">
        <v>72000</v>
      </c>
    </row>
    <row r="549">
      <c r="M549" s="18" t="n"/>
      <c r="N549" s="19" t="inlineStr">
        <is>
          <t>Consumer Electronics</t>
        </is>
      </c>
      <c r="O549" s="19" t="n">
        <v>60</v>
      </c>
    </row>
    <row r="550">
      <c r="M550" s="18" t="n"/>
      <c r="N550" s="19" t="inlineStr">
        <is>
          <t>Toxic Metals</t>
        </is>
      </c>
      <c r="O550" s="19" t="n">
        <v>480</v>
      </c>
    </row>
    <row r="551">
      <c r="M551" s="18" t="n"/>
      <c r="N551" s="19" t="inlineStr">
        <is>
          <t>Heavy Metals</t>
        </is>
      </c>
      <c r="O551" s="20" t="n">
        <v>72000</v>
      </c>
    </row>
    <row r="552">
      <c r="M552" s="18" t="n"/>
      <c r="N552" s="19" t="inlineStr">
        <is>
          <t>Chiral Structures</t>
        </is>
      </c>
      <c r="O552" s="19" t="n">
        <v>480</v>
      </c>
    </row>
    <row r="553">
      <c r="M553" s="18" t="n"/>
      <c r="N553" s="19" t="inlineStr">
        <is>
          <t>Non-CS Crystals</t>
        </is>
      </c>
      <c r="O553" s="20" t="n">
        <v>72000</v>
      </c>
    </row>
    <row r="554">
      <c r="M554" s="13" t="n"/>
      <c r="N554" s="10" t="inlineStr">
        <is>
          <t>Sterile Conduits</t>
        </is>
      </c>
      <c r="O554" s="10" t="n">
        <v>3</v>
      </c>
    </row>
    <row r="555">
      <c r="M555" s="18" t="n"/>
      <c r="N555" s="19" t="inlineStr">
        <is>
          <t>Water</t>
        </is>
      </c>
      <c r="O555" s="19" t="n">
        <v>120</v>
      </c>
    </row>
    <row r="556">
      <c r="M556" s="18" t="n"/>
      <c r="N556" s="19" t="inlineStr">
        <is>
          <t>Aqueous Liquids</t>
        </is>
      </c>
      <c r="O556" s="20" t="n">
        <v>18000</v>
      </c>
    </row>
    <row r="557">
      <c r="M557" s="18" t="n"/>
      <c r="N557" s="19" t="inlineStr">
        <is>
          <t>Vaccines</t>
        </is>
      </c>
      <c r="O557" s="19" t="n">
        <v>18</v>
      </c>
    </row>
    <row r="558">
      <c r="M558" s="18" t="n"/>
      <c r="N558" s="19" t="inlineStr">
        <is>
          <t>Livestock</t>
        </is>
      </c>
      <c r="O558" s="19" t="n">
        <v>60</v>
      </c>
    </row>
    <row r="559">
      <c r="M559" s="18" t="n"/>
      <c r="N559" s="19" t="inlineStr">
        <is>
          <t>Proteins</t>
        </is>
      </c>
      <c r="O559" s="19" t="n">
        <v>480</v>
      </c>
    </row>
    <row r="560">
      <c r="M560" s="18" t="n"/>
      <c r="N560" s="19" t="inlineStr">
        <is>
          <t>Complex Organisms</t>
        </is>
      </c>
      <c r="O560" s="20" t="n">
        <v>72000</v>
      </c>
    </row>
    <row r="561">
      <c r="M561" s="18" t="n"/>
      <c r="N561" s="19" t="inlineStr">
        <is>
          <t>Biofuels</t>
        </is>
      </c>
      <c r="O561" s="19" t="n">
        <v>480</v>
      </c>
    </row>
    <row r="562">
      <c r="M562" s="18" t="n"/>
      <c r="N562" s="19" t="inlineStr">
        <is>
          <t>Carbon Compounds</t>
        </is>
      </c>
      <c r="O562" s="20" t="n">
        <v>72000</v>
      </c>
    </row>
    <row r="563">
      <c r="M563" s="18" t="n"/>
      <c r="N563" s="19" t="inlineStr">
        <is>
          <t>Viral Agent</t>
        </is>
      </c>
      <c r="O563" s="19" t="n">
        <v>60</v>
      </c>
    </row>
    <row r="564">
      <c r="M564" s="18" t="n"/>
      <c r="N564" s="19" t="inlineStr">
        <is>
          <t>Bacteria</t>
        </is>
      </c>
      <c r="O564" s="19" t="n">
        <v>480</v>
      </c>
    </row>
    <row r="565">
      <c r="M565" s="18" t="n"/>
      <c r="N565" s="19" t="inlineStr">
        <is>
          <t>Microorganisms</t>
        </is>
      </c>
      <c r="O565" s="20" t="n">
        <v>72000</v>
      </c>
    </row>
    <row r="566">
      <c r="M566" s="18" t="n"/>
      <c r="N566" s="19" t="inlineStr">
        <is>
          <t>Biomass</t>
        </is>
      </c>
      <c r="O566" s="19" t="n">
        <v>480</v>
      </c>
    </row>
    <row r="567">
      <c r="M567" s="18" t="n"/>
      <c r="N567" s="19" t="inlineStr">
        <is>
          <t>Planktic Colonies</t>
        </is>
      </c>
      <c r="O567" s="20" t="n">
        <v>72000</v>
      </c>
    </row>
    <row r="568">
      <c r="M568" s="18" t="n"/>
      <c r="N568" s="19" t="inlineStr">
        <is>
          <t>Smartfab Units</t>
        </is>
      </c>
      <c r="O568" s="19" t="n">
        <v>18</v>
      </c>
    </row>
    <row r="569">
      <c r="M569" s="18" t="n"/>
      <c r="N569" s="19" t="inlineStr">
        <is>
          <t>Miniature Electronics</t>
        </is>
      </c>
      <c r="O569" s="19" t="n">
        <v>60</v>
      </c>
    </row>
    <row r="570">
      <c r="M570" s="18" t="n"/>
      <c r="N570" s="19" t="inlineStr">
        <is>
          <t>Chiral Structures</t>
        </is>
      </c>
      <c r="O570" s="19" t="n">
        <v>480</v>
      </c>
    </row>
    <row r="571">
      <c r="M571" s="18" t="n"/>
      <c r="N571" s="19" t="inlineStr">
        <is>
          <t>Non-CS Crystals</t>
        </is>
      </c>
      <c r="O571" s="20" t="n">
        <v>72000</v>
      </c>
    </row>
    <row r="572">
      <c r="M572" s="18" t="n"/>
      <c r="N572" s="19" t="inlineStr">
        <is>
          <t>Silicon</t>
        </is>
      </c>
      <c r="O572" s="19" t="n">
        <v>480</v>
      </c>
    </row>
    <row r="573">
      <c r="M573" s="18" t="n"/>
      <c r="N573" s="19" t="inlineStr">
        <is>
          <t>Felsic Magma</t>
        </is>
      </c>
      <c r="O573" s="20" t="n">
        <v>72000</v>
      </c>
    </row>
    <row r="574">
      <c r="M574" s="18" t="n"/>
      <c r="N574" s="19" t="inlineStr">
        <is>
          <t>Construction Blocks</t>
        </is>
      </c>
      <c r="O574" s="19" t="n">
        <v>60</v>
      </c>
    </row>
    <row r="575">
      <c r="M575" s="18" t="n"/>
      <c r="N575" s="19" t="inlineStr">
        <is>
          <t>Toxic Metals</t>
        </is>
      </c>
      <c r="O575" s="19" t="n">
        <v>480</v>
      </c>
    </row>
    <row r="576">
      <c r="M576" s="18" t="n"/>
      <c r="N576" s="19" t="inlineStr">
        <is>
          <t>Heavy Metals</t>
        </is>
      </c>
      <c r="O576" s="20" t="n">
        <v>72000</v>
      </c>
    </row>
    <row r="577">
      <c r="M577" s="18" t="n"/>
      <c r="N577" s="19" t="inlineStr">
        <is>
          <t>Reactive Metals</t>
        </is>
      </c>
      <c r="O577" s="19" t="n">
        <v>480</v>
      </c>
    </row>
    <row r="578">
      <c r="M578" s="18" t="n"/>
      <c r="N578" s="19" t="inlineStr">
        <is>
          <t>Base Metals</t>
        </is>
      </c>
      <c r="O578" s="20" t="n">
        <v>72000</v>
      </c>
    </row>
    <row r="579">
      <c r="M579" s="13" t="n"/>
      <c r="N579" s="10" t="inlineStr">
        <is>
          <t>Wetware Mainframe</t>
        </is>
      </c>
      <c r="O579" s="10" t="n">
        <v>5</v>
      </c>
    </row>
    <row r="580">
      <c r="M580" s="18" t="n"/>
      <c r="N580" s="19" t="inlineStr">
        <is>
          <t>Supercomputers</t>
        </is>
      </c>
      <c r="O580" s="19" t="n">
        <v>30</v>
      </c>
    </row>
    <row r="581">
      <c r="M581" s="18" t="n"/>
      <c r="N581" s="19" t="inlineStr">
        <is>
          <t>Water-Cooled CPU</t>
        </is>
      </c>
      <c r="O581" s="19" t="n">
        <v>100</v>
      </c>
    </row>
    <row r="582">
      <c r="M582" s="18" t="n"/>
      <c r="N582" s="19" t="inlineStr">
        <is>
          <t>Water</t>
        </is>
      </c>
      <c r="O582" s="19" t="n">
        <v>800</v>
      </c>
    </row>
    <row r="583">
      <c r="M583" s="18" t="n"/>
      <c r="N583" s="19" t="inlineStr">
        <is>
          <t>Aqueous Liquids</t>
        </is>
      </c>
      <c r="O583" s="20" t="n">
        <v>120000</v>
      </c>
    </row>
    <row r="584">
      <c r="M584" s="18" t="n"/>
      <c r="N584" s="19" t="inlineStr">
        <is>
          <t>Reactive Metals</t>
        </is>
      </c>
      <c r="O584" s="19" t="n">
        <v>800</v>
      </c>
    </row>
    <row r="585">
      <c r="M585" s="18" t="n"/>
      <c r="N585" s="19" t="inlineStr">
        <is>
          <t>Base Metals</t>
        </is>
      </c>
      <c r="O585" s="20" t="n">
        <v>120000</v>
      </c>
    </row>
    <row r="586">
      <c r="M586" s="18" t="n"/>
      <c r="N586" s="19" t="inlineStr">
        <is>
          <t>Coolant</t>
        </is>
      </c>
      <c r="O586" s="19" t="n">
        <v>100</v>
      </c>
    </row>
    <row r="587">
      <c r="M587" s="18" t="n"/>
      <c r="N587" s="19" t="inlineStr">
        <is>
          <t>Water</t>
        </is>
      </c>
      <c r="O587" s="19" t="n">
        <v>800</v>
      </c>
    </row>
    <row r="588">
      <c r="M588" s="18" t="n"/>
      <c r="N588" s="19" t="inlineStr">
        <is>
          <t>Aqueous Liquids</t>
        </is>
      </c>
      <c r="O588" s="20" t="n">
        <v>120000</v>
      </c>
    </row>
    <row r="589">
      <c r="M589" s="18" t="n"/>
      <c r="N589" s="19" t="inlineStr">
        <is>
          <t>Electrolytes</t>
        </is>
      </c>
      <c r="O589" s="19" t="n">
        <v>800</v>
      </c>
    </row>
    <row r="590">
      <c r="M590" s="18" t="n"/>
      <c r="N590" s="19" t="inlineStr">
        <is>
          <t>Ionic Solutions</t>
        </is>
      </c>
      <c r="O590" s="20" t="n">
        <v>120000</v>
      </c>
    </row>
    <row r="591">
      <c r="M591" s="18" t="n"/>
      <c r="N591" s="19" t="inlineStr">
        <is>
          <t>Consumer Electronics</t>
        </is>
      </c>
      <c r="O591" s="19" t="n">
        <v>100</v>
      </c>
    </row>
    <row r="592">
      <c r="M592" s="18" t="n"/>
      <c r="N592" s="19" t="inlineStr">
        <is>
          <t>Toxic Metals</t>
        </is>
      </c>
      <c r="O592" s="19" t="n">
        <v>800</v>
      </c>
    </row>
    <row r="593">
      <c r="M593" s="18" t="n"/>
      <c r="N593" s="19" t="inlineStr">
        <is>
          <t>Heavy Metals</t>
        </is>
      </c>
      <c r="O593" s="20" t="n">
        <v>120000</v>
      </c>
    </row>
    <row r="594">
      <c r="M594" s="18" t="n"/>
      <c r="N594" s="19" t="inlineStr">
        <is>
          <t>Chiral Structures</t>
        </is>
      </c>
      <c r="O594" s="19" t="n">
        <v>800</v>
      </c>
    </row>
    <row r="595">
      <c r="M595" s="18" t="n"/>
      <c r="N595" s="19" t="inlineStr">
        <is>
          <t>Non-CS Crystals</t>
        </is>
      </c>
      <c r="O595" s="20" t="n">
        <v>120000</v>
      </c>
    </row>
    <row r="596">
      <c r="M596" s="18" t="n"/>
      <c r="N596" s="19" t="inlineStr">
        <is>
          <t>Biotech Research Reports</t>
        </is>
      </c>
      <c r="O596" s="19" t="n">
        <v>30</v>
      </c>
    </row>
    <row r="597">
      <c r="M597" s="18" t="n"/>
      <c r="N597" s="19" t="inlineStr">
        <is>
          <t>Construction Blocks</t>
        </is>
      </c>
      <c r="O597" s="19" t="n">
        <v>100</v>
      </c>
    </row>
    <row r="598">
      <c r="M598" s="18" t="n"/>
      <c r="N598" s="19" t="inlineStr">
        <is>
          <t>Toxic Metals</t>
        </is>
      </c>
      <c r="O598" s="19" t="n">
        <v>800</v>
      </c>
    </row>
    <row r="599">
      <c r="M599" s="18" t="n"/>
      <c r="N599" s="19" t="inlineStr">
        <is>
          <t>Heavy Metals</t>
        </is>
      </c>
      <c r="O599" s="20" t="n">
        <v>120000</v>
      </c>
    </row>
    <row r="600">
      <c r="M600" s="18" t="n"/>
      <c r="N600" s="19" t="inlineStr">
        <is>
          <t>Reactive Metals</t>
        </is>
      </c>
      <c r="O600" s="19" t="n">
        <v>800</v>
      </c>
    </row>
    <row r="601">
      <c r="M601" s="18" t="n"/>
      <c r="N601" s="19" t="inlineStr">
        <is>
          <t>Base Metals</t>
        </is>
      </c>
      <c r="O601" s="20" t="n">
        <v>120000</v>
      </c>
    </row>
    <row r="602">
      <c r="M602" s="18" t="n"/>
      <c r="N602" s="19" t="inlineStr">
        <is>
          <t>Livestock</t>
        </is>
      </c>
      <c r="O602" s="19" t="n">
        <v>100</v>
      </c>
    </row>
    <row r="603">
      <c r="M603" s="18" t="n"/>
      <c r="N603" s="19" t="inlineStr">
        <is>
          <t>Proteins</t>
        </is>
      </c>
      <c r="O603" s="19" t="n">
        <v>800</v>
      </c>
    </row>
    <row r="604">
      <c r="M604" s="18" t="n"/>
      <c r="N604" s="19" t="inlineStr">
        <is>
          <t>Complex Organisms</t>
        </is>
      </c>
      <c r="O604" s="20" t="n">
        <v>120000</v>
      </c>
    </row>
    <row r="605">
      <c r="M605" s="18" t="n"/>
      <c r="N605" s="19" t="inlineStr">
        <is>
          <t>Biofuels</t>
        </is>
      </c>
      <c r="O605" s="19" t="n">
        <v>800</v>
      </c>
    </row>
    <row r="606">
      <c r="M606" s="18" t="n"/>
      <c r="N606" s="19" t="inlineStr">
        <is>
          <t>Carbon Compounds</t>
        </is>
      </c>
      <c r="O606" s="20" t="n">
        <v>120000</v>
      </c>
    </row>
    <row r="607">
      <c r="M607" s="18" t="n"/>
      <c r="N607" s="19" t="inlineStr">
        <is>
          <t>Nanites</t>
        </is>
      </c>
      <c r="O607" s="19" t="n">
        <v>100</v>
      </c>
    </row>
    <row r="608">
      <c r="M608" s="18" t="n"/>
      <c r="N608" s="19" t="inlineStr">
        <is>
          <t>Bacteria</t>
        </is>
      </c>
      <c r="O608" s="19" t="n">
        <v>800</v>
      </c>
    </row>
    <row r="609">
      <c r="M609" s="18" t="n"/>
      <c r="N609" s="19" t="inlineStr">
        <is>
          <t>Microorganisms</t>
        </is>
      </c>
      <c r="O609" s="20" t="n">
        <v>120000</v>
      </c>
    </row>
    <row r="610">
      <c r="M610" s="18" t="n"/>
      <c r="N610" s="19" t="inlineStr">
        <is>
          <t>Reactive Metals</t>
        </is>
      </c>
      <c r="O610" s="19" t="n">
        <v>800</v>
      </c>
    </row>
    <row r="611">
      <c r="M611" s="18" t="n"/>
      <c r="N611" s="19" t="inlineStr">
        <is>
          <t>Base Metals</t>
        </is>
      </c>
      <c r="O611" s="20" t="n">
        <v>120000</v>
      </c>
    </row>
    <row r="612">
      <c r="M612" s="18" t="n"/>
      <c r="N612" s="19" t="inlineStr">
        <is>
          <t>Cryoprotectant Solution</t>
        </is>
      </c>
      <c r="O612" s="19" t="n">
        <v>30</v>
      </c>
    </row>
    <row r="613">
      <c r="M613" s="18" t="n"/>
      <c r="N613" s="19" t="inlineStr">
        <is>
          <t>Test Cultures</t>
        </is>
      </c>
      <c r="O613" s="19" t="n">
        <v>100</v>
      </c>
    </row>
    <row r="614">
      <c r="M614" s="18" t="n"/>
      <c r="N614" s="19" t="inlineStr">
        <is>
          <t>Bacteria</t>
        </is>
      </c>
      <c r="O614" s="19" t="n">
        <v>800</v>
      </c>
    </row>
    <row r="615">
      <c r="M615" s="18" t="n"/>
      <c r="N615" s="19" t="inlineStr">
        <is>
          <t>Microorganisms</t>
        </is>
      </c>
      <c r="O615" s="20" t="n">
        <v>120000</v>
      </c>
    </row>
    <row r="616">
      <c r="M616" s="18" t="n"/>
      <c r="N616" s="19" t="inlineStr">
        <is>
          <t>Water</t>
        </is>
      </c>
      <c r="O616" s="19" t="n">
        <v>800</v>
      </c>
    </row>
    <row r="617">
      <c r="M617" s="18" t="n"/>
      <c r="N617" s="19" t="inlineStr">
        <is>
          <t>Aqueous Liquids</t>
        </is>
      </c>
      <c r="O617" s="20" t="n">
        <v>120000</v>
      </c>
    </row>
    <row r="618">
      <c r="M618" s="18" t="n"/>
      <c r="N618" s="19" t="inlineStr">
        <is>
          <t>Synthetic Oil</t>
        </is>
      </c>
      <c r="O618" s="19" t="n">
        <v>100</v>
      </c>
    </row>
    <row r="619">
      <c r="M619" s="18" t="n"/>
      <c r="N619" s="19" t="inlineStr">
        <is>
          <t>Oxygen</t>
        </is>
      </c>
      <c r="O619" s="19" t="n">
        <v>800</v>
      </c>
    </row>
    <row r="620">
      <c r="M620" s="18" t="n"/>
      <c r="N620" s="19" t="inlineStr">
        <is>
          <t>Noble Gas</t>
        </is>
      </c>
      <c r="O620" s="20" t="n">
        <v>120000</v>
      </c>
    </row>
    <row r="621">
      <c r="M621" s="18" t="n"/>
      <c r="N621" s="19" t="inlineStr">
        <is>
          <t>Electrolytes</t>
        </is>
      </c>
      <c r="O621" s="19" t="n">
        <v>800</v>
      </c>
    </row>
    <row r="622">
      <c r="M622" s="18" t="n"/>
      <c r="N622" s="19" t="inlineStr">
        <is>
          <t>Ionic Solutions</t>
        </is>
      </c>
      <c r="O622" s="20" t="n">
        <v>120000</v>
      </c>
    </row>
    <row r="623">
      <c r="M623" s="18" t="n"/>
      <c r="N623" s="19" t="inlineStr">
        <is>
          <t>Fertilizer</t>
        </is>
      </c>
      <c r="O623" s="19" t="n">
        <v>100</v>
      </c>
    </row>
    <row r="624">
      <c r="M624" s="18" t="n"/>
      <c r="N624" s="19" t="inlineStr">
        <is>
          <t>Bacteria</t>
        </is>
      </c>
      <c r="O624" s="19" t="n">
        <v>800</v>
      </c>
    </row>
    <row r="625">
      <c r="M625" s="18" t="n"/>
      <c r="N625" s="19" t="inlineStr">
        <is>
          <t>Microorganisms</t>
        </is>
      </c>
      <c r="O625" s="20" t="n">
        <v>120000</v>
      </c>
    </row>
    <row r="626">
      <c r="M626" s="18" t="n"/>
      <c r="N626" s="19" t="inlineStr">
        <is>
          <t>Proteins</t>
        </is>
      </c>
      <c r="O626" s="19" t="n">
        <v>800</v>
      </c>
    </row>
    <row r="627">
      <c r="M627" s="18" t="n"/>
      <c r="N627" s="19" t="inlineStr">
        <is>
          <t>Complex Organisms</t>
        </is>
      </c>
      <c r="O627" s="20" t="n">
        <v>120000</v>
      </c>
    </row>
    <row r="628">
      <c r="M628" s="13" t="n"/>
      <c r="N628" s="10" t="inlineStr">
        <is>
          <t>Structure Repair Facility</t>
        </is>
      </c>
      <c r="O628" s="10" t="n">
        <v>1</v>
      </c>
    </row>
    <row r="629">
      <c r="M629" s="13" t="n"/>
      <c r="N629" s="10" t="inlineStr">
        <is>
          <t>Tritanium</t>
        </is>
      </c>
      <c r="O629" s="17" t="n">
        <v>450000</v>
      </c>
    </row>
    <row r="630">
      <c r="M630" s="13" t="n"/>
      <c r="N630" s="10" t="inlineStr">
        <is>
          <t>Pyerite</t>
        </is>
      </c>
      <c r="O630" s="17" t="n">
        <v>90000</v>
      </c>
    </row>
    <row r="631">
      <c r="M631" s="13" t="n"/>
      <c r="N631" s="10" t="inlineStr">
        <is>
          <t>Mexallon</t>
        </is>
      </c>
      <c r="O631" s="17" t="n">
        <v>31500</v>
      </c>
    </row>
    <row r="632">
      <c r="M632" s="13" t="n"/>
      <c r="N632" s="10" t="inlineStr">
        <is>
          <t>Isogen</t>
        </is>
      </c>
      <c r="O632" s="17" t="n">
        <v>3600</v>
      </c>
    </row>
    <row r="633">
      <c r="M633" s="13" t="n"/>
      <c r="N633" s="10" t="inlineStr">
        <is>
          <t>Nocxium</t>
        </is>
      </c>
      <c r="O633" s="10" t="n">
        <v>675</v>
      </c>
    </row>
    <row r="634">
      <c r="M634" s="13" t="n"/>
      <c r="N634" s="10" t="inlineStr">
        <is>
          <t>Zydrine</t>
        </is>
      </c>
      <c r="O634" s="10" t="n">
        <v>315</v>
      </c>
    </row>
    <row r="635">
      <c r="M635" s="13" t="n"/>
      <c r="N635" s="10" t="inlineStr">
        <is>
          <t>Megacyte</t>
        </is>
      </c>
      <c r="O635" s="10" t="n">
        <v>135</v>
      </c>
    </row>
    <row r="636">
      <c r="M636" s="13" t="n"/>
      <c r="N636" s="10" t="inlineStr">
        <is>
          <t>Integrity Response Drones</t>
        </is>
      </c>
      <c r="O636" s="10" t="n">
        <v>3</v>
      </c>
    </row>
    <row r="637">
      <c r="M637" s="18" t="n"/>
      <c r="N637" s="19" t="inlineStr">
        <is>
          <t>Gel-Matrix Biopaste</t>
        </is>
      </c>
      <c r="O637" s="19" t="n">
        <v>18</v>
      </c>
    </row>
    <row r="638">
      <c r="M638" s="18" t="n"/>
      <c r="N638" s="19" t="inlineStr">
        <is>
          <t>Biocells</t>
        </is>
      </c>
      <c r="O638" s="19" t="n">
        <v>60</v>
      </c>
    </row>
    <row r="639">
      <c r="M639" s="18" t="n"/>
      <c r="N639" s="19" t="inlineStr">
        <is>
          <t>Biofuels</t>
        </is>
      </c>
      <c r="O639" s="19" t="n">
        <v>480</v>
      </c>
    </row>
    <row r="640">
      <c r="M640" s="18" t="n"/>
      <c r="N640" s="19" t="inlineStr">
        <is>
          <t>Carbon Compounds</t>
        </is>
      </c>
      <c r="O640" s="20" t="n">
        <v>72000</v>
      </c>
    </row>
    <row r="641">
      <c r="M641" s="18" t="n"/>
      <c r="N641" s="19" t="inlineStr">
        <is>
          <t>Precious Metals</t>
        </is>
      </c>
      <c r="O641" s="19" t="n">
        <v>480</v>
      </c>
    </row>
    <row r="642">
      <c r="M642" s="18" t="n"/>
      <c r="N642" s="19" t="inlineStr">
        <is>
          <t>Noble Metals</t>
        </is>
      </c>
      <c r="O642" s="20" t="n">
        <v>72000</v>
      </c>
    </row>
    <row r="643">
      <c r="M643" s="18" t="n"/>
      <c r="N643" s="19" t="inlineStr">
        <is>
          <t>Oxides</t>
        </is>
      </c>
      <c r="O643" s="19" t="n">
        <v>60</v>
      </c>
    </row>
    <row r="644">
      <c r="M644" s="18" t="n"/>
      <c r="N644" s="19" t="inlineStr">
        <is>
          <t>Oxidizing Compound</t>
        </is>
      </c>
      <c r="O644" s="19" t="n">
        <v>480</v>
      </c>
    </row>
    <row r="645">
      <c r="M645" s="18" t="n"/>
      <c r="N645" s="19" t="inlineStr">
        <is>
          <t>Reactive Gas</t>
        </is>
      </c>
      <c r="O645" s="20" t="n">
        <v>72000</v>
      </c>
    </row>
    <row r="646">
      <c r="M646" s="18" t="n"/>
      <c r="N646" s="19" t="inlineStr">
        <is>
          <t>Oxygen</t>
        </is>
      </c>
      <c r="O646" s="19" t="n">
        <v>480</v>
      </c>
    </row>
    <row r="647">
      <c r="M647" s="18" t="n"/>
      <c r="N647" s="19" t="inlineStr">
        <is>
          <t>Noble Gas</t>
        </is>
      </c>
      <c r="O647" s="20" t="n">
        <v>72000</v>
      </c>
    </row>
    <row r="648">
      <c r="M648" s="18" t="n"/>
      <c r="N648" s="19" t="inlineStr">
        <is>
          <t>Superconductors</t>
        </is>
      </c>
      <c r="O648" s="19" t="n">
        <v>60</v>
      </c>
    </row>
    <row r="649">
      <c r="M649" s="18" t="n"/>
      <c r="N649" s="19" t="inlineStr">
        <is>
          <t>Plasmoids</t>
        </is>
      </c>
      <c r="O649" s="19" t="n">
        <v>480</v>
      </c>
    </row>
    <row r="650">
      <c r="M650" s="18" t="n"/>
      <c r="N650" s="19" t="inlineStr">
        <is>
          <t>Suspended Plasma</t>
        </is>
      </c>
      <c r="O650" s="20" t="n">
        <v>72000</v>
      </c>
    </row>
    <row r="651">
      <c r="M651" s="18" t="n"/>
      <c r="N651" s="19" t="inlineStr">
        <is>
          <t>Water</t>
        </is>
      </c>
      <c r="O651" s="19" t="n">
        <v>480</v>
      </c>
    </row>
    <row r="652">
      <c r="M652" s="18" t="n"/>
      <c r="N652" s="19" t="inlineStr">
        <is>
          <t>Aqueous Liquids</t>
        </is>
      </c>
      <c r="O652" s="20" t="n">
        <v>72000</v>
      </c>
    </row>
    <row r="653">
      <c r="M653" s="18" t="n"/>
      <c r="N653" s="19" t="inlineStr">
        <is>
          <t>Hazmat Detection Systems</t>
        </is>
      </c>
      <c r="O653" s="19" t="n">
        <v>18</v>
      </c>
    </row>
    <row r="654">
      <c r="M654" s="18" t="n"/>
      <c r="N654" s="19" t="inlineStr">
        <is>
          <t>Transmitter</t>
        </is>
      </c>
      <c r="O654" s="19" t="n">
        <v>60</v>
      </c>
    </row>
    <row r="655">
      <c r="M655" s="18" t="n"/>
      <c r="N655" s="19" t="inlineStr">
        <is>
          <t>Chiral Structures</t>
        </is>
      </c>
      <c r="O655" s="19" t="n">
        <v>480</v>
      </c>
    </row>
    <row r="656">
      <c r="M656" s="18" t="n"/>
      <c r="N656" s="19" t="inlineStr">
        <is>
          <t>Non-CS Crystals</t>
        </is>
      </c>
      <c r="O656" s="20" t="n">
        <v>72000</v>
      </c>
    </row>
    <row r="657">
      <c r="M657" s="18" t="n"/>
      <c r="N657" s="19" t="inlineStr">
        <is>
          <t>Plasmoids</t>
        </is>
      </c>
      <c r="O657" s="19" t="n">
        <v>480</v>
      </c>
    </row>
    <row r="658">
      <c r="M658" s="18" t="n"/>
      <c r="N658" s="19" t="inlineStr">
        <is>
          <t>Suspended Plasma</t>
        </is>
      </c>
      <c r="O658" s="20" t="n">
        <v>72000</v>
      </c>
    </row>
    <row r="659">
      <c r="M659" s="18" t="n"/>
      <c r="N659" s="19" t="inlineStr">
        <is>
          <t>Polytextiles</t>
        </is>
      </c>
      <c r="O659" s="19" t="n">
        <v>60</v>
      </c>
    </row>
    <row r="660">
      <c r="M660" s="18" t="n"/>
      <c r="N660" s="19" t="inlineStr">
        <is>
          <t>Biofuels</t>
        </is>
      </c>
      <c r="O660" s="19" t="n">
        <v>480</v>
      </c>
    </row>
    <row r="661">
      <c r="M661" s="18" t="n"/>
      <c r="N661" s="19" t="inlineStr">
        <is>
          <t>Carbon Compounds</t>
        </is>
      </c>
      <c r="O661" s="20" t="n">
        <v>72000</v>
      </c>
    </row>
    <row r="662">
      <c r="M662" s="18" t="n"/>
      <c r="N662" s="19" t="inlineStr">
        <is>
          <t>Industrial Fibers</t>
        </is>
      </c>
      <c r="O662" s="19" t="n">
        <v>480</v>
      </c>
    </row>
    <row r="663">
      <c r="M663" s="18" t="n"/>
      <c r="N663" s="19" t="inlineStr">
        <is>
          <t>Autotrophs</t>
        </is>
      </c>
      <c r="O663" s="20" t="n">
        <v>72000</v>
      </c>
    </row>
    <row r="664">
      <c r="M664" s="18" t="n"/>
      <c r="N664" s="19" t="inlineStr">
        <is>
          <t>Viral Agent</t>
        </is>
      </c>
      <c r="O664" s="19" t="n">
        <v>60</v>
      </c>
    </row>
    <row r="665">
      <c r="M665" s="18" t="n"/>
      <c r="N665" s="19" t="inlineStr">
        <is>
          <t>Bacteria</t>
        </is>
      </c>
      <c r="O665" s="19" t="n">
        <v>480</v>
      </c>
    </row>
    <row r="666">
      <c r="M666" s="18" t="n"/>
      <c r="N666" s="19" t="inlineStr">
        <is>
          <t>Microorganisms</t>
        </is>
      </c>
      <c r="O666" s="20" t="n">
        <v>72000</v>
      </c>
    </row>
    <row r="667">
      <c r="M667" s="18" t="n"/>
      <c r="N667" s="19" t="inlineStr">
        <is>
          <t>Biomass</t>
        </is>
      </c>
      <c r="O667" s="19" t="n">
        <v>480</v>
      </c>
    </row>
    <row r="668">
      <c r="M668" s="18" t="n"/>
      <c r="N668" s="19" t="inlineStr">
        <is>
          <t>Planktic Colonies</t>
        </is>
      </c>
      <c r="O668" s="20" t="n">
        <v>72000</v>
      </c>
    </row>
    <row r="669">
      <c r="M669" s="18" t="n"/>
      <c r="N669" s="19" t="inlineStr">
        <is>
          <t>Planetary Vehicles</t>
        </is>
      </c>
      <c r="O669" s="19" t="n">
        <v>18</v>
      </c>
    </row>
    <row r="670">
      <c r="M670" s="18" t="n"/>
      <c r="N670" s="19" t="inlineStr">
        <is>
          <t>Supertensile Plastics</t>
        </is>
      </c>
      <c r="O670" s="19" t="n">
        <v>60</v>
      </c>
    </row>
    <row r="671">
      <c r="M671" s="18" t="n"/>
      <c r="N671" s="19" t="inlineStr">
        <is>
          <t>Oxygen</t>
        </is>
      </c>
      <c r="O671" s="19" t="n">
        <v>480</v>
      </c>
    </row>
    <row r="672">
      <c r="M672" s="18" t="n"/>
      <c r="N672" s="19" t="inlineStr">
        <is>
          <t>Noble Gas</t>
        </is>
      </c>
      <c r="O672" s="20" t="n">
        <v>72000</v>
      </c>
    </row>
    <row r="673">
      <c r="M673" s="18" t="n"/>
      <c r="N673" s="19" t="inlineStr">
        <is>
          <t>Biomass</t>
        </is>
      </c>
      <c r="O673" s="19" t="n">
        <v>480</v>
      </c>
    </row>
    <row r="674">
      <c r="M674" s="18" t="n"/>
      <c r="N674" s="19" t="inlineStr">
        <is>
          <t>Planktic Colonies</t>
        </is>
      </c>
      <c r="O674" s="20" t="n">
        <v>72000</v>
      </c>
    </row>
    <row r="675">
      <c r="M675" s="18" t="n"/>
      <c r="N675" s="19" t="inlineStr">
        <is>
          <t>Mechanical Parts</t>
        </is>
      </c>
      <c r="O675" s="19" t="n">
        <v>60</v>
      </c>
    </row>
    <row r="676">
      <c r="M676" s="18" t="n"/>
      <c r="N676" s="19" t="inlineStr">
        <is>
          <t>Reactive Metals</t>
        </is>
      </c>
      <c r="O676" s="19" t="n">
        <v>480</v>
      </c>
    </row>
    <row r="677">
      <c r="M677" s="18" t="n"/>
      <c r="N677" s="19" t="inlineStr">
        <is>
          <t>Base Metals</t>
        </is>
      </c>
      <c r="O677" s="20" t="n">
        <v>72000</v>
      </c>
    </row>
    <row r="678">
      <c r="M678" s="18" t="n"/>
      <c r="N678" s="19" t="inlineStr">
        <is>
          <t>Precious Metals</t>
        </is>
      </c>
      <c r="O678" s="19" t="n">
        <v>480</v>
      </c>
    </row>
    <row r="679">
      <c r="M679" s="18" t="n"/>
      <c r="N679" s="19" t="inlineStr">
        <is>
          <t>Noble Metals</t>
        </is>
      </c>
      <c r="O679" s="20" t="n">
        <v>72000</v>
      </c>
    </row>
    <row r="680">
      <c r="M680" s="18" t="n"/>
      <c r="N680" s="19" t="inlineStr">
        <is>
          <t>Miniature Electronics</t>
        </is>
      </c>
      <c r="O680" s="19" t="n">
        <v>60</v>
      </c>
    </row>
    <row r="681">
      <c r="M681" s="18" t="n"/>
      <c r="N681" s="19" t="inlineStr">
        <is>
          <t>Chiral Structures</t>
        </is>
      </c>
      <c r="O681" s="19" t="n">
        <v>480</v>
      </c>
    </row>
    <row r="682">
      <c r="M682" s="18" t="n"/>
      <c r="N682" s="19" t="inlineStr">
        <is>
          <t>Non-CS Crystals</t>
        </is>
      </c>
      <c r="O682" s="20" t="n">
        <v>72000</v>
      </c>
    </row>
    <row r="683">
      <c r="M683" s="18" t="n"/>
      <c r="N683" s="19" t="inlineStr">
        <is>
          <t>Silicon</t>
        </is>
      </c>
      <c r="O683" s="19" t="n">
        <v>480</v>
      </c>
    </row>
    <row r="684">
      <c r="M684" s="18" t="n"/>
      <c r="N684" s="19" t="inlineStr">
        <is>
          <t>Felsic Magma</t>
        </is>
      </c>
      <c r="O684" s="20" t="n">
        <v>72000</v>
      </c>
    </row>
    <row r="685">
      <c r="M685" s="13" t="n"/>
      <c r="N685" s="10" t="inlineStr">
        <is>
          <t>Nano-Factory</t>
        </is>
      </c>
      <c r="O685" s="10" t="n">
        <v>5</v>
      </c>
    </row>
    <row r="686">
      <c r="M686" s="18" t="n"/>
      <c r="N686" s="19" t="inlineStr">
        <is>
          <t>Industrial Explosives</t>
        </is>
      </c>
      <c r="O686" s="19" t="n">
        <v>30</v>
      </c>
    </row>
    <row r="687">
      <c r="M687" s="18" t="n"/>
      <c r="N687" s="19" t="inlineStr">
        <is>
          <t>Fertilizer</t>
        </is>
      </c>
      <c r="O687" s="19" t="n">
        <v>100</v>
      </c>
    </row>
    <row r="688">
      <c r="M688" s="18" t="n"/>
      <c r="N688" s="19" t="inlineStr">
        <is>
          <t>Bacteria</t>
        </is>
      </c>
      <c r="O688" s="19" t="n">
        <v>800</v>
      </c>
    </row>
    <row r="689">
      <c r="M689" s="18" t="n"/>
      <c r="N689" s="19" t="inlineStr">
        <is>
          <t>Microorganisms</t>
        </is>
      </c>
      <c r="O689" s="20" t="n">
        <v>120000</v>
      </c>
    </row>
    <row r="690">
      <c r="M690" s="18" t="n"/>
      <c r="N690" s="19" t="inlineStr">
        <is>
          <t>Proteins</t>
        </is>
      </c>
      <c r="O690" s="19" t="n">
        <v>800</v>
      </c>
    </row>
    <row r="691">
      <c r="M691" s="18" t="n"/>
      <c r="N691" s="19" t="inlineStr">
        <is>
          <t>Complex Organisms</t>
        </is>
      </c>
      <c r="O691" s="20" t="n">
        <v>120000</v>
      </c>
    </row>
    <row r="692">
      <c r="M692" s="18" t="n"/>
      <c r="N692" s="19" t="inlineStr">
        <is>
          <t>Polytextiles</t>
        </is>
      </c>
      <c r="O692" s="19" t="n">
        <v>100</v>
      </c>
    </row>
    <row r="693">
      <c r="M693" s="18" t="n"/>
      <c r="N693" s="19" t="inlineStr">
        <is>
          <t>Biofuels</t>
        </is>
      </c>
      <c r="O693" s="19" t="n">
        <v>800</v>
      </c>
    </row>
    <row r="694">
      <c r="M694" s="18" t="n"/>
      <c r="N694" s="19" t="inlineStr">
        <is>
          <t>Carbon Compounds</t>
        </is>
      </c>
      <c r="O694" s="20" t="n">
        <v>120000</v>
      </c>
    </row>
    <row r="695">
      <c r="M695" s="18" t="n"/>
      <c r="N695" s="19" t="inlineStr">
        <is>
          <t>Industrial Fibers</t>
        </is>
      </c>
      <c r="O695" s="19" t="n">
        <v>800</v>
      </c>
    </row>
    <row r="696">
      <c r="M696" s="18" t="n"/>
      <c r="N696" s="19" t="inlineStr">
        <is>
          <t>Autotrophs</t>
        </is>
      </c>
      <c r="O696" s="20" t="n">
        <v>120000</v>
      </c>
    </row>
    <row r="697">
      <c r="M697" s="18" t="n"/>
      <c r="N697" s="19" t="inlineStr">
        <is>
          <t>Ukomi Superconductors</t>
        </is>
      </c>
      <c r="O697" s="19" t="n">
        <v>30</v>
      </c>
    </row>
    <row r="698">
      <c r="M698" s="18" t="n"/>
      <c r="N698" s="19" t="inlineStr">
        <is>
          <t>Synthetic Oil</t>
        </is>
      </c>
      <c r="O698" s="19" t="n">
        <v>100</v>
      </c>
    </row>
    <row r="699">
      <c r="M699" s="18" t="n"/>
      <c r="N699" s="19" t="inlineStr">
        <is>
          <t>Oxygen</t>
        </is>
      </c>
      <c r="O699" s="19" t="n">
        <v>800</v>
      </c>
    </row>
    <row r="700">
      <c r="M700" s="18" t="n"/>
      <c r="N700" s="19" t="inlineStr">
        <is>
          <t>Noble Gas</t>
        </is>
      </c>
      <c r="O700" s="20" t="n">
        <v>120000</v>
      </c>
    </row>
    <row r="701">
      <c r="M701" s="18" t="n"/>
      <c r="N701" s="19" t="inlineStr">
        <is>
          <t>Electrolytes</t>
        </is>
      </c>
      <c r="O701" s="19" t="n">
        <v>800</v>
      </c>
    </row>
    <row r="702">
      <c r="M702" s="18" t="n"/>
      <c r="N702" s="19" t="inlineStr">
        <is>
          <t>Ionic Solutions</t>
        </is>
      </c>
      <c r="O702" s="20" t="n">
        <v>120000</v>
      </c>
    </row>
    <row r="703">
      <c r="M703" s="18" t="n"/>
      <c r="N703" s="19" t="inlineStr">
        <is>
          <t>Superconductors</t>
        </is>
      </c>
      <c r="O703" s="19" t="n">
        <v>100</v>
      </c>
    </row>
    <row r="704">
      <c r="M704" s="18" t="n"/>
      <c r="N704" s="19" t="inlineStr">
        <is>
          <t>Plasmoids</t>
        </is>
      </c>
      <c r="O704" s="19" t="n">
        <v>800</v>
      </c>
    </row>
    <row r="705">
      <c r="M705" s="18" t="n"/>
      <c r="N705" s="19" t="inlineStr">
        <is>
          <t>Suspended Plasma</t>
        </is>
      </c>
      <c r="O705" s="20" t="n">
        <v>120000</v>
      </c>
    </row>
    <row r="706">
      <c r="M706" s="18" t="n"/>
      <c r="N706" s="19" t="inlineStr">
        <is>
          <t>Water</t>
        </is>
      </c>
      <c r="O706" s="19" t="n">
        <v>800</v>
      </c>
    </row>
    <row r="707">
      <c r="M707" s="18" t="n"/>
      <c r="N707" s="19" t="inlineStr">
        <is>
          <t>Aqueous Liquids</t>
        </is>
      </c>
      <c r="O707" s="20" t="n">
        <v>120000</v>
      </c>
    </row>
    <row r="708">
      <c r="M708" s="18" t="n"/>
      <c r="N708" s="19" t="inlineStr">
        <is>
          <t>Reactive Metals</t>
        </is>
      </c>
      <c r="O708" s="19" t="n">
        <v>200</v>
      </c>
    </row>
    <row r="709">
      <c r="M709" s="18" t="n"/>
      <c r="N709" s="19" t="inlineStr">
        <is>
          <t>Base Metals</t>
        </is>
      </c>
      <c r="O709" s="20" t="n">
        <v>30000</v>
      </c>
    </row>
    <row r="710">
      <c r="M710" s="13" t="n"/>
      <c r="N710" s="10" t="inlineStr">
        <is>
          <t>Organic Mortar Applicators</t>
        </is>
      </c>
      <c r="O710" s="10" t="n">
        <v>3</v>
      </c>
    </row>
    <row r="711">
      <c r="M711" s="18" t="n"/>
      <c r="N711" s="19" t="inlineStr">
        <is>
          <t>Condensates</t>
        </is>
      </c>
      <c r="O711" s="19" t="n">
        <v>18</v>
      </c>
    </row>
    <row r="712">
      <c r="M712" s="18" t="n"/>
      <c r="N712" s="19" t="inlineStr">
        <is>
          <t>Coolant</t>
        </is>
      </c>
      <c r="O712" s="19" t="n">
        <v>60</v>
      </c>
    </row>
    <row r="713">
      <c r="M713" s="18" t="n"/>
      <c r="N713" s="19" t="inlineStr">
        <is>
          <t>Water</t>
        </is>
      </c>
      <c r="O713" s="19" t="n">
        <v>480</v>
      </c>
    </row>
    <row r="714">
      <c r="M714" s="18" t="n"/>
      <c r="N714" s="19" t="inlineStr">
        <is>
          <t>Aqueous Liquids</t>
        </is>
      </c>
      <c r="O714" s="20" t="n">
        <v>72000</v>
      </c>
    </row>
    <row r="715">
      <c r="M715" s="18" t="n"/>
      <c r="N715" s="19" t="inlineStr">
        <is>
          <t>Electrolytes</t>
        </is>
      </c>
      <c r="O715" s="19" t="n">
        <v>480</v>
      </c>
    </row>
    <row r="716">
      <c r="M716" s="18" t="n"/>
      <c r="N716" s="19" t="inlineStr">
        <is>
          <t>Ionic Solutions</t>
        </is>
      </c>
      <c r="O716" s="20" t="n">
        <v>72000</v>
      </c>
    </row>
    <row r="717">
      <c r="M717" s="18" t="n"/>
      <c r="N717" s="19" t="inlineStr">
        <is>
          <t>Oxides</t>
        </is>
      </c>
      <c r="O717" s="19" t="n">
        <v>60</v>
      </c>
    </row>
    <row r="718">
      <c r="M718" s="18" t="n"/>
      <c r="N718" s="19" t="inlineStr">
        <is>
          <t>Oxidizing Compound</t>
        </is>
      </c>
      <c r="O718" s="19" t="n">
        <v>480</v>
      </c>
    </row>
    <row r="719">
      <c r="M719" s="18" t="n"/>
      <c r="N719" s="19" t="inlineStr">
        <is>
          <t>Reactive Gas</t>
        </is>
      </c>
      <c r="O719" s="20" t="n">
        <v>72000</v>
      </c>
    </row>
    <row r="720">
      <c r="M720" s="18" t="n"/>
      <c r="N720" s="19" t="inlineStr">
        <is>
          <t>Oxygen</t>
        </is>
      </c>
      <c r="O720" s="19" t="n">
        <v>480</v>
      </c>
    </row>
    <row r="721">
      <c r="M721" s="18" t="n"/>
      <c r="N721" s="19" t="inlineStr">
        <is>
          <t>Noble Gas</t>
        </is>
      </c>
      <c r="O721" s="20" t="n">
        <v>72000</v>
      </c>
    </row>
    <row r="722">
      <c r="M722" s="18" t="n"/>
      <c r="N722" s="19" t="inlineStr">
        <is>
          <t>Bacteria</t>
        </is>
      </c>
      <c r="O722" s="19" t="n">
        <v>120</v>
      </c>
    </row>
    <row r="723">
      <c r="M723" s="18" t="n"/>
      <c r="N723" s="19" t="inlineStr">
        <is>
          <t>Microorganisms</t>
        </is>
      </c>
      <c r="O723" s="20" t="n">
        <v>18000</v>
      </c>
    </row>
    <row r="724">
      <c r="M724" s="18" t="n"/>
      <c r="N724" s="19" t="inlineStr">
        <is>
          <t>Robotics</t>
        </is>
      </c>
      <c r="O724" s="19" t="n">
        <v>18</v>
      </c>
    </row>
    <row r="725">
      <c r="M725" s="18" t="n"/>
      <c r="N725" s="19" t="inlineStr">
        <is>
          <t>Mechanical Parts</t>
        </is>
      </c>
      <c r="O725" s="19" t="n">
        <v>60</v>
      </c>
    </row>
    <row r="726">
      <c r="M726" s="18" t="n"/>
      <c r="N726" s="19" t="inlineStr">
        <is>
          <t>Reactive Metals</t>
        </is>
      </c>
      <c r="O726" s="19" t="n">
        <v>480</v>
      </c>
    </row>
    <row r="727">
      <c r="M727" s="18" t="n"/>
      <c r="N727" s="19" t="inlineStr">
        <is>
          <t>Base Metals</t>
        </is>
      </c>
      <c r="O727" s="20" t="n">
        <v>72000</v>
      </c>
    </row>
    <row r="728">
      <c r="M728" s="18" t="n"/>
      <c r="N728" s="19" t="inlineStr">
        <is>
          <t>Precious Metals</t>
        </is>
      </c>
      <c r="O728" s="19" t="n">
        <v>480</v>
      </c>
    </row>
    <row r="729">
      <c r="M729" s="18" t="n"/>
      <c r="N729" s="19" t="inlineStr">
        <is>
          <t>Noble Metals</t>
        </is>
      </c>
      <c r="O729" s="20" t="n">
        <v>72000</v>
      </c>
    </row>
    <row r="730">
      <c r="M730" s="18" t="n"/>
      <c r="N730" s="19" t="inlineStr">
        <is>
          <t>Consumer Electronics</t>
        </is>
      </c>
      <c r="O730" s="19" t="n">
        <v>60</v>
      </c>
    </row>
    <row r="731">
      <c r="M731" s="18" t="n"/>
      <c r="N731" s="19" t="inlineStr">
        <is>
          <t>Toxic Metals</t>
        </is>
      </c>
      <c r="O731" s="19" t="n">
        <v>480</v>
      </c>
    </row>
    <row r="732">
      <c r="M732" s="18" t="n"/>
      <c r="N732" s="19" t="inlineStr">
        <is>
          <t>Heavy Metals</t>
        </is>
      </c>
      <c r="O732" s="20" t="n">
        <v>72000</v>
      </c>
    </row>
    <row r="733">
      <c r="M733" s="18" t="n"/>
      <c r="N733" s="19" t="inlineStr">
        <is>
          <t>Chiral Structures</t>
        </is>
      </c>
      <c r="O733" s="19" t="n">
        <v>480</v>
      </c>
    </row>
    <row r="734">
      <c r="M734" s="18" t="n"/>
      <c r="N734" s="19" t="inlineStr">
        <is>
          <t>Non-CS Crystals</t>
        </is>
      </c>
      <c r="O734" s="20" t="n">
        <v>72000</v>
      </c>
    </row>
    <row r="735">
      <c r="M735" s="13" t="n"/>
      <c r="N735" s="10" t="inlineStr">
        <is>
          <t>Recursive Computing Module</t>
        </is>
      </c>
      <c r="O735" s="10" t="n">
        <v>3</v>
      </c>
    </row>
    <row r="736">
      <c r="M736" s="18" t="n"/>
      <c r="N736" s="19" t="inlineStr">
        <is>
          <t>Synthetic Synapses</t>
        </is>
      </c>
      <c r="O736" s="19" t="n">
        <v>18</v>
      </c>
    </row>
    <row r="737">
      <c r="M737" s="18" t="n"/>
      <c r="N737" s="19" t="inlineStr">
        <is>
          <t>Supertensile Plastics</t>
        </is>
      </c>
      <c r="O737" s="19" t="n">
        <v>60</v>
      </c>
    </row>
    <row r="738">
      <c r="M738" s="18" t="n"/>
      <c r="N738" s="19" t="inlineStr">
        <is>
          <t>Oxygen</t>
        </is>
      </c>
      <c r="O738" s="19" t="n">
        <v>480</v>
      </c>
    </row>
    <row r="739">
      <c r="M739" s="18" t="n"/>
      <c r="N739" s="19" t="inlineStr">
        <is>
          <t>Noble Gas</t>
        </is>
      </c>
      <c r="O739" s="20" t="n">
        <v>72000</v>
      </c>
    </row>
    <row r="740">
      <c r="M740" s="18" t="n"/>
      <c r="N740" s="19" t="inlineStr">
        <is>
          <t>Biomass</t>
        </is>
      </c>
      <c r="O740" s="19" t="n">
        <v>480</v>
      </c>
    </row>
    <row r="741">
      <c r="M741" s="18" t="n"/>
      <c r="N741" s="19" t="inlineStr">
        <is>
          <t>Planktic Colonies</t>
        </is>
      </c>
      <c r="O741" s="20" t="n">
        <v>72000</v>
      </c>
    </row>
    <row r="742">
      <c r="M742" s="18" t="n"/>
      <c r="N742" s="19" t="inlineStr">
        <is>
          <t>Test Cultures</t>
        </is>
      </c>
      <c r="O742" s="19" t="n">
        <v>60</v>
      </c>
    </row>
    <row r="743">
      <c r="M743" s="18" t="n"/>
      <c r="N743" s="19" t="inlineStr">
        <is>
          <t>Bacteria</t>
        </is>
      </c>
      <c r="O743" s="19" t="n">
        <v>480</v>
      </c>
    </row>
    <row r="744">
      <c r="M744" s="18" t="n"/>
      <c r="N744" s="19" t="inlineStr">
        <is>
          <t>Microorganisms</t>
        </is>
      </c>
      <c r="O744" s="20" t="n">
        <v>72000</v>
      </c>
    </row>
    <row r="745">
      <c r="M745" s="18" t="n"/>
      <c r="N745" s="19" t="inlineStr">
        <is>
          <t>Water</t>
        </is>
      </c>
      <c r="O745" s="19" t="n">
        <v>480</v>
      </c>
    </row>
    <row r="746">
      <c r="M746" s="18" t="n"/>
      <c r="N746" s="19" t="inlineStr">
        <is>
          <t>Aqueous Liquids</t>
        </is>
      </c>
      <c r="O746" s="20" t="n">
        <v>72000</v>
      </c>
    </row>
    <row r="747">
      <c r="M747" s="18" t="n"/>
      <c r="N747" s="19" t="inlineStr">
        <is>
          <t>Transcranial Microcontrollers</t>
        </is>
      </c>
      <c r="O747" s="19" t="n">
        <v>18</v>
      </c>
    </row>
    <row r="748">
      <c r="M748" s="18" t="n"/>
      <c r="N748" s="19" t="inlineStr">
        <is>
          <t>Biocells</t>
        </is>
      </c>
      <c r="O748" s="19" t="n">
        <v>60</v>
      </c>
    </row>
    <row r="749">
      <c r="M749" s="18" t="n"/>
      <c r="N749" s="19" t="inlineStr">
        <is>
          <t>Biofuels</t>
        </is>
      </c>
      <c r="O749" s="19" t="n">
        <v>480</v>
      </c>
    </row>
    <row r="750">
      <c r="M750" s="18" t="n"/>
      <c r="N750" s="19" t="inlineStr">
        <is>
          <t>Carbon Compounds</t>
        </is>
      </c>
      <c r="O750" s="20" t="n">
        <v>72000</v>
      </c>
    </row>
    <row r="751">
      <c r="M751" s="18" t="n"/>
      <c r="N751" s="19" t="inlineStr">
        <is>
          <t>Precious Metals</t>
        </is>
      </c>
      <c r="O751" s="19" t="n">
        <v>480</v>
      </c>
    </row>
    <row r="752">
      <c r="M752" s="18" t="n"/>
      <c r="N752" s="19" t="inlineStr">
        <is>
          <t>Noble Metals</t>
        </is>
      </c>
      <c r="O752" s="20" t="n">
        <v>72000</v>
      </c>
    </row>
    <row r="753">
      <c r="M753" s="18" t="n"/>
      <c r="N753" s="19" t="inlineStr">
        <is>
          <t>Nanites</t>
        </is>
      </c>
      <c r="O753" s="19" t="n">
        <v>60</v>
      </c>
    </row>
    <row r="754">
      <c r="M754" s="18" t="n"/>
      <c r="N754" s="19" t="inlineStr">
        <is>
          <t>Bacteria</t>
        </is>
      </c>
      <c r="O754" s="19" t="n">
        <v>480</v>
      </c>
    </row>
    <row r="755">
      <c r="M755" s="18" t="n"/>
      <c r="N755" s="19" t="inlineStr">
        <is>
          <t>Microorganisms</t>
        </is>
      </c>
      <c r="O755" s="20" t="n">
        <v>72000</v>
      </c>
    </row>
    <row r="756">
      <c r="M756" s="18" t="n"/>
      <c r="N756" s="19" t="inlineStr">
        <is>
          <t>Reactive Metals</t>
        </is>
      </c>
      <c r="O756" s="19" t="n">
        <v>480</v>
      </c>
    </row>
    <row r="757">
      <c r="M757" s="18" t="n"/>
      <c r="N757" s="19" t="inlineStr">
        <is>
          <t>Base Metals</t>
        </is>
      </c>
      <c r="O757" s="20" t="n">
        <v>72000</v>
      </c>
    </row>
    <row r="758">
      <c r="M758" s="18" t="n"/>
      <c r="N758" s="19" t="inlineStr">
        <is>
          <t>Guidance Systems</t>
        </is>
      </c>
      <c r="O758" s="19" t="n">
        <v>18</v>
      </c>
    </row>
    <row r="759">
      <c r="M759" s="18" t="n"/>
      <c r="N759" s="19" t="inlineStr">
        <is>
          <t>Water-Cooled CPU</t>
        </is>
      </c>
      <c r="O759" s="19" t="n">
        <v>60</v>
      </c>
    </row>
    <row r="760">
      <c r="M760" s="18" t="n"/>
      <c r="N760" s="19" t="inlineStr">
        <is>
          <t>Water</t>
        </is>
      </c>
      <c r="O760" s="19" t="n">
        <v>480</v>
      </c>
    </row>
    <row r="761">
      <c r="M761" s="18" t="n"/>
      <c r="N761" s="19" t="inlineStr">
        <is>
          <t>Aqueous Liquids</t>
        </is>
      </c>
      <c r="O761" s="20" t="n">
        <v>72000</v>
      </c>
    </row>
    <row r="762">
      <c r="M762" s="18" t="n"/>
      <c r="N762" s="19" t="inlineStr">
        <is>
          <t>Reactive Metals</t>
        </is>
      </c>
      <c r="O762" s="19" t="n">
        <v>480</v>
      </c>
    </row>
    <row r="763">
      <c r="M763" s="18" t="n"/>
      <c r="N763" s="19" t="inlineStr">
        <is>
          <t>Base Metals</t>
        </is>
      </c>
      <c r="O763" s="20" t="n">
        <v>72000</v>
      </c>
    </row>
    <row r="764">
      <c r="M764" s="18" t="n"/>
      <c r="N764" s="19" t="inlineStr">
        <is>
          <t>Transmitter</t>
        </is>
      </c>
      <c r="O764" s="19" t="n">
        <v>60</v>
      </c>
    </row>
    <row r="765">
      <c r="M765" s="18" t="n"/>
      <c r="N765" s="19" t="inlineStr">
        <is>
          <t>Chiral Structures</t>
        </is>
      </c>
      <c r="O765" s="19" t="n">
        <v>480</v>
      </c>
    </row>
    <row r="766">
      <c r="M766" s="18" t="n"/>
      <c r="N766" s="19" t="inlineStr">
        <is>
          <t>Non-CS Crystals</t>
        </is>
      </c>
      <c r="O766" s="20" t="n">
        <v>72000</v>
      </c>
    </row>
    <row r="767">
      <c r="M767" s="18" t="n"/>
      <c r="N767" s="19" t="inlineStr">
        <is>
          <t>Plasmoids</t>
        </is>
      </c>
      <c r="O767" s="19" t="n">
        <v>480</v>
      </c>
    </row>
    <row r="768">
      <c r="M768" s="18" t="n"/>
      <c r="N768" s="19" t="inlineStr">
        <is>
          <t>Suspended Plasma</t>
        </is>
      </c>
      <c r="O768" s="20" t="n">
        <v>72000</v>
      </c>
    </row>
    <row r="769">
      <c r="M769" s="13" t="n"/>
      <c r="N769" s="10" t="inlineStr">
        <is>
          <t>Self-Harmonizing Power Core</t>
        </is>
      </c>
      <c r="O769" s="10" t="n">
        <v>3</v>
      </c>
    </row>
    <row r="770">
      <c r="M770" s="18" t="n"/>
      <c r="N770" s="19" t="inlineStr">
        <is>
          <t>Nuclear Reactors</t>
        </is>
      </c>
      <c r="O770" s="19" t="n">
        <v>18</v>
      </c>
    </row>
    <row r="771">
      <c r="M771" s="18" t="n"/>
      <c r="N771" s="19" t="inlineStr">
        <is>
          <t>Enriched Uranium</t>
        </is>
      </c>
      <c r="O771" s="19" t="n">
        <v>60</v>
      </c>
    </row>
    <row r="772">
      <c r="M772" s="18" t="n"/>
      <c r="N772" s="19" t="inlineStr">
        <is>
          <t>Toxic Metals</t>
        </is>
      </c>
      <c r="O772" s="19" t="n">
        <v>480</v>
      </c>
    </row>
    <row r="773">
      <c r="M773" s="18" t="n"/>
      <c r="N773" s="19" t="inlineStr">
        <is>
          <t>Heavy Metals</t>
        </is>
      </c>
      <c r="O773" s="20" t="n">
        <v>72000</v>
      </c>
    </row>
    <row r="774">
      <c r="M774" s="18" t="n"/>
      <c r="N774" s="19" t="inlineStr">
        <is>
          <t>Precious Metals</t>
        </is>
      </c>
      <c r="O774" s="19" t="n">
        <v>480</v>
      </c>
    </row>
    <row r="775">
      <c r="M775" s="18" t="n"/>
      <c r="N775" s="19" t="inlineStr">
        <is>
          <t>Noble Metals</t>
        </is>
      </c>
      <c r="O775" s="20" t="n">
        <v>72000</v>
      </c>
    </row>
    <row r="776">
      <c r="M776" s="18" t="n"/>
      <c r="N776" s="19" t="inlineStr">
        <is>
          <t>Microfiber Shielding</t>
        </is>
      </c>
      <c r="O776" s="19" t="n">
        <v>60</v>
      </c>
    </row>
    <row r="777">
      <c r="M777" s="18" t="n"/>
      <c r="N777" s="19" t="inlineStr">
        <is>
          <t>Silicon</t>
        </is>
      </c>
      <c r="O777" s="19" t="n">
        <v>480</v>
      </c>
    </row>
    <row r="778">
      <c r="M778" s="18" t="n"/>
      <c r="N778" s="19" t="inlineStr">
        <is>
          <t>Felsic Magma</t>
        </is>
      </c>
      <c r="O778" s="20" t="n">
        <v>72000</v>
      </c>
    </row>
    <row r="779">
      <c r="M779" s="18" t="n"/>
      <c r="N779" s="19" t="inlineStr">
        <is>
          <t>Industrial Fibers</t>
        </is>
      </c>
      <c r="O779" s="19" t="n">
        <v>480</v>
      </c>
    </row>
    <row r="780">
      <c r="M780" s="18" t="n"/>
      <c r="N780" s="19" t="inlineStr">
        <is>
          <t>Autotrophs</t>
        </is>
      </c>
      <c r="O780" s="20" t="n">
        <v>72000</v>
      </c>
    </row>
    <row r="781">
      <c r="M781" s="18" t="n"/>
      <c r="N781" s="19" t="inlineStr">
        <is>
          <t>Camera Drones</t>
        </is>
      </c>
      <c r="O781" s="19" t="n">
        <v>18</v>
      </c>
    </row>
    <row r="782">
      <c r="M782" s="18" t="n"/>
      <c r="N782" s="19" t="inlineStr">
        <is>
          <t>Rocket Fuel</t>
        </is>
      </c>
      <c r="O782" s="19" t="n">
        <v>60</v>
      </c>
    </row>
    <row r="783">
      <c r="M783" s="18" t="n"/>
      <c r="N783" s="19" t="inlineStr">
        <is>
          <t>Electrolytes</t>
        </is>
      </c>
      <c r="O783" s="19" t="n">
        <v>480</v>
      </c>
    </row>
    <row r="784">
      <c r="M784" s="18" t="n"/>
      <c r="N784" s="19" t="inlineStr">
        <is>
          <t>Ionic Solutions</t>
        </is>
      </c>
      <c r="O784" s="20" t="n">
        <v>72000</v>
      </c>
    </row>
    <row r="785">
      <c r="M785" s="18" t="n"/>
      <c r="N785" s="19" t="inlineStr">
        <is>
          <t>Plasmoids</t>
        </is>
      </c>
      <c r="O785" s="19" t="n">
        <v>480</v>
      </c>
    </row>
    <row r="786">
      <c r="M786" s="18" t="n"/>
      <c r="N786" s="19" t="inlineStr">
        <is>
          <t>Suspended Plasma</t>
        </is>
      </c>
      <c r="O786" s="20" t="n">
        <v>72000</v>
      </c>
    </row>
    <row r="787">
      <c r="M787" s="18" t="n"/>
      <c r="N787" s="19" t="inlineStr">
        <is>
          <t>Silicate Glass</t>
        </is>
      </c>
      <c r="O787" s="19" t="n">
        <v>60</v>
      </c>
    </row>
    <row r="788">
      <c r="M788" s="18" t="n"/>
      <c r="N788" s="19" t="inlineStr">
        <is>
          <t>Oxidizing Compound</t>
        </is>
      </c>
      <c r="O788" s="19" t="n">
        <v>480</v>
      </c>
    </row>
    <row r="789">
      <c r="M789" s="18" t="n"/>
      <c r="N789" s="19" t="inlineStr">
        <is>
          <t>Reactive Gas</t>
        </is>
      </c>
      <c r="O789" s="20" t="n">
        <v>72000</v>
      </c>
    </row>
    <row r="790">
      <c r="M790" s="18" t="n"/>
      <c r="N790" s="19" t="inlineStr">
        <is>
          <t>Silicon</t>
        </is>
      </c>
      <c r="O790" s="19" t="n">
        <v>480</v>
      </c>
    </row>
    <row r="791">
      <c r="M791" s="18" t="n"/>
      <c r="N791" s="19" t="inlineStr">
        <is>
          <t>Felsic Magma</t>
        </is>
      </c>
      <c r="O791" s="20" t="n">
        <v>72000</v>
      </c>
    </row>
    <row r="792">
      <c r="M792" s="18" t="n"/>
      <c r="N792" s="19" t="inlineStr">
        <is>
          <t>Hermetic Membranes</t>
        </is>
      </c>
      <c r="O792" s="19" t="n">
        <v>18</v>
      </c>
    </row>
    <row r="793">
      <c r="M793" s="18" t="n"/>
      <c r="N793" s="19" t="inlineStr">
        <is>
          <t>Polyaramids</t>
        </is>
      </c>
      <c r="O793" s="19" t="n">
        <v>60</v>
      </c>
    </row>
    <row r="794">
      <c r="M794" s="18" t="n"/>
      <c r="N794" s="19" t="inlineStr">
        <is>
          <t>Oxidizing Compound</t>
        </is>
      </c>
      <c r="O794" s="19" t="n">
        <v>480</v>
      </c>
    </row>
    <row r="795">
      <c r="M795" s="18" t="n"/>
      <c r="N795" s="19" t="inlineStr">
        <is>
          <t>Reactive Gas</t>
        </is>
      </c>
      <c r="O795" s="20" t="n">
        <v>72000</v>
      </c>
    </row>
    <row r="796">
      <c r="M796" s="18" t="n"/>
      <c r="N796" s="19" t="inlineStr">
        <is>
          <t>Industrial Fibers</t>
        </is>
      </c>
      <c r="O796" s="19" t="n">
        <v>480</v>
      </c>
    </row>
    <row r="797">
      <c r="M797" s="18" t="n"/>
      <c r="N797" s="19" t="inlineStr">
        <is>
          <t>Autotrophs</t>
        </is>
      </c>
      <c r="O797" s="20" t="n">
        <v>72000</v>
      </c>
    </row>
    <row r="798">
      <c r="M798" s="18" t="n"/>
      <c r="N798" s="19" t="inlineStr">
        <is>
          <t>Genetically Enhanced Livestock</t>
        </is>
      </c>
      <c r="O798" s="19" t="n">
        <v>60</v>
      </c>
    </row>
    <row r="799">
      <c r="M799" s="18" t="n"/>
      <c r="N799" s="19" t="inlineStr">
        <is>
          <t>Proteins</t>
        </is>
      </c>
      <c r="O799" s="19" t="n">
        <v>480</v>
      </c>
    </row>
    <row r="800">
      <c r="M800" s="18" t="n"/>
      <c r="N800" s="19" t="inlineStr">
        <is>
          <t>Complex Organisms</t>
        </is>
      </c>
      <c r="O800" s="20" t="n">
        <v>72000</v>
      </c>
    </row>
    <row r="801">
      <c r="M801" s="18" t="n"/>
      <c r="N801" s="19" t="inlineStr">
        <is>
          <t>Biomass</t>
        </is>
      </c>
      <c r="O801" s="19" t="n">
        <v>480</v>
      </c>
    </row>
    <row r="802">
      <c r="M802" s="18" t="n"/>
      <c r="N802" s="19" t="inlineStr">
        <is>
          <t>Planktic Colonies</t>
        </is>
      </c>
      <c r="O802" s="20" t="n">
        <v>72000</v>
      </c>
    </row>
    <row r="803">
      <c r="M803" s="13" t="n"/>
      <c r="N803" s="10" t="inlineStr">
        <is>
          <t>Sterile Conduits</t>
        </is>
      </c>
      <c r="O803" s="10" t="n">
        <v>5</v>
      </c>
    </row>
    <row r="804">
      <c r="M804" s="18" t="n"/>
      <c r="N804" s="19" t="inlineStr">
        <is>
          <t>Water</t>
        </is>
      </c>
      <c r="O804" s="19" t="n">
        <v>200</v>
      </c>
    </row>
    <row r="805">
      <c r="M805" s="18" t="n"/>
      <c r="N805" s="19" t="inlineStr">
        <is>
          <t>Aqueous Liquids</t>
        </is>
      </c>
      <c r="O805" s="20" t="n">
        <v>30000</v>
      </c>
    </row>
    <row r="806">
      <c r="M806" s="18" t="n"/>
      <c r="N806" s="19" t="inlineStr">
        <is>
          <t>Vaccines</t>
        </is>
      </c>
      <c r="O806" s="19" t="n">
        <v>30</v>
      </c>
    </row>
    <row r="807">
      <c r="M807" s="18" t="n"/>
      <c r="N807" s="19" t="inlineStr">
        <is>
          <t>Livestock</t>
        </is>
      </c>
      <c r="O807" s="19" t="n">
        <v>100</v>
      </c>
    </row>
    <row r="808">
      <c r="M808" s="18" t="n"/>
      <c r="N808" s="19" t="inlineStr">
        <is>
          <t>Proteins</t>
        </is>
      </c>
      <c r="O808" s="19" t="n">
        <v>800</v>
      </c>
    </row>
    <row r="809">
      <c r="M809" s="18" t="n"/>
      <c r="N809" s="19" t="inlineStr">
        <is>
          <t>Complex Organisms</t>
        </is>
      </c>
      <c r="O809" s="20" t="n">
        <v>120000</v>
      </c>
    </row>
    <row r="810">
      <c r="M810" s="18" t="n"/>
      <c r="N810" s="19" t="inlineStr">
        <is>
          <t>Biofuels</t>
        </is>
      </c>
      <c r="O810" s="19" t="n">
        <v>800</v>
      </c>
    </row>
    <row r="811">
      <c r="M811" s="18" t="n"/>
      <c r="N811" s="19" t="inlineStr">
        <is>
          <t>Carbon Compounds</t>
        </is>
      </c>
      <c r="O811" s="20" t="n">
        <v>120000</v>
      </c>
    </row>
    <row r="812">
      <c r="M812" s="18" t="n"/>
      <c r="N812" s="19" t="inlineStr">
        <is>
          <t>Viral Agent</t>
        </is>
      </c>
      <c r="O812" s="19" t="n">
        <v>100</v>
      </c>
    </row>
    <row r="813">
      <c r="M813" s="18" t="n"/>
      <c r="N813" s="19" t="inlineStr">
        <is>
          <t>Bacteria</t>
        </is>
      </c>
      <c r="O813" s="19" t="n">
        <v>800</v>
      </c>
    </row>
    <row r="814">
      <c r="M814" s="18" t="n"/>
      <c r="N814" s="19" t="inlineStr">
        <is>
          <t>Microorganisms</t>
        </is>
      </c>
      <c r="O814" s="20" t="n">
        <v>120000</v>
      </c>
    </row>
    <row r="815">
      <c r="M815" s="18" t="n"/>
      <c r="N815" s="19" t="inlineStr">
        <is>
          <t>Biomass</t>
        </is>
      </c>
      <c r="O815" s="19" t="n">
        <v>800</v>
      </c>
    </row>
    <row r="816">
      <c r="M816" s="18" t="n"/>
      <c r="N816" s="19" t="inlineStr">
        <is>
          <t>Planktic Colonies</t>
        </is>
      </c>
      <c r="O816" s="20" t="n">
        <v>120000</v>
      </c>
    </row>
    <row r="817">
      <c r="M817" s="18" t="n"/>
      <c r="N817" s="19" t="inlineStr">
        <is>
          <t>Smartfab Units</t>
        </is>
      </c>
      <c r="O817" s="19" t="n">
        <v>30</v>
      </c>
    </row>
    <row r="818">
      <c r="M818" s="18" t="n"/>
      <c r="N818" s="19" t="inlineStr">
        <is>
          <t>Miniature Electronics</t>
        </is>
      </c>
      <c r="O818" s="19" t="n">
        <v>100</v>
      </c>
    </row>
    <row r="819">
      <c r="M819" s="18" t="n"/>
      <c r="N819" s="19" t="inlineStr">
        <is>
          <t>Chiral Structures</t>
        </is>
      </c>
      <c r="O819" s="19" t="n">
        <v>800</v>
      </c>
    </row>
    <row r="820">
      <c r="M820" s="18" t="n"/>
      <c r="N820" s="19" t="inlineStr">
        <is>
          <t>Non-CS Crystals</t>
        </is>
      </c>
      <c r="O820" s="20" t="n">
        <v>120000</v>
      </c>
    </row>
    <row r="821">
      <c r="M821" s="18" t="n"/>
      <c r="N821" s="19" t="inlineStr">
        <is>
          <t>Silicon</t>
        </is>
      </c>
      <c r="O821" s="19" t="n">
        <v>800</v>
      </c>
    </row>
    <row r="822">
      <c r="M822" s="18" t="n"/>
      <c r="N822" s="19" t="inlineStr">
        <is>
          <t>Felsic Magma</t>
        </is>
      </c>
      <c r="O822" s="20" t="n">
        <v>120000</v>
      </c>
    </row>
    <row r="823">
      <c r="M823" s="18" t="n"/>
      <c r="N823" s="19" t="inlineStr">
        <is>
          <t>Construction Blocks</t>
        </is>
      </c>
      <c r="O823" s="19" t="n">
        <v>100</v>
      </c>
    </row>
    <row r="824">
      <c r="M824" s="18" t="n"/>
      <c r="N824" s="19" t="inlineStr">
        <is>
          <t>Toxic Metals</t>
        </is>
      </c>
      <c r="O824" s="19" t="n">
        <v>800</v>
      </c>
    </row>
    <row r="825">
      <c r="M825" s="18" t="n"/>
      <c r="N825" s="19" t="inlineStr">
        <is>
          <t>Heavy Metals</t>
        </is>
      </c>
      <c r="O825" s="20" t="n">
        <v>120000</v>
      </c>
    </row>
    <row r="826">
      <c r="M826" s="18" t="n"/>
      <c r="N826" s="19" t="inlineStr">
        <is>
          <t>Reactive Metals</t>
        </is>
      </c>
      <c r="O826" s="19" t="n">
        <v>800</v>
      </c>
    </row>
    <row r="827">
      <c r="M827" s="18" t="n"/>
      <c r="N827" s="19" t="inlineStr">
        <is>
          <t>Base Metals</t>
        </is>
      </c>
      <c r="O827" s="20" t="n">
        <v>120000</v>
      </c>
    </row>
    <row r="828">
      <c r="M828" s="13" t="n"/>
      <c r="N828" s="10" t="inlineStr">
        <is>
          <t>Structure Docking Bay</t>
        </is>
      </c>
      <c r="O828" s="10" t="n">
        <v>1</v>
      </c>
    </row>
    <row r="829">
      <c r="M829" s="13" t="n"/>
      <c r="N829" s="10" t="inlineStr">
        <is>
          <t>Tritanium</t>
        </is>
      </c>
      <c r="O829" s="17" t="n">
        <v>450000</v>
      </c>
    </row>
    <row r="830">
      <c r="M830" s="13" t="n"/>
      <c r="N830" s="10" t="inlineStr">
        <is>
          <t>Pyerite</t>
        </is>
      </c>
      <c r="O830" s="17" t="n">
        <v>90000</v>
      </c>
    </row>
    <row r="831">
      <c r="M831" s="13" t="n"/>
      <c r="N831" s="10" t="inlineStr">
        <is>
          <t>Mexallon</t>
        </is>
      </c>
      <c r="O831" s="17" t="n">
        <v>31500</v>
      </c>
    </row>
    <row r="832">
      <c r="M832" s="13" t="n"/>
      <c r="N832" s="10" t="inlineStr">
        <is>
          <t>Isogen</t>
        </is>
      </c>
      <c r="O832" s="17" t="n">
        <v>3600</v>
      </c>
    </row>
    <row r="833">
      <c r="M833" s="13" t="n"/>
      <c r="N833" s="10" t="inlineStr">
        <is>
          <t>Nocxium</t>
        </is>
      </c>
      <c r="O833" s="10" t="n">
        <v>675</v>
      </c>
    </row>
    <row r="834">
      <c r="M834" s="13" t="n"/>
      <c r="N834" s="10" t="inlineStr">
        <is>
          <t>Zydrine</t>
        </is>
      </c>
      <c r="O834" s="10" t="n">
        <v>315</v>
      </c>
    </row>
    <row r="835">
      <c r="M835" s="13" t="n"/>
      <c r="N835" s="10" t="inlineStr">
        <is>
          <t>Megacyte</t>
        </is>
      </c>
      <c r="O835" s="10" t="n">
        <v>135</v>
      </c>
    </row>
    <row r="836">
      <c r="M836" s="13" t="n"/>
      <c r="N836" s="10" t="inlineStr">
        <is>
          <t>Broadcast Node</t>
        </is>
      </c>
      <c r="O836" s="10" t="n">
        <v>3</v>
      </c>
    </row>
    <row r="837">
      <c r="M837" s="18" t="n"/>
      <c r="N837" s="19" t="inlineStr">
        <is>
          <t>Data Chips</t>
        </is>
      </c>
      <c r="O837" s="19" t="n">
        <v>18</v>
      </c>
    </row>
    <row r="838">
      <c r="M838" s="18" t="n"/>
      <c r="N838" s="19" t="inlineStr">
        <is>
          <t>Supertensile Plastics</t>
        </is>
      </c>
      <c r="O838" s="19" t="n">
        <v>60</v>
      </c>
    </row>
    <row r="839">
      <c r="M839" s="18" t="n"/>
      <c r="N839" s="19" t="inlineStr">
        <is>
          <t>Oxygen</t>
        </is>
      </c>
      <c r="O839" s="19" t="n">
        <v>480</v>
      </c>
    </row>
    <row r="840">
      <c r="M840" s="18" t="n"/>
      <c r="N840" s="19" t="inlineStr">
        <is>
          <t>Noble Gas</t>
        </is>
      </c>
      <c r="O840" s="20" t="n">
        <v>72000</v>
      </c>
    </row>
    <row r="841">
      <c r="M841" s="18" t="n"/>
      <c r="N841" s="19" t="inlineStr">
        <is>
          <t>Biomass</t>
        </is>
      </c>
      <c r="O841" s="19" t="n">
        <v>480</v>
      </c>
    </row>
    <row r="842">
      <c r="M842" s="18" t="n"/>
      <c r="N842" s="19" t="inlineStr">
        <is>
          <t>Planktic Colonies</t>
        </is>
      </c>
      <c r="O842" s="20" t="n">
        <v>72000</v>
      </c>
    </row>
    <row r="843">
      <c r="M843" s="18" t="n"/>
      <c r="N843" s="19" t="inlineStr">
        <is>
          <t>Microfiber Shielding</t>
        </is>
      </c>
      <c r="O843" s="19" t="n">
        <v>60</v>
      </c>
    </row>
    <row r="844">
      <c r="M844" s="18" t="n"/>
      <c r="N844" s="19" t="inlineStr">
        <is>
          <t>Silicon</t>
        </is>
      </c>
      <c r="O844" s="19" t="n">
        <v>480</v>
      </c>
    </row>
    <row r="845">
      <c r="M845" s="18" t="n"/>
      <c r="N845" s="19" t="inlineStr">
        <is>
          <t>Felsic Magma</t>
        </is>
      </c>
      <c r="O845" s="20" t="n">
        <v>72000</v>
      </c>
    </row>
    <row r="846">
      <c r="M846" s="18" t="n"/>
      <c r="N846" s="19" t="inlineStr">
        <is>
          <t>Industrial Fibers</t>
        </is>
      </c>
      <c r="O846" s="19" t="n">
        <v>480</v>
      </c>
    </row>
    <row r="847">
      <c r="M847" s="18" t="n"/>
      <c r="N847" s="19" t="inlineStr">
        <is>
          <t>Autotrophs</t>
        </is>
      </c>
      <c r="O847" s="20" t="n">
        <v>72000</v>
      </c>
    </row>
    <row r="848">
      <c r="M848" s="18" t="n"/>
      <c r="N848" s="19" t="inlineStr">
        <is>
          <t>Neocoms</t>
        </is>
      </c>
      <c r="O848" s="19" t="n">
        <v>18</v>
      </c>
    </row>
    <row r="849">
      <c r="M849" s="18" t="n"/>
      <c r="N849" s="19" t="inlineStr">
        <is>
          <t>Biocells</t>
        </is>
      </c>
      <c r="O849" s="19" t="n">
        <v>60</v>
      </c>
    </row>
    <row r="850">
      <c r="M850" s="18" t="n"/>
      <c r="N850" s="19" t="inlineStr">
        <is>
          <t>Biofuels</t>
        </is>
      </c>
      <c r="O850" s="19" t="n">
        <v>480</v>
      </c>
    </row>
    <row r="851">
      <c r="M851" s="18" t="n"/>
      <c r="N851" s="19" t="inlineStr">
        <is>
          <t>Carbon Compounds</t>
        </is>
      </c>
      <c r="O851" s="20" t="n">
        <v>72000</v>
      </c>
    </row>
    <row r="852">
      <c r="M852" s="18" t="n"/>
      <c r="N852" s="19" t="inlineStr">
        <is>
          <t>Precious Metals</t>
        </is>
      </c>
      <c r="O852" s="19" t="n">
        <v>480</v>
      </c>
    </row>
    <row r="853">
      <c r="M853" s="18" t="n"/>
      <c r="N853" s="19" t="inlineStr">
        <is>
          <t>Noble Metals</t>
        </is>
      </c>
      <c r="O853" s="20" t="n">
        <v>72000</v>
      </c>
    </row>
    <row r="854">
      <c r="M854" s="18" t="n"/>
      <c r="N854" s="19" t="inlineStr">
        <is>
          <t>Silicate Glass</t>
        </is>
      </c>
      <c r="O854" s="19" t="n">
        <v>60</v>
      </c>
    </row>
    <row r="855">
      <c r="M855" s="18" t="n"/>
      <c r="N855" s="19" t="inlineStr">
        <is>
          <t>Oxidizing Compound</t>
        </is>
      </c>
      <c r="O855" s="19" t="n">
        <v>480</v>
      </c>
    </row>
    <row r="856">
      <c r="M856" s="18" t="n"/>
      <c r="N856" s="19" t="inlineStr">
        <is>
          <t>Reactive Gas</t>
        </is>
      </c>
      <c r="O856" s="20" t="n">
        <v>72000</v>
      </c>
    </row>
    <row r="857">
      <c r="M857" s="18" t="n"/>
      <c r="N857" s="19" t="inlineStr">
        <is>
          <t>Silicon</t>
        </is>
      </c>
      <c r="O857" s="19" t="n">
        <v>480</v>
      </c>
    </row>
    <row r="858">
      <c r="M858" s="18" t="n"/>
      <c r="N858" s="19" t="inlineStr">
        <is>
          <t>Felsic Magma</t>
        </is>
      </c>
      <c r="O858" s="20" t="n">
        <v>72000</v>
      </c>
    </row>
    <row r="859">
      <c r="M859" s="18" t="n"/>
      <c r="N859" s="19" t="inlineStr">
        <is>
          <t>High-Tech Transmitters</t>
        </is>
      </c>
      <c r="O859" s="19" t="n">
        <v>18</v>
      </c>
    </row>
    <row r="860">
      <c r="M860" s="18" t="n"/>
      <c r="N860" s="19" t="inlineStr">
        <is>
          <t>Transmitter</t>
        </is>
      </c>
      <c r="O860" s="19" t="n">
        <v>60</v>
      </c>
    </row>
    <row r="861">
      <c r="M861" s="18" t="n"/>
      <c r="N861" s="19" t="inlineStr">
        <is>
          <t>Chiral Structures</t>
        </is>
      </c>
      <c r="O861" s="19" t="n">
        <v>480</v>
      </c>
    </row>
    <row r="862">
      <c r="M862" s="18" t="n"/>
      <c r="N862" s="19" t="inlineStr">
        <is>
          <t>Non-CS Crystals</t>
        </is>
      </c>
      <c r="O862" s="20" t="n">
        <v>72000</v>
      </c>
    </row>
    <row r="863">
      <c r="M863" s="18" t="n"/>
      <c r="N863" s="19" t="inlineStr">
        <is>
          <t>Plasmoids</t>
        </is>
      </c>
      <c r="O863" s="19" t="n">
        <v>480</v>
      </c>
    </row>
    <row r="864">
      <c r="M864" s="18" t="n"/>
      <c r="N864" s="19" t="inlineStr">
        <is>
          <t>Suspended Plasma</t>
        </is>
      </c>
      <c r="O864" s="20" t="n">
        <v>72000</v>
      </c>
    </row>
    <row r="865">
      <c r="M865" s="18" t="n"/>
      <c r="N865" s="19" t="inlineStr">
        <is>
          <t>Polyaramids</t>
        </is>
      </c>
      <c r="O865" s="19" t="n">
        <v>60</v>
      </c>
    </row>
    <row r="866">
      <c r="M866" s="18" t="n"/>
      <c r="N866" s="19" t="inlineStr">
        <is>
          <t>Oxidizing Compound</t>
        </is>
      </c>
      <c r="O866" s="19" t="n">
        <v>480</v>
      </c>
    </row>
    <row r="867">
      <c r="M867" s="18" t="n"/>
      <c r="N867" s="19" t="inlineStr">
        <is>
          <t>Reactive Gas</t>
        </is>
      </c>
      <c r="O867" s="20" t="n">
        <v>72000</v>
      </c>
    </row>
    <row r="868">
      <c r="M868" s="18" t="n"/>
      <c r="N868" s="19" t="inlineStr">
        <is>
          <t>Industrial Fibers</t>
        </is>
      </c>
      <c r="O868" s="19" t="n">
        <v>480</v>
      </c>
    </row>
    <row r="869">
      <c r="M869" s="18" t="n"/>
      <c r="N869" s="19" t="inlineStr">
        <is>
          <t>Autotrophs</t>
        </is>
      </c>
      <c r="O869" s="20" t="n">
        <v>72000</v>
      </c>
    </row>
    <row r="870">
      <c r="M870" s="13" t="n"/>
      <c r="N870" s="10" t="inlineStr">
        <is>
          <t>Integrity Response Drones</t>
        </is>
      </c>
      <c r="O870" s="10" t="n">
        <v>3</v>
      </c>
    </row>
    <row r="871">
      <c r="M871" s="18" t="n"/>
      <c r="N871" s="19" t="inlineStr">
        <is>
          <t>Gel-Matrix Biopaste</t>
        </is>
      </c>
      <c r="O871" s="19" t="n">
        <v>18</v>
      </c>
    </row>
    <row r="872">
      <c r="M872" s="18" t="n"/>
      <c r="N872" s="19" t="inlineStr">
        <is>
          <t>Biocells</t>
        </is>
      </c>
      <c r="O872" s="19" t="n">
        <v>60</v>
      </c>
    </row>
    <row r="873">
      <c r="M873" s="18" t="n"/>
      <c r="N873" s="19" t="inlineStr">
        <is>
          <t>Biofuels</t>
        </is>
      </c>
      <c r="O873" s="19" t="n">
        <v>480</v>
      </c>
    </row>
    <row r="874">
      <c r="M874" s="18" t="n"/>
      <c r="N874" s="19" t="inlineStr">
        <is>
          <t>Carbon Compounds</t>
        </is>
      </c>
      <c r="O874" s="20" t="n">
        <v>72000</v>
      </c>
    </row>
    <row r="875">
      <c r="M875" s="18" t="n"/>
      <c r="N875" s="19" t="inlineStr">
        <is>
          <t>Precious Metals</t>
        </is>
      </c>
      <c r="O875" s="19" t="n">
        <v>480</v>
      </c>
    </row>
    <row r="876">
      <c r="M876" s="18" t="n"/>
      <c r="N876" s="19" t="inlineStr">
        <is>
          <t>Noble Metals</t>
        </is>
      </c>
      <c r="O876" s="20" t="n">
        <v>72000</v>
      </c>
    </row>
    <row r="877">
      <c r="M877" s="18" t="n"/>
      <c r="N877" s="19" t="inlineStr">
        <is>
          <t>Oxides</t>
        </is>
      </c>
      <c r="O877" s="19" t="n">
        <v>60</v>
      </c>
    </row>
    <row r="878">
      <c r="M878" s="18" t="n"/>
      <c r="N878" s="19" t="inlineStr">
        <is>
          <t>Oxidizing Compound</t>
        </is>
      </c>
      <c r="O878" s="19" t="n">
        <v>480</v>
      </c>
    </row>
    <row r="879">
      <c r="M879" s="18" t="n"/>
      <c r="N879" s="19" t="inlineStr">
        <is>
          <t>Reactive Gas</t>
        </is>
      </c>
      <c r="O879" s="20" t="n">
        <v>72000</v>
      </c>
    </row>
    <row r="880">
      <c r="M880" s="18" t="n"/>
      <c r="N880" s="19" t="inlineStr">
        <is>
          <t>Oxygen</t>
        </is>
      </c>
      <c r="O880" s="19" t="n">
        <v>480</v>
      </c>
    </row>
    <row r="881">
      <c r="M881" s="18" t="n"/>
      <c r="N881" s="19" t="inlineStr">
        <is>
          <t>Noble Gas</t>
        </is>
      </c>
      <c r="O881" s="20" t="n">
        <v>72000</v>
      </c>
    </row>
    <row r="882">
      <c r="M882" s="18" t="n"/>
      <c r="N882" s="19" t="inlineStr">
        <is>
          <t>Superconductors</t>
        </is>
      </c>
      <c r="O882" s="19" t="n">
        <v>60</v>
      </c>
    </row>
    <row r="883">
      <c r="M883" s="18" t="n"/>
      <c r="N883" s="19" t="inlineStr">
        <is>
          <t>Plasmoids</t>
        </is>
      </c>
      <c r="O883" s="19" t="n">
        <v>480</v>
      </c>
    </row>
    <row r="884">
      <c r="M884" s="18" t="n"/>
      <c r="N884" s="19" t="inlineStr">
        <is>
          <t>Suspended Plasma</t>
        </is>
      </c>
      <c r="O884" s="20" t="n">
        <v>72000</v>
      </c>
    </row>
    <row r="885">
      <c r="M885" s="18" t="n"/>
      <c r="N885" s="19" t="inlineStr">
        <is>
          <t>Water</t>
        </is>
      </c>
      <c r="O885" s="19" t="n">
        <v>480</v>
      </c>
    </row>
    <row r="886">
      <c r="M886" s="18" t="n"/>
      <c r="N886" s="19" t="inlineStr">
        <is>
          <t>Aqueous Liquids</t>
        </is>
      </c>
      <c r="O886" s="20" t="n">
        <v>72000</v>
      </c>
    </row>
    <row r="887">
      <c r="M887" s="18" t="n"/>
      <c r="N887" s="19" t="inlineStr">
        <is>
          <t>Hazmat Detection Systems</t>
        </is>
      </c>
      <c r="O887" s="19" t="n">
        <v>18</v>
      </c>
    </row>
    <row r="888">
      <c r="M888" s="18" t="n"/>
      <c r="N888" s="19" t="inlineStr">
        <is>
          <t>Transmitter</t>
        </is>
      </c>
      <c r="O888" s="19" t="n">
        <v>60</v>
      </c>
    </row>
    <row r="889">
      <c r="M889" s="18" t="n"/>
      <c r="N889" s="19" t="inlineStr">
        <is>
          <t>Chiral Structures</t>
        </is>
      </c>
      <c r="O889" s="19" t="n">
        <v>480</v>
      </c>
    </row>
    <row r="890">
      <c r="M890" s="18" t="n"/>
      <c r="N890" s="19" t="inlineStr">
        <is>
          <t>Non-CS Crystals</t>
        </is>
      </c>
      <c r="O890" s="20" t="n">
        <v>72000</v>
      </c>
    </row>
    <row r="891">
      <c r="M891" s="18" t="n"/>
      <c r="N891" s="19" t="inlineStr">
        <is>
          <t>Plasmoids</t>
        </is>
      </c>
      <c r="O891" s="19" t="n">
        <v>480</v>
      </c>
    </row>
    <row r="892">
      <c r="M892" s="18" t="n"/>
      <c r="N892" s="19" t="inlineStr">
        <is>
          <t>Suspended Plasma</t>
        </is>
      </c>
      <c r="O892" s="20" t="n">
        <v>72000</v>
      </c>
    </row>
    <row r="893">
      <c r="M893" s="18" t="n"/>
      <c r="N893" s="19" t="inlineStr">
        <is>
          <t>Polytextiles</t>
        </is>
      </c>
      <c r="O893" s="19" t="n">
        <v>60</v>
      </c>
    </row>
    <row r="894">
      <c r="M894" s="18" t="n"/>
      <c r="N894" s="19" t="inlineStr">
        <is>
          <t>Biofuels</t>
        </is>
      </c>
      <c r="O894" s="19" t="n">
        <v>480</v>
      </c>
    </row>
    <row r="895">
      <c r="M895" s="18" t="n"/>
      <c r="N895" s="19" t="inlineStr">
        <is>
          <t>Carbon Compounds</t>
        </is>
      </c>
      <c r="O895" s="20" t="n">
        <v>72000</v>
      </c>
    </row>
    <row r="896">
      <c r="M896" s="18" t="n"/>
      <c r="N896" s="19" t="inlineStr">
        <is>
          <t>Industrial Fibers</t>
        </is>
      </c>
      <c r="O896" s="19" t="n">
        <v>480</v>
      </c>
    </row>
    <row r="897">
      <c r="M897" s="18" t="n"/>
      <c r="N897" s="19" t="inlineStr">
        <is>
          <t>Autotrophs</t>
        </is>
      </c>
      <c r="O897" s="20" t="n">
        <v>72000</v>
      </c>
    </row>
    <row r="898">
      <c r="M898" s="18" t="n"/>
      <c r="N898" s="19" t="inlineStr">
        <is>
          <t>Viral Agent</t>
        </is>
      </c>
      <c r="O898" s="19" t="n">
        <v>60</v>
      </c>
    </row>
    <row r="899">
      <c r="M899" s="18" t="n"/>
      <c r="N899" s="19" t="inlineStr">
        <is>
          <t>Bacteria</t>
        </is>
      </c>
      <c r="O899" s="19" t="n">
        <v>480</v>
      </c>
    </row>
    <row r="900">
      <c r="M900" s="18" t="n"/>
      <c r="N900" s="19" t="inlineStr">
        <is>
          <t>Microorganisms</t>
        </is>
      </c>
      <c r="O900" s="20" t="n">
        <v>72000</v>
      </c>
    </row>
    <row r="901">
      <c r="M901" s="18" t="n"/>
      <c r="N901" s="19" t="inlineStr">
        <is>
          <t>Biomass</t>
        </is>
      </c>
      <c r="O901" s="19" t="n">
        <v>480</v>
      </c>
    </row>
    <row r="902">
      <c r="M902" s="18" t="n"/>
      <c r="N902" s="19" t="inlineStr">
        <is>
          <t>Planktic Colonies</t>
        </is>
      </c>
      <c r="O902" s="20" t="n">
        <v>72000</v>
      </c>
    </row>
    <row r="903">
      <c r="M903" s="18" t="n"/>
      <c r="N903" s="19" t="inlineStr">
        <is>
          <t>Planetary Vehicles</t>
        </is>
      </c>
      <c r="O903" s="19" t="n">
        <v>18</v>
      </c>
    </row>
    <row r="904">
      <c r="M904" s="18" t="n"/>
      <c r="N904" s="19" t="inlineStr">
        <is>
          <t>Supertensile Plastics</t>
        </is>
      </c>
      <c r="O904" s="19" t="n">
        <v>60</v>
      </c>
    </row>
    <row r="905">
      <c r="M905" s="18" t="n"/>
      <c r="N905" s="19" t="inlineStr">
        <is>
          <t>Oxygen</t>
        </is>
      </c>
      <c r="O905" s="19" t="n">
        <v>480</v>
      </c>
    </row>
    <row r="906">
      <c r="M906" s="18" t="n"/>
      <c r="N906" s="19" t="inlineStr">
        <is>
          <t>Noble Gas</t>
        </is>
      </c>
      <c r="O906" s="20" t="n">
        <v>72000</v>
      </c>
    </row>
    <row r="907">
      <c r="M907" s="18" t="n"/>
      <c r="N907" s="19" t="inlineStr">
        <is>
          <t>Biomass</t>
        </is>
      </c>
      <c r="O907" s="19" t="n">
        <v>480</v>
      </c>
    </row>
    <row r="908">
      <c r="M908" s="18" t="n"/>
      <c r="N908" s="19" t="inlineStr">
        <is>
          <t>Planktic Colonies</t>
        </is>
      </c>
      <c r="O908" s="20" t="n">
        <v>72000</v>
      </c>
    </row>
    <row r="909">
      <c r="M909" s="18" t="n"/>
      <c r="N909" s="19" t="inlineStr">
        <is>
          <t>Mechanical Parts</t>
        </is>
      </c>
      <c r="O909" s="19" t="n">
        <v>60</v>
      </c>
    </row>
    <row r="910">
      <c r="M910" s="18" t="n"/>
      <c r="N910" s="19" t="inlineStr">
        <is>
          <t>Reactive Metals</t>
        </is>
      </c>
      <c r="O910" s="19" t="n">
        <v>480</v>
      </c>
    </row>
    <row r="911">
      <c r="M911" s="18" t="n"/>
      <c r="N911" s="19" t="inlineStr">
        <is>
          <t>Base Metals</t>
        </is>
      </c>
      <c r="O911" s="20" t="n">
        <v>72000</v>
      </c>
    </row>
    <row r="912">
      <c r="M912" s="18" t="n"/>
      <c r="N912" s="19" t="inlineStr">
        <is>
          <t>Precious Metals</t>
        </is>
      </c>
      <c r="O912" s="19" t="n">
        <v>480</v>
      </c>
    </row>
    <row r="913">
      <c r="M913" s="18" t="n"/>
      <c r="N913" s="19" t="inlineStr">
        <is>
          <t>Noble Metals</t>
        </is>
      </c>
      <c r="O913" s="20" t="n">
        <v>72000</v>
      </c>
    </row>
    <row r="914">
      <c r="M914" s="18" t="n"/>
      <c r="N914" s="19" t="inlineStr">
        <is>
          <t>Miniature Electronics</t>
        </is>
      </c>
      <c r="O914" s="19" t="n">
        <v>60</v>
      </c>
    </row>
    <row r="915">
      <c r="M915" s="18" t="n"/>
      <c r="N915" s="19" t="inlineStr">
        <is>
          <t>Chiral Structures</t>
        </is>
      </c>
      <c r="O915" s="19" t="n">
        <v>480</v>
      </c>
    </row>
    <row r="916">
      <c r="M916" s="18" t="n"/>
      <c r="N916" s="19" t="inlineStr">
        <is>
          <t>Non-CS Crystals</t>
        </is>
      </c>
      <c r="O916" s="20" t="n">
        <v>72000</v>
      </c>
    </row>
    <row r="917">
      <c r="M917" s="18" t="n"/>
      <c r="N917" s="19" t="inlineStr">
        <is>
          <t>Silicon</t>
        </is>
      </c>
      <c r="O917" s="19" t="n">
        <v>480</v>
      </c>
    </row>
    <row r="918">
      <c r="M918" s="18" t="n"/>
      <c r="N918" s="19" t="inlineStr">
        <is>
          <t>Felsic Magma</t>
        </is>
      </c>
      <c r="O918" s="20" t="n">
        <v>72000</v>
      </c>
    </row>
    <row r="919">
      <c r="M919" s="13" t="n"/>
      <c r="N919" s="10" t="inlineStr">
        <is>
          <t>Organic Mortar Applicators</t>
        </is>
      </c>
      <c r="O919" s="10" t="n">
        <v>3</v>
      </c>
    </row>
    <row r="920">
      <c r="M920" s="18" t="n"/>
      <c r="N920" s="19" t="inlineStr">
        <is>
          <t>Condensates</t>
        </is>
      </c>
      <c r="O920" s="19" t="n">
        <v>18</v>
      </c>
    </row>
    <row r="921">
      <c r="M921" s="18" t="n"/>
      <c r="N921" s="19" t="inlineStr">
        <is>
          <t>Coolant</t>
        </is>
      </c>
      <c r="O921" s="19" t="n">
        <v>60</v>
      </c>
    </row>
    <row r="922">
      <c r="M922" s="18" t="n"/>
      <c r="N922" s="19" t="inlineStr">
        <is>
          <t>Water</t>
        </is>
      </c>
      <c r="O922" s="19" t="n">
        <v>480</v>
      </c>
    </row>
    <row r="923">
      <c r="M923" s="18" t="n"/>
      <c r="N923" s="19" t="inlineStr">
        <is>
          <t>Aqueous Liquids</t>
        </is>
      </c>
      <c r="O923" s="20" t="n">
        <v>72000</v>
      </c>
    </row>
    <row r="924">
      <c r="M924" s="18" t="n"/>
      <c r="N924" s="19" t="inlineStr">
        <is>
          <t>Electrolytes</t>
        </is>
      </c>
      <c r="O924" s="19" t="n">
        <v>480</v>
      </c>
    </row>
    <row r="925">
      <c r="M925" s="18" t="n"/>
      <c r="N925" s="19" t="inlineStr">
        <is>
          <t>Ionic Solutions</t>
        </is>
      </c>
      <c r="O925" s="20" t="n">
        <v>72000</v>
      </c>
    </row>
    <row r="926">
      <c r="M926" s="18" t="n"/>
      <c r="N926" s="19" t="inlineStr">
        <is>
          <t>Oxides</t>
        </is>
      </c>
      <c r="O926" s="19" t="n">
        <v>60</v>
      </c>
    </row>
    <row r="927">
      <c r="M927" s="18" t="n"/>
      <c r="N927" s="19" t="inlineStr">
        <is>
          <t>Oxidizing Compound</t>
        </is>
      </c>
      <c r="O927" s="19" t="n">
        <v>480</v>
      </c>
    </row>
    <row r="928">
      <c r="M928" s="18" t="n"/>
      <c r="N928" s="19" t="inlineStr">
        <is>
          <t>Reactive Gas</t>
        </is>
      </c>
      <c r="O928" s="20" t="n">
        <v>72000</v>
      </c>
    </row>
    <row r="929">
      <c r="M929" s="18" t="n"/>
      <c r="N929" s="19" t="inlineStr">
        <is>
          <t>Oxygen</t>
        </is>
      </c>
      <c r="O929" s="19" t="n">
        <v>480</v>
      </c>
    </row>
    <row r="930">
      <c r="M930" s="18" t="n"/>
      <c r="N930" s="19" t="inlineStr">
        <is>
          <t>Noble Gas</t>
        </is>
      </c>
      <c r="O930" s="20" t="n">
        <v>72000</v>
      </c>
    </row>
    <row r="931">
      <c r="M931" s="18" t="n"/>
      <c r="N931" s="19" t="inlineStr">
        <is>
          <t>Bacteria</t>
        </is>
      </c>
      <c r="O931" s="19" t="n">
        <v>120</v>
      </c>
    </row>
    <row r="932">
      <c r="M932" s="18" t="n"/>
      <c r="N932" s="19" t="inlineStr">
        <is>
          <t>Microorganisms</t>
        </is>
      </c>
      <c r="O932" s="20" t="n">
        <v>18000</v>
      </c>
    </row>
    <row r="933">
      <c r="M933" s="18" t="n"/>
      <c r="N933" s="19" t="inlineStr">
        <is>
          <t>Robotics</t>
        </is>
      </c>
      <c r="O933" s="19" t="n">
        <v>18</v>
      </c>
    </row>
    <row r="934">
      <c r="M934" s="18" t="n"/>
      <c r="N934" s="19" t="inlineStr">
        <is>
          <t>Mechanical Parts</t>
        </is>
      </c>
      <c r="O934" s="19" t="n">
        <v>60</v>
      </c>
    </row>
    <row r="935">
      <c r="M935" s="18" t="n"/>
      <c r="N935" s="19" t="inlineStr">
        <is>
          <t>Reactive Metals</t>
        </is>
      </c>
      <c r="O935" s="19" t="n">
        <v>480</v>
      </c>
    </row>
    <row r="936">
      <c r="M936" s="18" t="n"/>
      <c r="N936" s="19" t="inlineStr">
        <is>
          <t>Base Metals</t>
        </is>
      </c>
      <c r="O936" s="20" t="n">
        <v>72000</v>
      </c>
    </row>
    <row r="937">
      <c r="M937" s="18" t="n"/>
      <c r="N937" s="19" t="inlineStr">
        <is>
          <t>Precious Metals</t>
        </is>
      </c>
      <c r="O937" s="19" t="n">
        <v>480</v>
      </c>
    </row>
    <row r="938">
      <c r="M938" s="18" t="n"/>
      <c r="N938" s="19" t="inlineStr">
        <is>
          <t>Noble Metals</t>
        </is>
      </c>
      <c r="O938" s="20" t="n">
        <v>72000</v>
      </c>
    </row>
    <row r="939">
      <c r="M939" s="18" t="n"/>
      <c r="N939" s="19" t="inlineStr">
        <is>
          <t>Consumer Electronics</t>
        </is>
      </c>
      <c r="O939" s="19" t="n">
        <v>60</v>
      </c>
    </row>
    <row r="940">
      <c r="M940" s="18" t="n"/>
      <c r="N940" s="19" t="inlineStr">
        <is>
          <t>Toxic Metals</t>
        </is>
      </c>
      <c r="O940" s="19" t="n">
        <v>480</v>
      </c>
    </row>
    <row r="941">
      <c r="M941" s="18" t="n"/>
      <c r="N941" s="19" t="inlineStr">
        <is>
          <t>Heavy Metals</t>
        </is>
      </c>
      <c r="O941" s="20" t="n">
        <v>72000</v>
      </c>
    </row>
    <row r="942">
      <c r="M942" s="18" t="n"/>
      <c r="N942" s="19" t="inlineStr">
        <is>
          <t>Chiral Structures</t>
        </is>
      </c>
      <c r="O942" s="19" t="n">
        <v>480</v>
      </c>
    </row>
    <row r="943">
      <c r="M943" s="18" t="n"/>
      <c r="N943" s="19" t="inlineStr">
        <is>
          <t>Non-CS Crystals</t>
        </is>
      </c>
      <c r="O943" s="20" t="n">
        <v>72000</v>
      </c>
    </row>
    <row r="944">
      <c r="M944" s="13" t="n"/>
      <c r="N944" s="10" t="inlineStr">
        <is>
          <t>Recursive Computing Module</t>
        </is>
      </c>
      <c r="O944" s="10" t="n">
        <v>5</v>
      </c>
    </row>
    <row r="945">
      <c r="M945" s="18" t="n"/>
      <c r="N945" s="19" t="inlineStr">
        <is>
          <t>Synthetic Synapses</t>
        </is>
      </c>
      <c r="O945" s="19" t="n">
        <v>30</v>
      </c>
    </row>
    <row r="946">
      <c r="M946" s="18" t="n"/>
      <c r="N946" s="19" t="inlineStr">
        <is>
          <t>Supertensile Plastics</t>
        </is>
      </c>
      <c r="O946" s="19" t="n">
        <v>100</v>
      </c>
    </row>
    <row r="947">
      <c r="M947" s="18" t="n"/>
      <c r="N947" s="19" t="inlineStr">
        <is>
          <t>Oxygen</t>
        </is>
      </c>
      <c r="O947" s="19" t="n">
        <v>800</v>
      </c>
    </row>
    <row r="948">
      <c r="M948" s="18" t="n"/>
      <c r="N948" s="19" t="inlineStr">
        <is>
          <t>Noble Gas</t>
        </is>
      </c>
      <c r="O948" s="20" t="n">
        <v>120000</v>
      </c>
    </row>
    <row r="949">
      <c r="M949" s="18" t="n"/>
      <c r="N949" s="19" t="inlineStr">
        <is>
          <t>Biomass</t>
        </is>
      </c>
      <c r="O949" s="19" t="n">
        <v>800</v>
      </c>
    </row>
    <row r="950">
      <c r="M950" s="18" t="n"/>
      <c r="N950" s="19" t="inlineStr">
        <is>
          <t>Planktic Colonies</t>
        </is>
      </c>
      <c r="O950" s="20" t="n">
        <v>120000</v>
      </c>
    </row>
    <row r="951">
      <c r="M951" s="18" t="n"/>
      <c r="N951" s="19" t="inlineStr">
        <is>
          <t>Test Cultures</t>
        </is>
      </c>
      <c r="O951" s="19" t="n">
        <v>100</v>
      </c>
    </row>
    <row r="952">
      <c r="M952" s="18" t="n"/>
      <c r="N952" s="19" t="inlineStr">
        <is>
          <t>Bacteria</t>
        </is>
      </c>
      <c r="O952" s="19" t="n">
        <v>800</v>
      </c>
    </row>
    <row r="953">
      <c r="M953" s="18" t="n"/>
      <c r="N953" s="19" t="inlineStr">
        <is>
          <t>Microorganisms</t>
        </is>
      </c>
      <c r="O953" s="20" t="n">
        <v>120000</v>
      </c>
    </row>
    <row r="954">
      <c r="M954" s="18" t="n"/>
      <c r="N954" s="19" t="inlineStr">
        <is>
          <t>Water</t>
        </is>
      </c>
      <c r="O954" s="19" t="n">
        <v>800</v>
      </c>
    </row>
    <row r="955">
      <c r="M955" s="18" t="n"/>
      <c r="N955" s="19" t="inlineStr">
        <is>
          <t>Aqueous Liquids</t>
        </is>
      </c>
      <c r="O955" s="20" t="n">
        <v>120000</v>
      </c>
    </row>
    <row r="956">
      <c r="M956" s="18" t="n"/>
      <c r="N956" s="19" t="inlineStr">
        <is>
          <t>Transcranial Microcontrollers</t>
        </is>
      </c>
      <c r="O956" s="19" t="n">
        <v>30</v>
      </c>
    </row>
    <row r="957">
      <c r="M957" s="18" t="n"/>
      <c r="N957" s="19" t="inlineStr">
        <is>
          <t>Biocells</t>
        </is>
      </c>
      <c r="O957" s="19" t="n">
        <v>100</v>
      </c>
    </row>
    <row r="958">
      <c r="M958" s="18" t="n"/>
      <c r="N958" s="19" t="inlineStr">
        <is>
          <t>Biofuels</t>
        </is>
      </c>
      <c r="O958" s="19" t="n">
        <v>800</v>
      </c>
    </row>
    <row r="959">
      <c r="M959" s="18" t="n"/>
      <c r="N959" s="19" t="inlineStr">
        <is>
          <t>Carbon Compounds</t>
        </is>
      </c>
      <c r="O959" s="20" t="n">
        <v>120000</v>
      </c>
    </row>
    <row r="960">
      <c r="M960" s="18" t="n"/>
      <c r="N960" s="19" t="inlineStr">
        <is>
          <t>Precious Metals</t>
        </is>
      </c>
      <c r="O960" s="19" t="n">
        <v>800</v>
      </c>
    </row>
    <row r="961">
      <c r="M961" s="18" t="n"/>
      <c r="N961" s="19" t="inlineStr">
        <is>
          <t>Noble Metals</t>
        </is>
      </c>
      <c r="O961" s="20" t="n">
        <v>120000</v>
      </c>
    </row>
    <row r="962">
      <c r="M962" s="18" t="n"/>
      <c r="N962" s="19" t="inlineStr">
        <is>
          <t>Nanites</t>
        </is>
      </c>
      <c r="O962" s="19" t="n">
        <v>100</v>
      </c>
    </row>
    <row r="963">
      <c r="M963" s="18" t="n"/>
      <c r="N963" s="19" t="inlineStr">
        <is>
          <t>Bacteria</t>
        </is>
      </c>
      <c r="O963" s="19" t="n">
        <v>800</v>
      </c>
    </row>
    <row r="964">
      <c r="M964" s="18" t="n"/>
      <c r="N964" s="19" t="inlineStr">
        <is>
          <t>Microorganisms</t>
        </is>
      </c>
      <c r="O964" s="20" t="n">
        <v>120000</v>
      </c>
    </row>
    <row r="965">
      <c r="M965" s="18" t="n"/>
      <c r="N965" s="19" t="inlineStr">
        <is>
          <t>Reactive Metals</t>
        </is>
      </c>
      <c r="O965" s="19" t="n">
        <v>800</v>
      </c>
    </row>
    <row r="966">
      <c r="M966" s="18" t="n"/>
      <c r="N966" s="19" t="inlineStr">
        <is>
          <t>Base Metals</t>
        </is>
      </c>
      <c r="O966" s="20" t="n">
        <v>120000</v>
      </c>
    </row>
    <row r="967">
      <c r="M967" s="18" t="n"/>
      <c r="N967" s="19" t="inlineStr">
        <is>
          <t>Guidance Systems</t>
        </is>
      </c>
      <c r="O967" s="19" t="n">
        <v>30</v>
      </c>
    </row>
    <row r="968">
      <c r="M968" s="18" t="n"/>
      <c r="N968" s="19" t="inlineStr">
        <is>
          <t>Water-Cooled CPU</t>
        </is>
      </c>
      <c r="O968" s="19" t="n">
        <v>100</v>
      </c>
    </row>
    <row r="969">
      <c r="M969" s="18" t="n"/>
      <c r="N969" s="19" t="inlineStr">
        <is>
          <t>Water</t>
        </is>
      </c>
      <c r="O969" s="19" t="n">
        <v>800</v>
      </c>
    </row>
    <row r="970">
      <c r="M970" s="18" t="n"/>
      <c r="N970" s="19" t="inlineStr">
        <is>
          <t>Aqueous Liquids</t>
        </is>
      </c>
      <c r="O970" s="20" t="n">
        <v>120000</v>
      </c>
    </row>
    <row r="971">
      <c r="M971" s="18" t="n"/>
      <c r="N971" s="19" t="inlineStr">
        <is>
          <t>Reactive Metals</t>
        </is>
      </c>
      <c r="O971" s="19" t="n">
        <v>800</v>
      </c>
    </row>
    <row r="972">
      <c r="M972" s="18" t="n"/>
      <c r="N972" s="19" t="inlineStr">
        <is>
          <t>Base Metals</t>
        </is>
      </c>
      <c r="O972" s="20" t="n">
        <v>120000</v>
      </c>
    </row>
    <row r="973">
      <c r="M973" s="18" t="n"/>
      <c r="N973" s="19" t="inlineStr">
        <is>
          <t>Transmitter</t>
        </is>
      </c>
      <c r="O973" s="19" t="n">
        <v>100</v>
      </c>
    </row>
    <row r="974">
      <c r="M974" s="18" t="n"/>
      <c r="N974" s="19" t="inlineStr">
        <is>
          <t>Chiral Structures</t>
        </is>
      </c>
      <c r="O974" s="19" t="n">
        <v>800</v>
      </c>
    </row>
    <row r="975">
      <c r="M975" s="18" t="n"/>
      <c r="N975" s="19" t="inlineStr">
        <is>
          <t>Non-CS Crystals</t>
        </is>
      </c>
      <c r="O975" s="20" t="n">
        <v>120000</v>
      </c>
    </row>
    <row r="976">
      <c r="M976" s="18" t="n"/>
      <c r="N976" s="19" t="inlineStr">
        <is>
          <t>Plasmoids</t>
        </is>
      </c>
      <c r="O976" s="19" t="n">
        <v>800</v>
      </c>
    </row>
    <row r="977">
      <c r="M977" s="18" t="n"/>
      <c r="N977" s="19" t="inlineStr">
        <is>
          <t>Suspended Plasma</t>
        </is>
      </c>
      <c r="O977" s="20" t="n">
        <v>120000</v>
      </c>
    </row>
    <row r="978">
      <c r="M978" s="13" t="n"/>
      <c r="N978" s="10" t="inlineStr">
        <is>
          <t>Self-Harmonizing Power Core</t>
        </is>
      </c>
      <c r="O978" s="10" t="n">
        <v>5</v>
      </c>
    </row>
    <row r="979">
      <c r="M979" s="18" t="n"/>
      <c r="N979" s="19" t="inlineStr">
        <is>
          <t>Nuclear Reactors</t>
        </is>
      </c>
      <c r="O979" s="19" t="n">
        <v>30</v>
      </c>
    </row>
    <row r="980">
      <c r="M980" s="18" t="n"/>
      <c r="N980" s="19" t="inlineStr">
        <is>
          <t>Enriched Uranium</t>
        </is>
      </c>
      <c r="O980" s="19" t="n">
        <v>100</v>
      </c>
    </row>
    <row r="981">
      <c r="M981" s="18" t="n"/>
      <c r="N981" s="19" t="inlineStr">
        <is>
          <t>Toxic Metals</t>
        </is>
      </c>
      <c r="O981" s="19" t="n">
        <v>800</v>
      </c>
    </row>
    <row r="982">
      <c r="M982" s="18" t="n"/>
      <c r="N982" s="19" t="inlineStr">
        <is>
          <t>Heavy Metals</t>
        </is>
      </c>
      <c r="O982" s="20" t="n">
        <v>120000</v>
      </c>
    </row>
    <row r="983">
      <c r="M983" s="18" t="n"/>
      <c r="N983" s="19" t="inlineStr">
        <is>
          <t>Precious Metals</t>
        </is>
      </c>
      <c r="O983" s="19" t="n">
        <v>800</v>
      </c>
    </row>
    <row r="984">
      <c r="M984" s="18" t="n"/>
      <c r="N984" s="19" t="inlineStr">
        <is>
          <t>Noble Metals</t>
        </is>
      </c>
      <c r="O984" s="20" t="n">
        <v>120000</v>
      </c>
    </row>
    <row r="985">
      <c r="M985" s="18" t="n"/>
      <c r="N985" s="19" t="inlineStr">
        <is>
          <t>Microfiber Shielding</t>
        </is>
      </c>
      <c r="O985" s="19" t="n">
        <v>100</v>
      </c>
    </row>
    <row r="986">
      <c r="M986" s="18" t="n"/>
      <c r="N986" s="19" t="inlineStr">
        <is>
          <t>Silicon</t>
        </is>
      </c>
      <c r="O986" s="19" t="n">
        <v>800</v>
      </c>
    </row>
    <row r="987">
      <c r="M987" s="18" t="n"/>
      <c r="N987" s="19" t="inlineStr">
        <is>
          <t>Felsic Magma</t>
        </is>
      </c>
      <c r="O987" s="20" t="n">
        <v>120000</v>
      </c>
    </row>
    <row r="988">
      <c r="M988" s="18" t="n"/>
      <c r="N988" s="19" t="inlineStr">
        <is>
          <t>Industrial Fibers</t>
        </is>
      </c>
      <c r="O988" s="19" t="n">
        <v>800</v>
      </c>
    </row>
    <row r="989">
      <c r="M989" s="18" t="n"/>
      <c r="N989" s="19" t="inlineStr">
        <is>
          <t>Autotrophs</t>
        </is>
      </c>
      <c r="O989" s="20" t="n">
        <v>120000</v>
      </c>
    </row>
    <row r="990">
      <c r="M990" s="18" t="n"/>
      <c r="N990" s="19" t="inlineStr">
        <is>
          <t>Camera Drones</t>
        </is>
      </c>
      <c r="O990" s="19" t="n">
        <v>30</v>
      </c>
    </row>
    <row r="991">
      <c r="M991" s="18" t="n"/>
      <c r="N991" s="19" t="inlineStr">
        <is>
          <t>Rocket Fuel</t>
        </is>
      </c>
      <c r="O991" s="19" t="n">
        <v>100</v>
      </c>
    </row>
    <row r="992">
      <c r="M992" s="18" t="n"/>
      <c r="N992" s="19" t="inlineStr">
        <is>
          <t>Electrolytes</t>
        </is>
      </c>
      <c r="O992" s="19" t="n">
        <v>800</v>
      </c>
    </row>
    <row r="993">
      <c r="M993" s="18" t="n"/>
      <c r="N993" s="19" t="inlineStr">
        <is>
          <t>Ionic Solutions</t>
        </is>
      </c>
      <c r="O993" s="20" t="n">
        <v>120000</v>
      </c>
    </row>
    <row r="994">
      <c r="M994" s="18" t="n"/>
      <c r="N994" s="19" t="inlineStr">
        <is>
          <t>Plasmoids</t>
        </is>
      </c>
      <c r="O994" s="19" t="n">
        <v>800</v>
      </c>
    </row>
    <row r="995">
      <c r="M995" s="18" t="n"/>
      <c r="N995" s="19" t="inlineStr">
        <is>
          <t>Suspended Plasma</t>
        </is>
      </c>
      <c r="O995" s="20" t="n">
        <v>120000</v>
      </c>
    </row>
    <row r="996">
      <c r="M996" s="18" t="n"/>
      <c r="N996" s="19" t="inlineStr">
        <is>
          <t>Silicate Glass</t>
        </is>
      </c>
      <c r="O996" s="19" t="n">
        <v>100</v>
      </c>
    </row>
    <row r="997">
      <c r="M997" s="18" t="n"/>
      <c r="N997" s="19" t="inlineStr">
        <is>
          <t>Oxidizing Compound</t>
        </is>
      </c>
      <c r="O997" s="19" t="n">
        <v>800</v>
      </c>
    </row>
    <row r="998">
      <c r="M998" s="18" t="n"/>
      <c r="N998" s="19" t="inlineStr">
        <is>
          <t>Reactive Gas</t>
        </is>
      </c>
      <c r="O998" s="20" t="n">
        <v>120000</v>
      </c>
    </row>
    <row r="999">
      <c r="M999" s="18" t="n"/>
      <c r="N999" s="19" t="inlineStr">
        <is>
          <t>Silicon</t>
        </is>
      </c>
      <c r="O999" s="19" t="n">
        <v>800</v>
      </c>
    </row>
    <row r="1000">
      <c r="M1000" s="18" t="n"/>
      <c r="N1000" s="19" t="inlineStr">
        <is>
          <t>Felsic Magma</t>
        </is>
      </c>
      <c r="O1000" s="20" t="n">
        <v>120000</v>
      </c>
    </row>
    <row r="1001">
      <c r="M1001" s="18" t="n"/>
      <c r="N1001" s="19" t="inlineStr">
        <is>
          <t>Hermetic Membranes</t>
        </is>
      </c>
      <c r="O1001" s="19" t="n">
        <v>30</v>
      </c>
    </row>
    <row r="1002">
      <c r="M1002" s="18" t="n"/>
      <c r="N1002" s="19" t="inlineStr">
        <is>
          <t>Polyaramids</t>
        </is>
      </c>
      <c r="O1002" s="19" t="n">
        <v>100</v>
      </c>
    </row>
    <row r="1003">
      <c r="M1003" s="18" t="n"/>
      <c r="N1003" s="19" t="inlineStr">
        <is>
          <t>Oxidizing Compound</t>
        </is>
      </c>
      <c r="O1003" s="19" t="n">
        <v>800</v>
      </c>
    </row>
    <row r="1004">
      <c r="M1004" s="18" t="n"/>
      <c r="N1004" s="19" t="inlineStr">
        <is>
          <t>Reactive Gas</t>
        </is>
      </c>
      <c r="O1004" s="20" t="n">
        <v>120000</v>
      </c>
    </row>
    <row r="1005">
      <c r="M1005" s="18" t="n"/>
      <c r="N1005" s="19" t="inlineStr">
        <is>
          <t>Industrial Fibers</t>
        </is>
      </c>
      <c r="O1005" s="19" t="n">
        <v>800</v>
      </c>
    </row>
    <row r="1006">
      <c r="M1006" s="18" t="n"/>
      <c r="N1006" s="19" t="inlineStr">
        <is>
          <t>Autotrophs</t>
        </is>
      </c>
      <c r="O1006" s="20" t="n">
        <v>120000</v>
      </c>
    </row>
    <row r="1007">
      <c r="M1007" s="18" t="n"/>
      <c r="N1007" s="19" t="inlineStr">
        <is>
          <t>Genetically Enhanced Livestock</t>
        </is>
      </c>
      <c r="O1007" s="19" t="n">
        <v>100</v>
      </c>
    </row>
    <row r="1008">
      <c r="M1008" s="18" t="n"/>
      <c r="N1008" s="19" t="inlineStr">
        <is>
          <t>Proteins</t>
        </is>
      </c>
      <c r="O1008" s="19" t="n">
        <v>800</v>
      </c>
    </row>
    <row r="1009">
      <c r="M1009" s="18" t="n"/>
      <c r="N1009" s="19" t="inlineStr">
        <is>
          <t>Complex Organisms</t>
        </is>
      </c>
      <c r="O1009" s="20" t="n">
        <v>120000</v>
      </c>
    </row>
    <row r="1010">
      <c r="M1010" s="18" t="n"/>
      <c r="N1010" s="19" t="inlineStr">
        <is>
          <t>Biomass</t>
        </is>
      </c>
      <c r="O1010" s="19" t="n">
        <v>800</v>
      </c>
    </row>
    <row r="1011">
      <c r="M1011" s="18" t="n"/>
      <c r="N1011" s="19" t="inlineStr">
        <is>
          <t>Planktic Colonies</t>
        </is>
      </c>
      <c r="O1011" s="20" t="n">
        <v>120000</v>
      </c>
    </row>
    <row r="1012">
      <c r="M1012" s="13" t="n"/>
      <c r="N1012" s="10" t="inlineStr">
        <is>
          <t>Wetware Mainframe</t>
        </is>
      </c>
      <c r="O1012" s="10" t="n">
        <v>3</v>
      </c>
    </row>
    <row r="1013">
      <c r="M1013" s="18" t="n"/>
      <c r="N1013" s="19" t="inlineStr">
        <is>
          <t>Supercomputers</t>
        </is>
      </c>
      <c r="O1013" s="19" t="n">
        <v>18</v>
      </c>
    </row>
    <row r="1014">
      <c r="M1014" s="18" t="n"/>
      <c r="N1014" s="19" t="inlineStr">
        <is>
          <t>Water-Cooled CPU</t>
        </is>
      </c>
      <c r="O1014" s="19" t="n">
        <v>60</v>
      </c>
    </row>
    <row r="1015">
      <c r="M1015" s="18" t="n"/>
      <c r="N1015" s="19" t="inlineStr">
        <is>
          <t>Water</t>
        </is>
      </c>
      <c r="O1015" s="19" t="n">
        <v>480</v>
      </c>
    </row>
    <row r="1016">
      <c r="M1016" s="18" t="n"/>
      <c r="N1016" s="19" t="inlineStr">
        <is>
          <t>Aqueous Liquids</t>
        </is>
      </c>
      <c r="O1016" s="20" t="n">
        <v>72000</v>
      </c>
    </row>
    <row r="1017">
      <c r="M1017" s="18" t="n"/>
      <c r="N1017" s="19" t="inlineStr">
        <is>
          <t>Reactive Metals</t>
        </is>
      </c>
      <c r="O1017" s="19" t="n">
        <v>480</v>
      </c>
    </row>
    <row r="1018">
      <c r="M1018" s="18" t="n"/>
      <c r="N1018" s="19" t="inlineStr">
        <is>
          <t>Base Metals</t>
        </is>
      </c>
      <c r="O1018" s="20" t="n">
        <v>72000</v>
      </c>
    </row>
    <row r="1019">
      <c r="M1019" s="18" t="n"/>
      <c r="N1019" s="19" t="inlineStr">
        <is>
          <t>Coolant</t>
        </is>
      </c>
      <c r="O1019" s="19" t="n">
        <v>60</v>
      </c>
    </row>
    <row r="1020">
      <c r="M1020" s="18" t="n"/>
      <c r="N1020" s="19" t="inlineStr">
        <is>
          <t>Water</t>
        </is>
      </c>
      <c r="O1020" s="19" t="n">
        <v>480</v>
      </c>
    </row>
    <row r="1021">
      <c r="M1021" s="18" t="n"/>
      <c r="N1021" s="19" t="inlineStr">
        <is>
          <t>Aqueous Liquids</t>
        </is>
      </c>
      <c r="O1021" s="20" t="n">
        <v>72000</v>
      </c>
    </row>
    <row r="1022">
      <c r="M1022" s="18" t="n"/>
      <c r="N1022" s="19" t="inlineStr">
        <is>
          <t>Electrolytes</t>
        </is>
      </c>
      <c r="O1022" s="19" t="n">
        <v>480</v>
      </c>
    </row>
    <row r="1023">
      <c r="M1023" s="18" t="n"/>
      <c r="N1023" s="19" t="inlineStr">
        <is>
          <t>Ionic Solutions</t>
        </is>
      </c>
      <c r="O1023" s="20" t="n">
        <v>72000</v>
      </c>
    </row>
    <row r="1024">
      <c r="M1024" s="18" t="n"/>
      <c r="N1024" s="19" t="inlineStr">
        <is>
          <t>Consumer Electronics</t>
        </is>
      </c>
      <c r="O1024" s="19" t="n">
        <v>60</v>
      </c>
    </row>
    <row r="1025">
      <c r="M1025" s="18" t="n"/>
      <c r="N1025" s="19" t="inlineStr">
        <is>
          <t>Toxic Metals</t>
        </is>
      </c>
      <c r="O1025" s="19" t="n">
        <v>480</v>
      </c>
    </row>
    <row r="1026">
      <c r="M1026" s="18" t="n"/>
      <c r="N1026" s="19" t="inlineStr">
        <is>
          <t>Heavy Metals</t>
        </is>
      </c>
      <c r="O1026" s="20" t="n">
        <v>72000</v>
      </c>
    </row>
    <row r="1027">
      <c r="M1027" s="18" t="n"/>
      <c r="N1027" s="19" t="inlineStr">
        <is>
          <t>Chiral Structures</t>
        </is>
      </c>
      <c r="O1027" s="19" t="n">
        <v>480</v>
      </c>
    </row>
    <row r="1028">
      <c r="M1028" s="18" t="n"/>
      <c r="N1028" s="19" t="inlineStr">
        <is>
          <t>Non-CS Crystals</t>
        </is>
      </c>
      <c r="O1028" s="20" t="n">
        <v>72000</v>
      </c>
    </row>
    <row r="1029">
      <c r="M1029" s="18" t="n"/>
      <c r="N1029" s="19" t="inlineStr">
        <is>
          <t>Biotech Research Reports</t>
        </is>
      </c>
      <c r="O1029" s="19" t="n">
        <v>18</v>
      </c>
    </row>
    <row r="1030">
      <c r="M1030" s="18" t="n"/>
      <c r="N1030" s="19" t="inlineStr">
        <is>
          <t>Construction Blocks</t>
        </is>
      </c>
      <c r="O1030" s="19" t="n">
        <v>60</v>
      </c>
    </row>
    <row r="1031">
      <c r="M1031" s="18" t="n"/>
      <c r="N1031" s="19" t="inlineStr">
        <is>
          <t>Toxic Metals</t>
        </is>
      </c>
      <c r="O1031" s="19" t="n">
        <v>480</v>
      </c>
    </row>
    <row r="1032">
      <c r="M1032" s="18" t="n"/>
      <c r="N1032" s="19" t="inlineStr">
        <is>
          <t>Heavy Metals</t>
        </is>
      </c>
      <c r="O1032" s="20" t="n">
        <v>72000</v>
      </c>
    </row>
    <row r="1033">
      <c r="M1033" s="18" t="n"/>
      <c r="N1033" s="19" t="inlineStr">
        <is>
          <t>Reactive Metals</t>
        </is>
      </c>
      <c r="O1033" s="19" t="n">
        <v>480</v>
      </c>
    </row>
    <row r="1034">
      <c r="M1034" s="18" t="n"/>
      <c r="N1034" s="19" t="inlineStr">
        <is>
          <t>Base Metals</t>
        </is>
      </c>
      <c r="O1034" s="20" t="n">
        <v>72000</v>
      </c>
    </row>
    <row r="1035">
      <c r="M1035" s="18" t="n"/>
      <c r="N1035" s="19" t="inlineStr">
        <is>
          <t>Livestock</t>
        </is>
      </c>
      <c r="O1035" s="19" t="n">
        <v>60</v>
      </c>
    </row>
    <row r="1036">
      <c r="M1036" s="18" t="n"/>
      <c r="N1036" s="19" t="inlineStr">
        <is>
          <t>Proteins</t>
        </is>
      </c>
      <c r="O1036" s="19" t="n">
        <v>480</v>
      </c>
    </row>
    <row r="1037">
      <c r="M1037" s="18" t="n"/>
      <c r="N1037" s="19" t="inlineStr">
        <is>
          <t>Complex Organisms</t>
        </is>
      </c>
      <c r="O1037" s="20" t="n">
        <v>72000</v>
      </c>
    </row>
    <row r="1038">
      <c r="M1038" s="18" t="n"/>
      <c r="N1038" s="19" t="inlineStr">
        <is>
          <t>Biofuels</t>
        </is>
      </c>
      <c r="O1038" s="19" t="n">
        <v>480</v>
      </c>
    </row>
    <row r="1039">
      <c r="M1039" s="18" t="n"/>
      <c r="N1039" s="19" t="inlineStr">
        <is>
          <t>Carbon Compounds</t>
        </is>
      </c>
      <c r="O1039" s="20" t="n">
        <v>72000</v>
      </c>
    </row>
    <row r="1040">
      <c r="M1040" s="18" t="n"/>
      <c r="N1040" s="19" t="inlineStr">
        <is>
          <t>Nanites</t>
        </is>
      </c>
      <c r="O1040" s="19" t="n">
        <v>60</v>
      </c>
    </row>
    <row r="1041">
      <c r="M1041" s="18" t="n"/>
      <c r="N1041" s="19" t="inlineStr">
        <is>
          <t>Bacteria</t>
        </is>
      </c>
      <c r="O1041" s="19" t="n">
        <v>480</v>
      </c>
    </row>
    <row r="1042">
      <c r="M1042" s="18" t="n"/>
      <c r="N1042" s="19" t="inlineStr">
        <is>
          <t>Microorganisms</t>
        </is>
      </c>
      <c r="O1042" s="20" t="n">
        <v>72000</v>
      </c>
    </row>
    <row r="1043">
      <c r="M1043" s="18" t="n"/>
      <c r="N1043" s="19" t="inlineStr">
        <is>
          <t>Reactive Metals</t>
        </is>
      </c>
      <c r="O1043" s="19" t="n">
        <v>480</v>
      </c>
    </row>
    <row r="1044">
      <c r="M1044" s="18" t="n"/>
      <c r="N1044" s="19" t="inlineStr">
        <is>
          <t>Base Metals</t>
        </is>
      </c>
      <c r="O1044" s="20" t="n">
        <v>72000</v>
      </c>
    </row>
    <row r="1045">
      <c r="M1045" s="18" t="n"/>
      <c r="N1045" s="19" t="inlineStr">
        <is>
          <t>Cryoprotectant Solution</t>
        </is>
      </c>
      <c r="O1045" s="19" t="n">
        <v>18</v>
      </c>
    </row>
    <row r="1046">
      <c r="M1046" s="18" t="n"/>
      <c r="N1046" s="19" t="inlineStr">
        <is>
          <t>Test Cultures</t>
        </is>
      </c>
      <c r="O1046" s="19" t="n">
        <v>60</v>
      </c>
    </row>
    <row r="1047">
      <c r="M1047" s="18" t="n"/>
      <c r="N1047" s="19" t="inlineStr">
        <is>
          <t>Bacteria</t>
        </is>
      </c>
      <c r="O1047" s="19" t="n">
        <v>480</v>
      </c>
    </row>
    <row r="1048">
      <c r="M1048" s="18" t="n"/>
      <c r="N1048" s="19" t="inlineStr">
        <is>
          <t>Microorganisms</t>
        </is>
      </c>
      <c r="O1048" s="20" t="n">
        <v>72000</v>
      </c>
    </row>
    <row r="1049">
      <c r="M1049" s="18" t="n"/>
      <c r="N1049" s="19" t="inlineStr">
        <is>
          <t>Water</t>
        </is>
      </c>
      <c r="O1049" s="19" t="n">
        <v>480</v>
      </c>
    </row>
    <row r="1050">
      <c r="M1050" s="18" t="n"/>
      <c r="N1050" s="19" t="inlineStr">
        <is>
          <t>Aqueous Liquids</t>
        </is>
      </c>
      <c r="O1050" s="20" t="n">
        <v>72000</v>
      </c>
    </row>
    <row r="1051">
      <c r="M1051" s="18" t="n"/>
      <c r="N1051" s="19" t="inlineStr">
        <is>
          <t>Synthetic Oil</t>
        </is>
      </c>
      <c r="O1051" s="19" t="n">
        <v>60</v>
      </c>
    </row>
    <row r="1052">
      <c r="M1052" s="18" t="n"/>
      <c r="N1052" s="19" t="inlineStr">
        <is>
          <t>Oxygen</t>
        </is>
      </c>
      <c r="O1052" s="19" t="n">
        <v>480</v>
      </c>
    </row>
    <row r="1053">
      <c r="M1053" s="18" t="n"/>
      <c r="N1053" s="19" t="inlineStr">
        <is>
          <t>Noble Gas</t>
        </is>
      </c>
      <c r="O1053" s="20" t="n">
        <v>72000</v>
      </c>
    </row>
    <row r="1054">
      <c r="M1054" s="18" t="n"/>
      <c r="N1054" s="19" t="inlineStr">
        <is>
          <t>Electrolytes</t>
        </is>
      </c>
      <c r="O1054" s="19" t="n">
        <v>480</v>
      </c>
    </row>
    <row r="1055">
      <c r="M1055" s="18" t="n"/>
      <c r="N1055" s="19" t="inlineStr">
        <is>
          <t>Ionic Solutions</t>
        </is>
      </c>
      <c r="O1055" s="20" t="n">
        <v>72000</v>
      </c>
    </row>
    <row r="1056">
      <c r="M1056" s="18" t="n"/>
      <c r="N1056" s="19" t="inlineStr">
        <is>
          <t>Fertilizer</t>
        </is>
      </c>
      <c r="O1056" s="19" t="n">
        <v>60</v>
      </c>
    </row>
    <row r="1057">
      <c r="M1057" s="18" t="n"/>
      <c r="N1057" s="19" t="inlineStr">
        <is>
          <t>Bacteria</t>
        </is>
      </c>
      <c r="O1057" s="19" t="n">
        <v>480</v>
      </c>
    </row>
    <row r="1058">
      <c r="M1058" s="18" t="n"/>
      <c r="N1058" s="19" t="inlineStr">
        <is>
          <t>Microorganisms</t>
        </is>
      </c>
      <c r="O1058" s="20" t="n">
        <v>72000</v>
      </c>
    </row>
    <row r="1059">
      <c r="M1059" s="18" t="n"/>
      <c r="N1059" s="19" t="inlineStr">
        <is>
          <t>Proteins</t>
        </is>
      </c>
      <c r="O1059" s="19" t="n">
        <v>480</v>
      </c>
    </row>
    <row r="1060">
      <c r="M1060" s="18" t="n"/>
      <c r="N1060" s="19" t="inlineStr">
        <is>
          <t>Complex Organisms</t>
        </is>
      </c>
      <c r="O1060" s="20" t="n">
        <v>72000</v>
      </c>
    </row>
    <row r="1061">
      <c r="M1061" s="13" t="n"/>
      <c r="N1061" s="10" t="inlineStr">
        <is>
          <t>Structure Medical Center</t>
        </is>
      </c>
      <c r="O1061" s="10" t="n">
        <v>1</v>
      </c>
    </row>
    <row r="1062">
      <c r="M1062" s="13" t="n"/>
      <c r="N1062" s="10" t="inlineStr">
        <is>
          <t>Tritanium</t>
        </is>
      </c>
      <c r="O1062" s="17" t="n">
        <v>450000</v>
      </c>
    </row>
    <row r="1063">
      <c r="M1063" s="13" t="n"/>
      <c r="N1063" s="10" t="inlineStr">
        <is>
          <t>Pyerite</t>
        </is>
      </c>
      <c r="O1063" s="17" t="n">
        <v>90000</v>
      </c>
    </row>
    <row r="1064">
      <c r="M1064" s="13" t="n"/>
      <c r="N1064" s="10" t="inlineStr">
        <is>
          <t>Mexallon</t>
        </is>
      </c>
      <c r="O1064" s="17" t="n">
        <v>31500</v>
      </c>
    </row>
    <row r="1065">
      <c r="M1065" s="13" t="n"/>
      <c r="N1065" s="10" t="inlineStr">
        <is>
          <t>Isogen</t>
        </is>
      </c>
      <c r="O1065" s="17" t="n">
        <v>3600</v>
      </c>
    </row>
    <row r="1066">
      <c r="M1066" s="13" t="n"/>
      <c r="N1066" s="10" t="inlineStr">
        <is>
          <t>Nocxium</t>
        </is>
      </c>
      <c r="O1066" s="10" t="n">
        <v>675</v>
      </c>
    </row>
    <row r="1067">
      <c r="M1067" s="13" t="n"/>
      <c r="N1067" s="10" t="inlineStr">
        <is>
          <t>Zydrine</t>
        </is>
      </c>
      <c r="O1067" s="10" t="n">
        <v>315</v>
      </c>
    </row>
    <row r="1068">
      <c r="M1068" s="13" t="n"/>
      <c r="N1068" s="10" t="inlineStr">
        <is>
          <t>Megacyte</t>
        </is>
      </c>
      <c r="O1068" s="10" t="n">
        <v>135</v>
      </c>
    </row>
    <row r="1069">
      <c r="M1069" s="13" t="n"/>
      <c r="N1069" s="10" t="inlineStr">
        <is>
          <t>Broadcast Node</t>
        </is>
      </c>
      <c r="O1069" s="10" t="n">
        <v>3</v>
      </c>
    </row>
    <row r="1070">
      <c r="M1070" s="18" t="n"/>
      <c r="N1070" s="19" t="inlineStr">
        <is>
          <t>Data Chips</t>
        </is>
      </c>
      <c r="O1070" s="19" t="n">
        <v>18</v>
      </c>
    </row>
    <row r="1071">
      <c r="M1071" s="18" t="n"/>
      <c r="N1071" s="19" t="inlineStr">
        <is>
          <t>Supertensile Plastics</t>
        </is>
      </c>
      <c r="O1071" s="19" t="n">
        <v>60</v>
      </c>
    </row>
    <row r="1072">
      <c r="M1072" s="18" t="n"/>
      <c r="N1072" s="19" t="inlineStr">
        <is>
          <t>Oxygen</t>
        </is>
      </c>
      <c r="O1072" s="19" t="n">
        <v>480</v>
      </c>
    </row>
    <row r="1073">
      <c r="M1073" s="18" t="n"/>
      <c r="N1073" s="19" t="inlineStr">
        <is>
          <t>Noble Gas</t>
        </is>
      </c>
      <c r="O1073" s="20" t="n">
        <v>72000</v>
      </c>
    </row>
    <row r="1074">
      <c r="M1074" s="18" t="n"/>
      <c r="N1074" s="19" t="inlineStr">
        <is>
          <t>Biomass</t>
        </is>
      </c>
      <c r="O1074" s="19" t="n">
        <v>480</v>
      </c>
    </row>
    <row r="1075">
      <c r="M1075" s="18" t="n"/>
      <c r="N1075" s="19" t="inlineStr">
        <is>
          <t>Planktic Colonies</t>
        </is>
      </c>
      <c r="O1075" s="20" t="n">
        <v>72000</v>
      </c>
    </row>
    <row r="1076">
      <c r="M1076" s="18" t="n"/>
      <c r="N1076" s="19" t="inlineStr">
        <is>
          <t>Microfiber Shielding</t>
        </is>
      </c>
      <c r="O1076" s="19" t="n">
        <v>60</v>
      </c>
    </row>
    <row r="1077">
      <c r="M1077" s="18" t="n"/>
      <c r="N1077" s="19" t="inlineStr">
        <is>
          <t>Silicon</t>
        </is>
      </c>
      <c r="O1077" s="19" t="n">
        <v>480</v>
      </c>
    </row>
    <row r="1078">
      <c r="M1078" s="18" t="n"/>
      <c r="N1078" s="19" t="inlineStr">
        <is>
          <t>Felsic Magma</t>
        </is>
      </c>
      <c r="O1078" s="20" t="n">
        <v>72000</v>
      </c>
    </row>
    <row r="1079">
      <c r="M1079" s="18" t="n"/>
      <c r="N1079" s="19" t="inlineStr">
        <is>
          <t>Industrial Fibers</t>
        </is>
      </c>
      <c r="O1079" s="19" t="n">
        <v>480</v>
      </c>
    </row>
    <row r="1080">
      <c r="M1080" s="18" t="n"/>
      <c r="N1080" s="19" t="inlineStr">
        <is>
          <t>Autotrophs</t>
        </is>
      </c>
      <c r="O1080" s="20" t="n">
        <v>72000</v>
      </c>
    </row>
    <row r="1081">
      <c r="M1081" s="18" t="n"/>
      <c r="N1081" s="19" t="inlineStr">
        <is>
          <t>Neocoms</t>
        </is>
      </c>
      <c r="O1081" s="19" t="n">
        <v>18</v>
      </c>
    </row>
    <row r="1082">
      <c r="M1082" s="18" t="n"/>
      <c r="N1082" s="19" t="inlineStr">
        <is>
          <t>Biocells</t>
        </is>
      </c>
      <c r="O1082" s="19" t="n">
        <v>60</v>
      </c>
    </row>
    <row r="1083">
      <c r="M1083" s="18" t="n"/>
      <c r="N1083" s="19" t="inlineStr">
        <is>
          <t>Biofuels</t>
        </is>
      </c>
      <c r="O1083" s="19" t="n">
        <v>480</v>
      </c>
    </row>
    <row r="1084">
      <c r="M1084" s="18" t="n"/>
      <c r="N1084" s="19" t="inlineStr">
        <is>
          <t>Carbon Compounds</t>
        </is>
      </c>
      <c r="O1084" s="20" t="n">
        <v>72000</v>
      </c>
    </row>
    <row r="1085">
      <c r="M1085" s="18" t="n"/>
      <c r="N1085" s="19" t="inlineStr">
        <is>
          <t>Precious Metals</t>
        </is>
      </c>
      <c r="O1085" s="19" t="n">
        <v>480</v>
      </c>
    </row>
    <row r="1086">
      <c r="M1086" s="18" t="n"/>
      <c r="N1086" s="19" t="inlineStr">
        <is>
          <t>Noble Metals</t>
        </is>
      </c>
      <c r="O1086" s="20" t="n">
        <v>72000</v>
      </c>
    </row>
    <row r="1087">
      <c r="M1087" s="18" t="n"/>
      <c r="N1087" s="19" t="inlineStr">
        <is>
          <t>Silicate Glass</t>
        </is>
      </c>
      <c r="O1087" s="19" t="n">
        <v>60</v>
      </c>
    </row>
    <row r="1088">
      <c r="M1088" s="18" t="n"/>
      <c r="N1088" s="19" t="inlineStr">
        <is>
          <t>Oxidizing Compound</t>
        </is>
      </c>
      <c r="O1088" s="19" t="n">
        <v>480</v>
      </c>
    </row>
    <row r="1089">
      <c r="M1089" s="18" t="n"/>
      <c r="N1089" s="19" t="inlineStr">
        <is>
          <t>Reactive Gas</t>
        </is>
      </c>
      <c r="O1089" s="20" t="n">
        <v>72000</v>
      </c>
    </row>
    <row r="1090">
      <c r="M1090" s="18" t="n"/>
      <c r="N1090" s="19" t="inlineStr">
        <is>
          <t>Silicon</t>
        </is>
      </c>
      <c r="O1090" s="19" t="n">
        <v>480</v>
      </c>
    </row>
    <row r="1091">
      <c r="M1091" s="18" t="n"/>
      <c r="N1091" s="19" t="inlineStr">
        <is>
          <t>Felsic Magma</t>
        </is>
      </c>
      <c r="O1091" s="20" t="n">
        <v>72000</v>
      </c>
    </row>
    <row r="1092">
      <c r="M1092" s="18" t="n"/>
      <c r="N1092" s="19" t="inlineStr">
        <is>
          <t>High-Tech Transmitters</t>
        </is>
      </c>
      <c r="O1092" s="19" t="n">
        <v>18</v>
      </c>
    </row>
    <row r="1093">
      <c r="M1093" s="18" t="n"/>
      <c r="N1093" s="19" t="inlineStr">
        <is>
          <t>Transmitter</t>
        </is>
      </c>
      <c r="O1093" s="19" t="n">
        <v>60</v>
      </c>
    </row>
    <row r="1094">
      <c r="M1094" s="18" t="n"/>
      <c r="N1094" s="19" t="inlineStr">
        <is>
          <t>Chiral Structures</t>
        </is>
      </c>
      <c r="O1094" s="19" t="n">
        <v>480</v>
      </c>
    </row>
    <row r="1095">
      <c r="M1095" s="18" t="n"/>
      <c r="N1095" s="19" t="inlineStr">
        <is>
          <t>Non-CS Crystals</t>
        </is>
      </c>
      <c r="O1095" s="20" t="n">
        <v>72000</v>
      </c>
    </row>
    <row r="1096">
      <c r="M1096" s="18" t="n"/>
      <c r="N1096" s="19" t="inlineStr">
        <is>
          <t>Plasmoids</t>
        </is>
      </c>
      <c r="O1096" s="19" t="n">
        <v>480</v>
      </c>
    </row>
    <row r="1097">
      <c r="M1097" s="18" t="n"/>
      <c r="N1097" s="19" t="inlineStr">
        <is>
          <t>Suspended Plasma</t>
        </is>
      </c>
      <c r="O1097" s="20" t="n">
        <v>72000</v>
      </c>
    </row>
    <row r="1098">
      <c r="M1098" s="18" t="n"/>
      <c r="N1098" s="19" t="inlineStr">
        <is>
          <t>Polyaramids</t>
        </is>
      </c>
      <c r="O1098" s="19" t="n">
        <v>60</v>
      </c>
    </row>
    <row r="1099">
      <c r="M1099" s="18" t="n"/>
      <c r="N1099" s="19" t="inlineStr">
        <is>
          <t>Oxidizing Compound</t>
        </is>
      </c>
      <c r="O1099" s="19" t="n">
        <v>480</v>
      </c>
    </row>
    <row r="1100">
      <c r="M1100" s="18" t="n"/>
      <c r="N1100" s="19" t="inlineStr">
        <is>
          <t>Reactive Gas</t>
        </is>
      </c>
      <c r="O1100" s="20" t="n">
        <v>72000</v>
      </c>
    </row>
    <row r="1101">
      <c r="M1101" s="18" t="n"/>
      <c r="N1101" s="19" t="inlineStr">
        <is>
          <t>Industrial Fibers</t>
        </is>
      </c>
      <c r="O1101" s="19" t="n">
        <v>480</v>
      </c>
    </row>
    <row r="1102">
      <c r="M1102" s="18" t="n"/>
      <c r="N1102" s="19" t="inlineStr">
        <is>
          <t>Autotrophs</t>
        </is>
      </c>
      <c r="O1102" s="20" t="n">
        <v>72000</v>
      </c>
    </row>
    <row r="1103">
      <c r="M1103" s="13" t="n"/>
      <c r="N1103" s="10" t="inlineStr">
        <is>
          <t>Integrity Response Drones</t>
        </is>
      </c>
      <c r="O1103" s="10" t="n">
        <v>5</v>
      </c>
    </row>
    <row r="1104">
      <c r="M1104" s="18" t="n"/>
      <c r="N1104" s="19" t="inlineStr">
        <is>
          <t>Gel-Matrix Biopaste</t>
        </is>
      </c>
      <c r="O1104" s="19" t="n">
        <v>30</v>
      </c>
    </row>
    <row r="1105">
      <c r="M1105" s="18" t="n"/>
      <c r="N1105" s="19" t="inlineStr">
        <is>
          <t>Biocells</t>
        </is>
      </c>
      <c r="O1105" s="19" t="n">
        <v>100</v>
      </c>
    </row>
    <row r="1106">
      <c r="M1106" s="18" t="n"/>
      <c r="N1106" s="19" t="inlineStr">
        <is>
          <t>Biofuels</t>
        </is>
      </c>
      <c r="O1106" s="19" t="n">
        <v>800</v>
      </c>
    </row>
    <row r="1107">
      <c r="M1107" s="18" t="n"/>
      <c r="N1107" s="19" t="inlineStr">
        <is>
          <t>Carbon Compounds</t>
        </is>
      </c>
      <c r="O1107" s="20" t="n">
        <v>120000</v>
      </c>
    </row>
    <row r="1108">
      <c r="M1108" s="18" t="n"/>
      <c r="N1108" s="19" t="inlineStr">
        <is>
          <t>Precious Metals</t>
        </is>
      </c>
      <c r="O1108" s="19" t="n">
        <v>800</v>
      </c>
    </row>
    <row r="1109">
      <c r="M1109" s="18" t="n"/>
      <c r="N1109" s="19" t="inlineStr">
        <is>
          <t>Noble Metals</t>
        </is>
      </c>
      <c r="O1109" s="20" t="n">
        <v>120000</v>
      </c>
    </row>
    <row r="1110">
      <c r="M1110" s="18" t="n"/>
      <c r="N1110" s="19" t="inlineStr">
        <is>
          <t>Oxides</t>
        </is>
      </c>
      <c r="O1110" s="19" t="n">
        <v>100</v>
      </c>
    </row>
    <row r="1111">
      <c r="M1111" s="18" t="n"/>
      <c r="N1111" s="19" t="inlineStr">
        <is>
          <t>Oxidizing Compound</t>
        </is>
      </c>
      <c r="O1111" s="19" t="n">
        <v>800</v>
      </c>
    </row>
    <row r="1112">
      <c r="M1112" s="18" t="n"/>
      <c r="N1112" s="19" t="inlineStr">
        <is>
          <t>Reactive Gas</t>
        </is>
      </c>
      <c r="O1112" s="20" t="n">
        <v>120000</v>
      </c>
    </row>
    <row r="1113">
      <c r="M1113" s="18" t="n"/>
      <c r="N1113" s="19" t="inlineStr">
        <is>
          <t>Oxygen</t>
        </is>
      </c>
      <c r="O1113" s="19" t="n">
        <v>800</v>
      </c>
    </row>
    <row r="1114">
      <c r="M1114" s="18" t="n"/>
      <c r="N1114" s="19" t="inlineStr">
        <is>
          <t>Noble Gas</t>
        </is>
      </c>
      <c r="O1114" s="20" t="n">
        <v>120000</v>
      </c>
    </row>
    <row r="1115">
      <c r="M1115" s="18" t="n"/>
      <c r="N1115" s="19" t="inlineStr">
        <is>
          <t>Superconductors</t>
        </is>
      </c>
      <c r="O1115" s="19" t="n">
        <v>100</v>
      </c>
    </row>
    <row r="1116">
      <c r="M1116" s="18" t="n"/>
      <c r="N1116" s="19" t="inlineStr">
        <is>
          <t>Plasmoids</t>
        </is>
      </c>
      <c r="O1116" s="19" t="n">
        <v>800</v>
      </c>
    </row>
    <row r="1117">
      <c r="M1117" s="18" t="n"/>
      <c r="N1117" s="19" t="inlineStr">
        <is>
          <t>Suspended Plasma</t>
        </is>
      </c>
      <c r="O1117" s="20" t="n">
        <v>120000</v>
      </c>
    </row>
    <row r="1118">
      <c r="M1118" s="18" t="n"/>
      <c r="N1118" s="19" t="inlineStr">
        <is>
          <t>Water</t>
        </is>
      </c>
      <c r="O1118" s="19" t="n">
        <v>800</v>
      </c>
    </row>
    <row r="1119">
      <c r="M1119" s="18" t="n"/>
      <c r="N1119" s="19" t="inlineStr">
        <is>
          <t>Aqueous Liquids</t>
        </is>
      </c>
      <c r="O1119" s="20" t="n">
        <v>120000</v>
      </c>
    </row>
    <row r="1120">
      <c r="M1120" s="18" t="n"/>
      <c r="N1120" s="19" t="inlineStr">
        <is>
          <t>Hazmat Detection Systems</t>
        </is>
      </c>
      <c r="O1120" s="19" t="n">
        <v>30</v>
      </c>
    </row>
    <row r="1121">
      <c r="M1121" s="18" t="n"/>
      <c r="N1121" s="19" t="inlineStr">
        <is>
          <t>Transmitter</t>
        </is>
      </c>
      <c r="O1121" s="19" t="n">
        <v>100</v>
      </c>
    </row>
    <row r="1122">
      <c r="M1122" s="18" t="n"/>
      <c r="N1122" s="19" t="inlineStr">
        <is>
          <t>Chiral Structures</t>
        </is>
      </c>
      <c r="O1122" s="19" t="n">
        <v>800</v>
      </c>
    </row>
    <row r="1123">
      <c r="M1123" s="18" t="n"/>
      <c r="N1123" s="19" t="inlineStr">
        <is>
          <t>Non-CS Crystals</t>
        </is>
      </c>
      <c r="O1123" s="20" t="n">
        <v>120000</v>
      </c>
    </row>
    <row r="1124">
      <c r="M1124" s="18" t="n"/>
      <c r="N1124" s="19" t="inlineStr">
        <is>
          <t>Plasmoids</t>
        </is>
      </c>
      <c r="O1124" s="19" t="n">
        <v>800</v>
      </c>
    </row>
    <row r="1125">
      <c r="M1125" s="18" t="n"/>
      <c r="N1125" s="19" t="inlineStr">
        <is>
          <t>Suspended Plasma</t>
        </is>
      </c>
      <c r="O1125" s="20" t="n">
        <v>120000</v>
      </c>
    </row>
    <row r="1126">
      <c r="M1126" s="18" t="n"/>
      <c r="N1126" s="19" t="inlineStr">
        <is>
          <t>Polytextiles</t>
        </is>
      </c>
      <c r="O1126" s="19" t="n">
        <v>100</v>
      </c>
    </row>
    <row r="1127">
      <c r="M1127" s="18" t="n"/>
      <c r="N1127" s="19" t="inlineStr">
        <is>
          <t>Biofuels</t>
        </is>
      </c>
      <c r="O1127" s="19" t="n">
        <v>800</v>
      </c>
    </row>
    <row r="1128">
      <c r="M1128" s="18" t="n"/>
      <c r="N1128" s="19" t="inlineStr">
        <is>
          <t>Carbon Compounds</t>
        </is>
      </c>
      <c r="O1128" s="20" t="n">
        <v>120000</v>
      </c>
    </row>
    <row r="1129">
      <c r="M1129" s="18" t="n"/>
      <c r="N1129" s="19" t="inlineStr">
        <is>
          <t>Industrial Fibers</t>
        </is>
      </c>
      <c r="O1129" s="19" t="n">
        <v>800</v>
      </c>
    </row>
    <row r="1130">
      <c r="M1130" s="18" t="n"/>
      <c r="N1130" s="19" t="inlineStr">
        <is>
          <t>Autotrophs</t>
        </is>
      </c>
      <c r="O1130" s="20" t="n">
        <v>120000</v>
      </c>
    </row>
    <row r="1131">
      <c r="M1131" s="18" t="n"/>
      <c r="N1131" s="19" t="inlineStr">
        <is>
          <t>Viral Agent</t>
        </is>
      </c>
      <c r="O1131" s="19" t="n">
        <v>100</v>
      </c>
    </row>
    <row r="1132">
      <c r="M1132" s="18" t="n"/>
      <c r="N1132" s="19" t="inlineStr">
        <is>
          <t>Bacteria</t>
        </is>
      </c>
      <c r="O1132" s="19" t="n">
        <v>800</v>
      </c>
    </row>
    <row r="1133">
      <c r="M1133" s="18" t="n"/>
      <c r="N1133" s="19" t="inlineStr">
        <is>
          <t>Microorganisms</t>
        </is>
      </c>
      <c r="O1133" s="20" t="n">
        <v>120000</v>
      </c>
    </row>
    <row r="1134">
      <c r="M1134" s="18" t="n"/>
      <c r="N1134" s="19" t="inlineStr">
        <is>
          <t>Biomass</t>
        </is>
      </c>
      <c r="O1134" s="19" t="n">
        <v>800</v>
      </c>
    </row>
    <row r="1135">
      <c r="M1135" s="18" t="n"/>
      <c r="N1135" s="19" t="inlineStr">
        <is>
          <t>Planktic Colonies</t>
        </is>
      </c>
      <c r="O1135" s="20" t="n">
        <v>120000</v>
      </c>
    </row>
    <row r="1136">
      <c r="M1136" s="18" t="n"/>
      <c r="N1136" s="19" t="inlineStr">
        <is>
          <t>Planetary Vehicles</t>
        </is>
      </c>
      <c r="O1136" s="19" t="n">
        <v>30</v>
      </c>
    </row>
    <row r="1137">
      <c r="M1137" s="18" t="n"/>
      <c r="N1137" s="19" t="inlineStr">
        <is>
          <t>Supertensile Plastics</t>
        </is>
      </c>
      <c r="O1137" s="19" t="n">
        <v>100</v>
      </c>
    </row>
    <row r="1138">
      <c r="M1138" s="18" t="n"/>
      <c r="N1138" s="19" t="inlineStr">
        <is>
          <t>Oxygen</t>
        </is>
      </c>
      <c r="O1138" s="19" t="n">
        <v>800</v>
      </c>
    </row>
    <row r="1139">
      <c r="M1139" s="18" t="n"/>
      <c r="N1139" s="19" t="inlineStr">
        <is>
          <t>Noble Gas</t>
        </is>
      </c>
      <c r="O1139" s="20" t="n">
        <v>120000</v>
      </c>
    </row>
    <row r="1140">
      <c r="M1140" s="18" t="n"/>
      <c r="N1140" s="19" t="inlineStr">
        <is>
          <t>Biomass</t>
        </is>
      </c>
      <c r="O1140" s="19" t="n">
        <v>800</v>
      </c>
    </row>
    <row r="1141">
      <c r="M1141" s="18" t="n"/>
      <c r="N1141" s="19" t="inlineStr">
        <is>
          <t>Planktic Colonies</t>
        </is>
      </c>
      <c r="O1141" s="20" t="n">
        <v>120000</v>
      </c>
    </row>
    <row r="1142">
      <c r="M1142" s="18" t="n"/>
      <c r="N1142" s="19" t="inlineStr">
        <is>
          <t>Mechanical Parts</t>
        </is>
      </c>
      <c r="O1142" s="19" t="n">
        <v>100</v>
      </c>
    </row>
    <row r="1143">
      <c r="M1143" s="18" t="n"/>
      <c r="N1143" s="19" t="inlineStr">
        <is>
          <t>Reactive Metals</t>
        </is>
      </c>
      <c r="O1143" s="19" t="n">
        <v>800</v>
      </c>
    </row>
    <row r="1144">
      <c r="M1144" s="18" t="n"/>
      <c r="N1144" s="19" t="inlineStr">
        <is>
          <t>Base Metals</t>
        </is>
      </c>
      <c r="O1144" s="20" t="n">
        <v>120000</v>
      </c>
    </row>
    <row r="1145">
      <c r="M1145" s="18" t="n"/>
      <c r="N1145" s="19" t="inlineStr">
        <is>
          <t>Precious Metals</t>
        </is>
      </c>
      <c r="O1145" s="19" t="n">
        <v>800</v>
      </c>
    </row>
    <row r="1146">
      <c r="M1146" s="18" t="n"/>
      <c r="N1146" s="19" t="inlineStr">
        <is>
          <t>Noble Metals</t>
        </is>
      </c>
      <c r="O1146" s="20" t="n">
        <v>120000</v>
      </c>
    </row>
    <row r="1147">
      <c r="M1147" s="18" t="n"/>
      <c r="N1147" s="19" t="inlineStr">
        <is>
          <t>Miniature Electronics</t>
        </is>
      </c>
      <c r="O1147" s="19" t="n">
        <v>100</v>
      </c>
    </row>
    <row r="1148">
      <c r="M1148" s="18" t="n"/>
      <c r="N1148" s="19" t="inlineStr">
        <is>
          <t>Chiral Structures</t>
        </is>
      </c>
      <c r="O1148" s="19" t="n">
        <v>800</v>
      </c>
    </row>
    <row r="1149">
      <c r="M1149" s="18" t="n"/>
      <c r="N1149" s="19" t="inlineStr">
        <is>
          <t>Non-CS Crystals</t>
        </is>
      </c>
      <c r="O1149" s="20" t="n">
        <v>120000</v>
      </c>
    </row>
    <row r="1150">
      <c r="M1150" s="18" t="n"/>
      <c r="N1150" s="19" t="inlineStr">
        <is>
          <t>Silicon</t>
        </is>
      </c>
      <c r="O1150" s="19" t="n">
        <v>800</v>
      </c>
    </row>
    <row r="1151">
      <c r="M1151" s="18" t="n"/>
      <c r="N1151" s="19" t="inlineStr">
        <is>
          <t>Felsic Magma</t>
        </is>
      </c>
      <c r="O1151" s="20" t="n">
        <v>120000</v>
      </c>
    </row>
    <row r="1152">
      <c r="M1152" s="13" t="n"/>
      <c r="N1152" s="10" t="inlineStr">
        <is>
          <t>Recursive Computing Module</t>
        </is>
      </c>
      <c r="O1152" s="10" t="n">
        <v>3</v>
      </c>
    </row>
    <row r="1153">
      <c r="M1153" s="18" t="n"/>
      <c r="N1153" s="19" t="inlineStr">
        <is>
          <t>Synthetic Synapses</t>
        </is>
      </c>
      <c r="O1153" s="19" t="n">
        <v>18</v>
      </c>
    </row>
    <row r="1154">
      <c r="M1154" s="18" t="n"/>
      <c r="N1154" s="19" t="inlineStr">
        <is>
          <t>Supertensile Plastics</t>
        </is>
      </c>
      <c r="O1154" s="19" t="n">
        <v>60</v>
      </c>
    </row>
    <row r="1155">
      <c r="M1155" s="18" t="n"/>
      <c r="N1155" s="19" t="inlineStr">
        <is>
          <t>Oxygen</t>
        </is>
      </c>
      <c r="O1155" s="19" t="n">
        <v>480</v>
      </c>
    </row>
    <row r="1156">
      <c r="M1156" s="18" t="n"/>
      <c r="N1156" s="19" t="inlineStr">
        <is>
          <t>Noble Gas</t>
        </is>
      </c>
      <c r="O1156" s="20" t="n">
        <v>72000</v>
      </c>
    </row>
    <row r="1157">
      <c r="M1157" s="18" t="n"/>
      <c r="N1157" s="19" t="inlineStr">
        <is>
          <t>Biomass</t>
        </is>
      </c>
      <c r="O1157" s="19" t="n">
        <v>480</v>
      </c>
    </row>
    <row r="1158">
      <c r="M1158" s="18" t="n"/>
      <c r="N1158" s="19" t="inlineStr">
        <is>
          <t>Planktic Colonies</t>
        </is>
      </c>
      <c r="O1158" s="20" t="n">
        <v>72000</v>
      </c>
    </row>
    <row r="1159">
      <c r="M1159" s="18" t="n"/>
      <c r="N1159" s="19" t="inlineStr">
        <is>
          <t>Test Cultures</t>
        </is>
      </c>
      <c r="O1159" s="19" t="n">
        <v>60</v>
      </c>
    </row>
    <row r="1160">
      <c r="M1160" s="18" t="n"/>
      <c r="N1160" s="19" t="inlineStr">
        <is>
          <t>Bacteria</t>
        </is>
      </c>
      <c r="O1160" s="19" t="n">
        <v>480</v>
      </c>
    </row>
    <row r="1161">
      <c r="M1161" s="18" t="n"/>
      <c r="N1161" s="19" t="inlineStr">
        <is>
          <t>Microorganisms</t>
        </is>
      </c>
      <c r="O1161" s="20" t="n">
        <v>72000</v>
      </c>
    </row>
    <row r="1162">
      <c r="M1162" s="18" t="n"/>
      <c r="N1162" s="19" t="inlineStr">
        <is>
          <t>Water</t>
        </is>
      </c>
      <c r="O1162" s="19" t="n">
        <v>480</v>
      </c>
    </row>
    <row r="1163">
      <c r="M1163" s="18" t="n"/>
      <c r="N1163" s="19" t="inlineStr">
        <is>
          <t>Aqueous Liquids</t>
        </is>
      </c>
      <c r="O1163" s="20" t="n">
        <v>72000</v>
      </c>
    </row>
    <row r="1164">
      <c r="M1164" s="18" t="n"/>
      <c r="N1164" s="19" t="inlineStr">
        <is>
          <t>Transcranial Microcontrollers</t>
        </is>
      </c>
      <c r="O1164" s="19" t="n">
        <v>18</v>
      </c>
    </row>
    <row r="1165">
      <c r="M1165" s="18" t="n"/>
      <c r="N1165" s="19" t="inlineStr">
        <is>
          <t>Biocells</t>
        </is>
      </c>
      <c r="O1165" s="19" t="n">
        <v>60</v>
      </c>
    </row>
    <row r="1166">
      <c r="M1166" s="18" t="n"/>
      <c r="N1166" s="19" t="inlineStr">
        <is>
          <t>Biofuels</t>
        </is>
      </c>
      <c r="O1166" s="19" t="n">
        <v>480</v>
      </c>
    </row>
    <row r="1167">
      <c r="M1167" s="18" t="n"/>
      <c r="N1167" s="19" t="inlineStr">
        <is>
          <t>Carbon Compounds</t>
        </is>
      </c>
      <c r="O1167" s="20" t="n">
        <v>72000</v>
      </c>
    </row>
    <row r="1168">
      <c r="M1168" s="18" t="n"/>
      <c r="N1168" s="19" t="inlineStr">
        <is>
          <t>Precious Metals</t>
        </is>
      </c>
      <c r="O1168" s="19" t="n">
        <v>480</v>
      </c>
    </row>
    <row r="1169">
      <c r="M1169" s="18" t="n"/>
      <c r="N1169" s="19" t="inlineStr">
        <is>
          <t>Noble Metals</t>
        </is>
      </c>
      <c r="O1169" s="20" t="n">
        <v>72000</v>
      </c>
    </row>
    <row r="1170">
      <c r="M1170" s="18" t="n"/>
      <c r="N1170" s="19" t="inlineStr">
        <is>
          <t>Nanites</t>
        </is>
      </c>
      <c r="O1170" s="19" t="n">
        <v>60</v>
      </c>
    </row>
    <row r="1171">
      <c r="M1171" s="18" t="n"/>
      <c r="N1171" s="19" t="inlineStr">
        <is>
          <t>Bacteria</t>
        </is>
      </c>
      <c r="O1171" s="19" t="n">
        <v>480</v>
      </c>
    </row>
    <row r="1172">
      <c r="M1172" s="18" t="n"/>
      <c r="N1172" s="19" t="inlineStr">
        <is>
          <t>Microorganisms</t>
        </is>
      </c>
      <c r="O1172" s="20" t="n">
        <v>72000</v>
      </c>
    </row>
    <row r="1173">
      <c r="M1173" s="18" t="n"/>
      <c r="N1173" s="19" t="inlineStr">
        <is>
          <t>Reactive Metals</t>
        </is>
      </c>
      <c r="O1173" s="19" t="n">
        <v>480</v>
      </c>
    </row>
    <row r="1174">
      <c r="M1174" s="18" t="n"/>
      <c r="N1174" s="19" t="inlineStr">
        <is>
          <t>Base Metals</t>
        </is>
      </c>
      <c r="O1174" s="20" t="n">
        <v>72000</v>
      </c>
    </row>
    <row r="1175">
      <c r="M1175" s="18" t="n"/>
      <c r="N1175" s="19" t="inlineStr">
        <is>
          <t>Guidance Systems</t>
        </is>
      </c>
      <c r="O1175" s="19" t="n">
        <v>18</v>
      </c>
    </row>
    <row r="1176">
      <c r="M1176" s="18" t="n"/>
      <c r="N1176" s="19" t="inlineStr">
        <is>
          <t>Water-Cooled CPU</t>
        </is>
      </c>
      <c r="O1176" s="19" t="n">
        <v>60</v>
      </c>
    </row>
    <row r="1177">
      <c r="M1177" s="18" t="n"/>
      <c r="N1177" s="19" t="inlineStr">
        <is>
          <t>Water</t>
        </is>
      </c>
      <c r="O1177" s="19" t="n">
        <v>480</v>
      </c>
    </row>
    <row r="1178">
      <c r="M1178" s="18" t="n"/>
      <c r="N1178" s="19" t="inlineStr">
        <is>
          <t>Aqueous Liquids</t>
        </is>
      </c>
      <c r="O1178" s="20" t="n">
        <v>72000</v>
      </c>
    </row>
    <row r="1179">
      <c r="M1179" s="18" t="n"/>
      <c r="N1179" s="19" t="inlineStr">
        <is>
          <t>Reactive Metals</t>
        </is>
      </c>
      <c r="O1179" s="19" t="n">
        <v>480</v>
      </c>
    </row>
    <row r="1180">
      <c r="M1180" s="18" t="n"/>
      <c r="N1180" s="19" t="inlineStr">
        <is>
          <t>Base Metals</t>
        </is>
      </c>
      <c r="O1180" s="20" t="n">
        <v>72000</v>
      </c>
    </row>
    <row r="1181">
      <c r="M1181" s="18" t="n"/>
      <c r="N1181" s="19" t="inlineStr">
        <is>
          <t>Transmitter</t>
        </is>
      </c>
      <c r="O1181" s="19" t="n">
        <v>60</v>
      </c>
    </row>
    <row r="1182">
      <c r="M1182" s="18" t="n"/>
      <c r="N1182" s="19" t="inlineStr">
        <is>
          <t>Chiral Structures</t>
        </is>
      </c>
      <c r="O1182" s="19" t="n">
        <v>480</v>
      </c>
    </row>
    <row r="1183">
      <c r="M1183" s="18" t="n"/>
      <c r="N1183" s="19" t="inlineStr">
        <is>
          <t>Non-CS Crystals</t>
        </is>
      </c>
      <c r="O1183" s="20" t="n">
        <v>72000</v>
      </c>
    </row>
    <row r="1184">
      <c r="M1184" s="18" t="n"/>
      <c r="N1184" s="19" t="inlineStr">
        <is>
          <t>Plasmoids</t>
        </is>
      </c>
      <c r="O1184" s="19" t="n">
        <v>480</v>
      </c>
    </row>
    <row r="1185">
      <c r="M1185" s="18" t="n"/>
      <c r="N1185" s="19" t="inlineStr">
        <is>
          <t>Suspended Plasma</t>
        </is>
      </c>
      <c r="O1185" s="20" t="n">
        <v>72000</v>
      </c>
    </row>
    <row r="1186">
      <c r="M1186" s="13" t="n"/>
      <c r="N1186" s="10" t="inlineStr">
        <is>
          <t>Self-Harmonizing Power Core</t>
        </is>
      </c>
      <c r="O1186" s="10" t="n">
        <v>3</v>
      </c>
    </row>
    <row r="1187">
      <c r="M1187" s="18" t="n"/>
      <c r="N1187" s="19" t="inlineStr">
        <is>
          <t>Nuclear Reactors</t>
        </is>
      </c>
      <c r="O1187" s="19" t="n">
        <v>18</v>
      </c>
    </row>
    <row r="1188">
      <c r="M1188" s="18" t="n"/>
      <c r="N1188" s="19" t="inlineStr">
        <is>
          <t>Enriched Uranium</t>
        </is>
      </c>
      <c r="O1188" s="19" t="n">
        <v>60</v>
      </c>
    </row>
    <row r="1189">
      <c r="M1189" s="18" t="n"/>
      <c r="N1189" s="19" t="inlineStr">
        <is>
          <t>Toxic Metals</t>
        </is>
      </c>
      <c r="O1189" s="19" t="n">
        <v>480</v>
      </c>
    </row>
    <row r="1190">
      <c r="M1190" s="18" t="n"/>
      <c r="N1190" s="19" t="inlineStr">
        <is>
          <t>Heavy Metals</t>
        </is>
      </c>
      <c r="O1190" s="20" t="n">
        <v>72000</v>
      </c>
    </row>
    <row r="1191">
      <c r="M1191" s="18" t="n"/>
      <c r="N1191" s="19" t="inlineStr">
        <is>
          <t>Precious Metals</t>
        </is>
      </c>
      <c r="O1191" s="19" t="n">
        <v>480</v>
      </c>
    </row>
    <row r="1192">
      <c r="M1192" s="18" t="n"/>
      <c r="N1192" s="19" t="inlineStr">
        <is>
          <t>Noble Metals</t>
        </is>
      </c>
      <c r="O1192" s="20" t="n">
        <v>72000</v>
      </c>
    </row>
    <row r="1193">
      <c r="M1193" s="18" t="n"/>
      <c r="N1193" s="19" t="inlineStr">
        <is>
          <t>Microfiber Shielding</t>
        </is>
      </c>
      <c r="O1193" s="19" t="n">
        <v>60</v>
      </c>
    </row>
    <row r="1194">
      <c r="M1194" s="18" t="n"/>
      <c r="N1194" s="19" t="inlineStr">
        <is>
          <t>Silicon</t>
        </is>
      </c>
      <c r="O1194" s="19" t="n">
        <v>480</v>
      </c>
    </row>
    <row r="1195">
      <c r="M1195" s="18" t="n"/>
      <c r="N1195" s="19" t="inlineStr">
        <is>
          <t>Felsic Magma</t>
        </is>
      </c>
      <c r="O1195" s="20" t="n">
        <v>72000</v>
      </c>
    </row>
    <row r="1196">
      <c r="M1196" s="18" t="n"/>
      <c r="N1196" s="19" t="inlineStr">
        <is>
          <t>Industrial Fibers</t>
        </is>
      </c>
      <c r="O1196" s="19" t="n">
        <v>480</v>
      </c>
    </row>
    <row r="1197">
      <c r="M1197" s="18" t="n"/>
      <c r="N1197" s="19" t="inlineStr">
        <is>
          <t>Autotrophs</t>
        </is>
      </c>
      <c r="O1197" s="20" t="n">
        <v>72000</v>
      </c>
    </row>
    <row r="1198">
      <c r="M1198" s="18" t="n"/>
      <c r="N1198" s="19" t="inlineStr">
        <is>
          <t>Camera Drones</t>
        </is>
      </c>
      <c r="O1198" s="19" t="n">
        <v>18</v>
      </c>
    </row>
    <row r="1199">
      <c r="M1199" s="18" t="n"/>
      <c r="N1199" s="19" t="inlineStr">
        <is>
          <t>Rocket Fuel</t>
        </is>
      </c>
      <c r="O1199" s="19" t="n">
        <v>60</v>
      </c>
    </row>
    <row r="1200">
      <c r="M1200" s="18" t="n"/>
      <c r="N1200" s="19" t="inlineStr">
        <is>
          <t>Electrolytes</t>
        </is>
      </c>
      <c r="O1200" s="19" t="n">
        <v>480</v>
      </c>
    </row>
    <row r="1201">
      <c r="M1201" s="18" t="n"/>
      <c r="N1201" s="19" t="inlineStr">
        <is>
          <t>Ionic Solutions</t>
        </is>
      </c>
      <c r="O1201" s="20" t="n">
        <v>72000</v>
      </c>
    </row>
    <row r="1202">
      <c r="M1202" s="18" t="n"/>
      <c r="N1202" s="19" t="inlineStr">
        <is>
          <t>Plasmoids</t>
        </is>
      </c>
      <c r="O1202" s="19" t="n">
        <v>480</v>
      </c>
    </row>
    <row r="1203">
      <c r="M1203" s="18" t="n"/>
      <c r="N1203" s="19" t="inlineStr">
        <is>
          <t>Suspended Plasma</t>
        </is>
      </c>
      <c r="O1203" s="20" t="n">
        <v>72000</v>
      </c>
    </row>
    <row r="1204">
      <c r="M1204" s="18" t="n"/>
      <c r="N1204" s="19" t="inlineStr">
        <is>
          <t>Silicate Glass</t>
        </is>
      </c>
      <c r="O1204" s="19" t="n">
        <v>60</v>
      </c>
    </row>
    <row r="1205">
      <c r="M1205" s="18" t="n"/>
      <c r="N1205" s="19" t="inlineStr">
        <is>
          <t>Oxidizing Compound</t>
        </is>
      </c>
      <c r="O1205" s="19" t="n">
        <v>480</v>
      </c>
    </row>
    <row r="1206">
      <c r="M1206" s="18" t="n"/>
      <c r="N1206" s="19" t="inlineStr">
        <is>
          <t>Reactive Gas</t>
        </is>
      </c>
      <c r="O1206" s="20" t="n">
        <v>72000</v>
      </c>
    </row>
    <row r="1207">
      <c r="M1207" s="18" t="n"/>
      <c r="N1207" s="19" t="inlineStr">
        <is>
          <t>Silicon</t>
        </is>
      </c>
      <c r="O1207" s="19" t="n">
        <v>480</v>
      </c>
    </row>
    <row r="1208">
      <c r="M1208" s="18" t="n"/>
      <c r="N1208" s="19" t="inlineStr">
        <is>
          <t>Felsic Magma</t>
        </is>
      </c>
      <c r="O1208" s="20" t="n">
        <v>72000</v>
      </c>
    </row>
    <row r="1209">
      <c r="M1209" s="18" t="n"/>
      <c r="N1209" s="19" t="inlineStr">
        <is>
          <t>Hermetic Membranes</t>
        </is>
      </c>
      <c r="O1209" s="19" t="n">
        <v>18</v>
      </c>
    </row>
    <row r="1210">
      <c r="M1210" s="18" t="n"/>
      <c r="N1210" s="19" t="inlineStr">
        <is>
          <t>Polyaramids</t>
        </is>
      </c>
      <c r="O1210" s="19" t="n">
        <v>60</v>
      </c>
    </row>
    <row r="1211">
      <c r="M1211" s="18" t="n"/>
      <c r="N1211" s="19" t="inlineStr">
        <is>
          <t>Oxidizing Compound</t>
        </is>
      </c>
      <c r="O1211" s="19" t="n">
        <v>480</v>
      </c>
    </row>
    <row r="1212">
      <c r="M1212" s="18" t="n"/>
      <c r="N1212" s="19" t="inlineStr">
        <is>
          <t>Reactive Gas</t>
        </is>
      </c>
      <c r="O1212" s="20" t="n">
        <v>72000</v>
      </c>
    </row>
    <row r="1213">
      <c r="M1213" s="18" t="n"/>
      <c r="N1213" s="19" t="inlineStr">
        <is>
          <t>Industrial Fibers</t>
        </is>
      </c>
      <c r="O1213" s="19" t="n">
        <v>480</v>
      </c>
    </row>
    <row r="1214">
      <c r="M1214" s="18" t="n"/>
      <c r="N1214" s="19" t="inlineStr">
        <is>
          <t>Autotrophs</t>
        </is>
      </c>
      <c r="O1214" s="20" t="n">
        <v>72000</v>
      </c>
    </row>
    <row r="1215">
      <c r="M1215" s="18" t="n"/>
      <c r="N1215" s="19" t="inlineStr">
        <is>
          <t>Genetically Enhanced Livestock</t>
        </is>
      </c>
      <c r="O1215" s="19" t="n">
        <v>60</v>
      </c>
    </row>
    <row r="1216">
      <c r="M1216" s="18" t="n"/>
      <c r="N1216" s="19" t="inlineStr">
        <is>
          <t>Proteins</t>
        </is>
      </c>
      <c r="O1216" s="19" t="n">
        <v>480</v>
      </c>
    </row>
    <row r="1217">
      <c r="M1217" s="18" t="n"/>
      <c r="N1217" s="19" t="inlineStr">
        <is>
          <t>Complex Organisms</t>
        </is>
      </c>
      <c r="O1217" s="20" t="n">
        <v>72000</v>
      </c>
    </row>
    <row r="1218">
      <c r="M1218" s="18" t="n"/>
      <c r="N1218" s="19" t="inlineStr">
        <is>
          <t>Biomass</t>
        </is>
      </c>
      <c r="O1218" s="19" t="n">
        <v>480</v>
      </c>
    </row>
    <row r="1219">
      <c r="M1219" s="18" t="n"/>
      <c r="N1219" s="19" t="inlineStr">
        <is>
          <t>Planktic Colonies</t>
        </is>
      </c>
      <c r="O1219" s="20" t="n">
        <v>72000</v>
      </c>
    </row>
    <row r="1220">
      <c r="M1220" s="13" t="n"/>
      <c r="N1220" s="10" t="inlineStr">
        <is>
          <t>Sterile Conduits</t>
        </is>
      </c>
      <c r="O1220" s="10" t="n">
        <v>3</v>
      </c>
    </row>
    <row r="1221">
      <c r="M1221" s="18" t="n"/>
      <c r="N1221" s="19" t="inlineStr">
        <is>
          <t>Water</t>
        </is>
      </c>
      <c r="O1221" s="19" t="n">
        <v>120</v>
      </c>
    </row>
    <row r="1222">
      <c r="M1222" s="18" t="n"/>
      <c r="N1222" s="19" t="inlineStr">
        <is>
          <t>Aqueous Liquids</t>
        </is>
      </c>
      <c r="O1222" s="20" t="n">
        <v>18000</v>
      </c>
    </row>
    <row r="1223">
      <c r="M1223" s="18" t="n"/>
      <c r="N1223" s="19" t="inlineStr">
        <is>
          <t>Vaccines</t>
        </is>
      </c>
      <c r="O1223" s="19" t="n">
        <v>18</v>
      </c>
    </row>
    <row r="1224">
      <c r="M1224" s="18" t="n"/>
      <c r="N1224" s="19" t="inlineStr">
        <is>
          <t>Livestock</t>
        </is>
      </c>
      <c r="O1224" s="19" t="n">
        <v>60</v>
      </c>
    </row>
    <row r="1225">
      <c r="M1225" s="18" t="n"/>
      <c r="N1225" s="19" t="inlineStr">
        <is>
          <t>Proteins</t>
        </is>
      </c>
      <c r="O1225" s="19" t="n">
        <v>480</v>
      </c>
    </row>
    <row r="1226">
      <c r="M1226" s="18" t="n"/>
      <c r="N1226" s="19" t="inlineStr">
        <is>
          <t>Complex Organisms</t>
        </is>
      </c>
      <c r="O1226" s="20" t="n">
        <v>72000</v>
      </c>
    </row>
    <row r="1227">
      <c r="M1227" s="18" t="n"/>
      <c r="N1227" s="19" t="inlineStr">
        <is>
          <t>Biofuels</t>
        </is>
      </c>
      <c r="O1227" s="19" t="n">
        <v>480</v>
      </c>
    </row>
    <row r="1228">
      <c r="M1228" s="18" t="n"/>
      <c r="N1228" s="19" t="inlineStr">
        <is>
          <t>Carbon Compounds</t>
        </is>
      </c>
      <c r="O1228" s="20" t="n">
        <v>72000</v>
      </c>
    </row>
    <row r="1229">
      <c r="M1229" s="18" t="n"/>
      <c r="N1229" s="19" t="inlineStr">
        <is>
          <t>Viral Agent</t>
        </is>
      </c>
      <c r="O1229" s="19" t="n">
        <v>60</v>
      </c>
    </row>
    <row r="1230">
      <c r="M1230" s="18" t="n"/>
      <c r="N1230" s="19" t="inlineStr">
        <is>
          <t>Bacteria</t>
        </is>
      </c>
      <c r="O1230" s="19" t="n">
        <v>480</v>
      </c>
    </row>
    <row r="1231">
      <c r="M1231" s="18" t="n"/>
      <c r="N1231" s="19" t="inlineStr">
        <is>
          <t>Microorganisms</t>
        </is>
      </c>
      <c r="O1231" s="20" t="n">
        <v>72000</v>
      </c>
    </row>
    <row r="1232">
      <c r="M1232" s="18" t="n"/>
      <c r="N1232" s="19" t="inlineStr">
        <is>
          <t>Biomass</t>
        </is>
      </c>
      <c r="O1232" s="19" t="n">
        <v>480</v>
      </c>
    </row>
    <row r="1233">
      <c r="M1233" s="18" t="n"/>
      <c r="N1233" s="19" t="inlineStr">
        <is>
          <t>Planktic Colonies</t>
        </is>
      </c>
      <c r="O1233" s="20" t="n">
        <v>72000</v>
      </c>
    </row>
    <row r="1234">
      <c r="M1234" s="18" t="n"/>
      <c r="N1234" s="19" t="inlineStr">
        <is>
          <t>Smartfab Units</t>
        </is>
      </c>
      <c r="O1234" s="19" t="n">
        <v>18</v>
      </c>
    </row>
    <row r="1235">
      <c r="M1235" s="18" t="n"/>
      <c r="N1235" s="19" t="inlineStr">
        <is>
          <t>Miniature Electronics</t>
        </is>
      </c>
      <c r="O1235" s="19" t="n">
        <v>60</v>
      </c>
    </row>
    <row r="1236">
      <c r="M1236" s="18" t="n"/>
      <c r="N1236" s="19" t="inlineStr">
        <is>
          <t>Chiral Structures</t>
        </is>
      </c>
      <c r="O1236" s="19" t="n">
        <v>480</v>
      </c>
    </row>
    <row r="1237">
      <c r="M1237" s="18" t="n"/>
      <c r="N1237" s="19" t="inlineStr">
        <is>
          <t>Non-CS Crystals</t>
        </is>
      </c>
      <c r="O1237" s="20" t="n">
        <v>72000</v>
      </c>
    </row>
    <row r="1238">
      <c r="M1238" s="18" t="n"/>
      <c r="N1238" s="19" t="inlineStr">
        <is>
          <t>Silicon</t>
        </is>
      </c>
      <c r="O1238" s="19" t="n">
        <v>480</v>
      </c>
    </row>
    <row r="1239">
      <c r="M1239" s="18" t="n"/>
      <c r="N1239" s="19" t="inlineStr">
        <is>
          <t>Felsic Magma</t>
        </is>
      </c>
      <c r="O1239" s="20" t="n">
        <v>72000</v>
      </c>
    </row>
    <row r="1240">
      <c r="M1240" s="18" t="n"/>
      <c r="N1240" s="19" t="inlineStr">
        <is>
          <t>Construction Blocks</t>
        </is>
      </c>
      <c r="O1240" s="19" t="n">
        <v>60</v>
      </c>
    </row>
    <row r="1241">
      <c r="M1241" s="18" t="n"/>
      <c r="N1241" s="19" t="inlineStr">
        <is>
          <t>Toxic Metals</t>
        </is>
      </c>
      <c r="O1241" s="19" t="n">
        <v>480</v>
      </c>
    </row>
    <row r="1242">
      <c r="M1242" s="18" t="n"/>
      <c r="N1242" s="19" t="inlineStr">
        <is>
          <t>Heavy Metals</t>
        </is>
      </c>
      <c r="O1242" s="20" t="n">
        <v>72000</v>
      </c>
    </row>
    <row r="1243">
      <c r="M1243" s="18" t="n"/>
      <c r="N1243" s="19" t="inlineStr">
        <is>
          <t>Reactive Metals</t>
        </is>
      </c>
      <c r="O1243" s="19" t="n">
        <v>480</v>
      </c>
    </row>
    <row r="1244">
      <c r="M1244" s="18" t="n"/>
      <c r="N1244" s="19" t="inlineStr">
        <is>
          <t>Base Metals</t>
        </is>
      </c>
      <c r="O1244" s="20" t="n">
        <v>72000</v>
      </c>
    </row>
    <row r="1245">
      <c r="M1245" s="13" t="n"/>
      <c r="N1245" s="10" t="inlineStr">
        <is>
          <t>Wetware Mainframe</t>
        </is>
      </c>
      <c r="O1245" s="10" t="n">
        <v>5</v>
      </c>
    </row>
    <row r="1246">
      <c r="M1246" s="18" t="n"/>
      <c r="N1246" s="19" t="inlineStr">
        <is>
          <t>Supercomputers</t>
        </is>
      </c>
      <c r="O1246" s="19" t="n">
        <v>30</v>
      </c>
    </row>
    <row r="1247">
      <c r="M1247" s="18" t="n"/>
      <c r="N1247" s="19" t="inlineStr">
        <is>
          <t>Water-Cooled CPU</t>
        </is>
      </c>
      <c r="O1247" s="19" t="n">
        <v>100</v>
      </c>
    </row>
    <row r="1248">
      <c r="M1248" s="18" t="n"/>
      <c r="N1248" s="19" t="inlineStr">
        <is>
          <t>Water</t>
        </is>
      </c>
      <c r="O1248" s="19" t="n">
        <v>800</v>
      </c>
    </row>
    <row r="1249">
      <c r="M1249" s="18" t="n"/>
      <c r="N1249" s="19" t="inlineStr">
        <is>
          <t>Aqueous Liquids</t>
        </is>
      </c>
      <c r="O1249" s="20" t="n">
        <v>120000</v>
      </c>
    </row>
    <row r="1250">
      <c r="M1250" s="18" t="n"/>
      <c r="N1250" s="19" t="inlineStr">
        <is>
          <t>Reactive Metals</t>
        </is>
      </c>
      <c r="O1250" s="19" t="n">
        <v>800</v>
      </c>
    </row>
    <row r="1251">
      <c r="M1251" s="18" t="n"/>
      <c r="N1251" s="19" t="inlineStr">
        <is>
          <t>Base Metals</t>
        </is>
      </c>
      <c r="O1251" s="20" t="n">
        <v>120000</v>
      </c>
    </row>
    <row r="1252">
      <c r="M1252" s="18" t="n"/>
      <c r="N1252" s="19" t="inlineStr">
        <is>
          <t>Coolant</t>
        </is>
      </c>
      <c r="O1252" s="19" t="n">
        <v>100</v>
      </c>
    </row>
    <row r="1253">
      <c r="M1253" s="18" t="n"/>
      <c r="N1253" s="19" t="inlineStr">
        <is>
          <t>Water</t>
        </is>
      </c>
      <c r="O1253" s="19" t="n">
        <v>800</v>
      </c>
    </row>
    <row r="1254">
      <c r="M1254" s="18" t="n"/>
      <c r="N1254" s="19" t="inlineStr">
        <is>
          <t>Aqueous Liquids</t>
        </is>
      </c>
      <c r="O1254" s="20" t="n">
        <v>120000</v>
      </c>
    </row>
    <row r="1255">
      <c r="M1255" s="18" t="n"/>
      <c r="N1255" s="19" t="inlineStr">
        <is>
          <t>Electrolytes</t>
        </is>
      </c>
      <c r="O1255" s="19" t="n">
        <v>800</v>
      </c>
    </row>
    <row r="1256">
      <c r="M1256" s="18" t="n"/>
      <c r="N1256" s="19" t="inlineStr">
        <is>
          <t>Ionic Solutions</t>
        </is>
      </c>
      <c r="O1256" s="20" t="n">
        <v>120000</v>
      </c>
    </row>
    <row r="1257">
      <c r="M1257" s="18" t="n"/>
      <c r="N1257" s="19" t="inlineStr">
        <is>
          <t>Consumer Electronics</t>
        </is>
      </c>
      <c r="O1257" s="19" t="n">
        <v>100</v>
      </c>
    </row>
    <row r="1258">
      <c r="M1258" s="18" t="n"/>
      <c r="N1258" s="19" t="inlineStr">
        <is>
          <t>Toxic Metals</t>
        </is>
      </c>
      <c r="O1258" s="19" t="n">
        <v>800</v>
      </c>
    </row>
    <row r="1259">
      <c r="M1259" s="18" t="n"/>
      <c r="N1259" s="19" t="inlineStr">
        <is>
          <t>Heavy Metals</t>
        </is>
      </c>
      <c r="O1259" s="20" t="n">
        <v>120000</v>
      </c>
    </row>
    <row r="1260">
      <c r="M1260" s="18" t="n"/>
      <c r="N1260" s="19" t="inlineStr">
        <is>
          <t>Chiral Structures</t>
        </is>
      </c>
      <c r="O1260" s="19" t="n">
        <v>800</v>
      </c>
    </row>
    <row r="1261">
      <c r="M1261" s="18" t="n"/>
      <c r="N1261" s="19" t="inlineStr">
        <is>
          <t>Non-CS Crystals</t>
        </is>
      </c>
      <c r="O1261" s="20" t="n">
        <v>120000</v>
      </c>
    </row>
    <row r="1262">
      <c r="M1262" s="18" t="n"/>
      <c r="N1262" s="19" t="inlineStr">
        <is>
          <t>Biotech Research Reports</t>
        </is>
      </c>
      <c r="O1262" s="19" t="n">
        <v>30</v>
      </c>
    </row>
    <row r="1263">
      <c r="M1263" s="18" t="n"/>
      <c r="N1263" s="19" t="inlineStr">
        <is>
          <t>Construction Blocks</t>
        </is>
      </c>
      <c r="O1263" s="19" t="n">
        <v>100</v>
      </c>
    </row>
    <row r="1264">
      <c r="M1264" s="18" t="n"/>
      <c r="N1264" s="19" t="inlineStr">
        <is>
          <t>Toxic Metals</t>
        </is>
      </c>
      <c r="O1264" s="19" t="n">
        <v>800</v>
      </c>
    </row>
    <row r="1265">
      <c r="M1265" s="18" t="n"/>
      <c r="N1265" s="19" t="inlineStr">
        <is>
          <t>Heavy Metals</t>
        </is>
      </c>
      <c r="O1265" s="20" t="n">
        <v>120000</v>
      </c>
    </row>
    <row r="1266">
      <c r="M1266" s="18" t="n"/>
      <c r="N1266" s="19" t="inlineStr">
        <is>
          <t>Reactive Metals</t>
        </is>
      </c>
      <c r="O1266" s="19" t="n">
        <v>800</v>
      </c>
    </row>
    <row r="1267">
      <c r="M1267" s="18" t="n"/>
      <c r="N1267" s="19" t="inlineStr">
        <is>
          <t>Base Metals</t>
        </is>
      </c>
      <c r="O1267" s="20" t="n">
        <v>120000</v>
      </c>
    </row>
    <row r="1268">
      <c r="M1268" s="18" t="n"/>
      <c r="N1268" s="19" t="inlineStr">
        <is>
          <t>Livestock</t>
        </is>
      </c>
      <c r="O1268" s="19" t="n">
        <v>100</v>
      </c>
    </row>
    <row r="1269">
      <c r="M1269" s="18" t="n"/>
      <c r="N1269" s="19" t="inlineStr">
        <is>
          <t>Proteins</t>
        </is>
      </c>
      <c r="O1269" s="19" t="n">
        <v>800</v>
      </c>
    </row>
    <row r="1270">
      <c r="M1270" s="18" t="n"/>
      <c r="N1270" s="19" t="inlineStr">
        <is>
          <t>Complex Organisms</t>
        </is>
      </c>
      <c r="O1270" s="20" t="n">
        <v>120000</v>
      </c>
    </row>
    <row r="1271">
      <c r="M1271" s="18" t="n"/>
      <c r="N1271" s="19" t="inlineStr">
        <is>
          <t>Biofuels</t>
        </is>
      </c>
      <c r="O1271" s="19" t="n">
        <v>800</v>
      </c>
    </row>
    <row r="1272">
      <c r="M1272" s="18" t="n"/>
      <c r="N1272" s="19" t="inlineStr">
        <is>
          <t>Carbon Compounds</t>
        </is>
      </c>
      <c r="O1272" s="20" t="n">
        <v>120000</v>
      </c>
    </row>
    <row r="1273">
      <c r="M1273" s="18" t="n"/>
      <c r="N1273" s="19" t="inlineStr">
        <is>
          <t>Nanites</t>
        </is>
      </c>
      <c r="O1273" s="19" t="n">
        <v>100</v>
      </c>
    </row>
    <row r="1274">
      <c r="M1274" s="18" t="n"/>
      <c r="N1274" s="19" t="inlineStr">
        <is>
          <t>Bacteria</t>
        </is>
      </c>
      <c r="O1274" s="19" t="n">
        <v>800</v>
      </c>
    </row>
    <row r="1275">
      <c r="M1275" s="18" t="n"/>
      <c r="N1275" s="19" t="inlineStr">
        <is>
          <t>Microorganisms</t>
        </is>
      </c>
      <c r="O1275" s="20" t="n">
        <v>120000</v>
      </c>
    </row>
    <row r="1276">
      <c r="M1276" s="18" t="n"/>
      <c r="N1276" s="19" t="inlineStr">
        <is>
          <t>Reactive Metals</t>
        </is>
      </c>
      <c r="O1276" s="19" t="n">
        <v>800</v>
      </c>
    </row>
    <row r="1277">
      <c r="M1277" s="18" t="n"/>
      <c r="N1277" s="19" t="inlineStr">
        <is>
          <t>Base Metals</t>
        </is>
      </c>
      <c r="O1277" s="20" t="n">
        <v>120000</v>
      </c>
    </row>
    <row r="1278">
      <c r="M1278" s="18" t="n"/>
      <c r="N1278" s="19" t="inlineStr">
        <is>
          <t>Cryoprotectant Solution</t>
        </is>
      </c>
      <c r="O1278" s="19" t="n">
        <v>30</v>
      </c>
    </row>
    <row r="1279">
      <c r="M1279" s="18" t="n"/>
      <c r="N1279" s="19" t="inlineStr">
        <is>
          <t>Test Cultures</t>
        </is>
      </c>
      <c r="O1279" s="19" t="n">
        <v>100</v>
      </c>
    </row>
    <row r="1280">
      <c r="M1280" s="18" t="n"/>
      <c r="N1280" s="19" t="inlineStr">
        <is>
          <t>Bacteria</t>
        </is>
      </c>
      <c r="O1280" s="19" t="n">
        <v>800</v>
      </c>
    </row>
    <row r="1281">
      <c r="M1281" s="18" t="n"/>
      <c r="N1281" s="19" t="inlineStr">
        <is>
          <t>Microorganisms</t>
        </is>
      </c>
      <c r="O1281" s="20" t="n">
        <v>120000</v>
      </c>
    </row>
    <row r="1282">
      <c r="M1282" s="18" t="n"/>
      <c r="N1282" s="19" t="inlineStr">
        <is>
          <t>Water</t>
        </is>
      </c>
      <c r="O1282" s="19" t="n">
        <v>800</v>
      </c>
    </row>
    <row r="1283">
      <c r="M1283" s="18" t="n"/>
      <c r="N1283" s="19" t="inlineStr">
        <is>
          <t>Aqueous Liquids</t>
        </is>
      </c>
      <c r="O1283" s="20" t="n">
        <v>120000</v>
      </c>
    </row>
    <row r="1284">
      <c r="M1284" s="18" t="n"/>
      <c r="N1284" s="19" t="inlineStr">
        <is>
          <t>Synthetic Oil</t>
        </is>
      </c>
      <c r="O1284" s="19" t="n">
        <v>100</v>
      </c>
    </row>
    <row r="1285">
      <c r="M1285" s="18" t="n"/>
      <c r="N1285" s="19" t="inlineStr">
        <is>
          <t>Oxygen</t>
        </is>
      </c>
      <c r="O1285" s="19" t="n">
        <v>800</v>
      </c>
    </row>
    <row r="1286">
      <c r="M1286" s="18" t="n"/>
      <c r="N1286" s="19" t="inlineStr">
        <is>
          <t>Noble Gas</t>
        </is>
      </c>
      <c r="O1286" s="20" t="n">
        <v>120000</v>
      </c>
    </row>
    <row r="1287">
      <c r="M1287" s="18" t="n"/>
      <c r="N1287" s="19" t="inlineStr">
        <is>
          <t>Electrolytes</t>
        </is>
      </c>
      <c r="O1287" s="19" t="n">
        <v>800</v>
      </c>
    </row>
    <row r="1288">
      <c r="M1288" s="18" t="n"/>
      <c r="N1288" s="19" t="inlineStr">
        <is>
          <t>Ionic Solutions</t>
        </is>
      </c>
      <c r="O1288" s="20" t="n">
        <v>120000</v>
      </c>
    </row>
    <row r="1289">
      <c r="M1289" s="18" t="n"/>
      <c r="N1289" s="19" t="inlineStr">
        <is>
          <t>Fertilizer</t>
        </is>
      </c>
      <c r="O1289" s="19" t="n">
        <v>100</v>
      </c>
    </row>
    <row r="1290">
      <c r="M1290" s="18" t="n"/>
      <c r="N1290" s="19" t="inlineStr">
        <is>
          <t>Bacteria</t>
        </is>
      </c>
      <c r="O1290" s="19" t="n">
        <v>800</v>
      </c>
    </row>
    <row r="1291">
      <c r="M1291" s="18" t="n"/>
      <c r="N1291" s="19" t="inlineStr">
        <is>
          <t>Microorganisms</t>
        </is>
      </c>
      <c r="O1291" s="20" t="n">
        <v>120000</v>
      </c>
    </row>
    <row r="1292">
      <c r="M1292" s="18" t="n"/>
      <c r="N1292" s="19" t="inlineStr">
        <is>
          <t>Proteins</t>
        </is>
      </c>
      <c r="O1292" s="19" t="n">
        <v>800</v>
      </c>
    </row>
    <row r="1293">
      <c r="M1293" s="18" t="n"/>
      <c r="N1293" s="19" t="inlineStr">
        <is>
          <t>Complex Organisms</t>
        </is>
      </c>
      <c r="O1293" s="20" t="n">
        <v>120000</v>
      </c>
    </row>
    <row r="1294">
      <c r="M1294" s="13" t="n"/>
      <c r="N1294" s="10" t="inlineStr">
        <is>
          <t>Structure Office Center</t>
        </is>
      </c>
      <c r="O1294" s="10" t="n">
        <v>1</v>
      </c>
    </row>
    <row r="1295">
      <c r="M1295" s="13" t="n"/>
      <c r="N1295" s="10" t="inlineStr">
        <is>
          <t>Tritanium</t>
        </is>
      </c>
      <c r="O1295" s="17" t="n">
        <v>450000</v>
      </c>
    </row>
    <row r="1296">
      <c r="M1296" s="13" t="n"/>
      <c r="N1296" s="10" t="inlineStr">
        <is>
          <t>Pyerite</t>
        </is>
      </c>
      <c r="O1296" s="17" t="n">
        <v>90000</v>
      </c>
    </row>
    <row r="1297">
      <c r="M1297" s="13" t="n"/>
      <c r="N1297" s="10" t="inlineStr">
        <is>
          <t>Mexallon</t>
        </is>
      </c>
      <c r="O1297" s="17" t="n">
        <v>31500</v>
      </c>
    </row>
    <row r="1298">
      <c r="M1298" s="13" t="n"/>
      <c r="N1298" s="10" t="inlineStr">
        <is>
          <t>Isogen</t>
        </is>
      </c>
      <c r="O1298" s="17" t="n">
        <v>3600</v>
      </c>
    </row>
    <row r="1299">
      <c r="M1299" s="13" t="n"/>
      <c r="N1299" s="10" t="inlineStr">
        <is>
          <t>Nocxium</t>
        </is>
      </c>
      <c r="O1299" s="10" t="n">
        <v>675</v>
      </c>
    </row>
    <row r="1300">
      <c r="M1300" s="13" t="n"/>
      <c r="N1300" s="10" t="inlineStr">
        <is>
          <t>Zydrine</t>
        </is>
      </c>
      <c r="O1300" s="10" t="n">
        <v>315</v>
      </c>
    </row>
    <row r="1301">
      <c r="M1301" s="13" t="n"/>
      <c r="N1301" s="10" t="inlineStr">
        <is>
          <t>Megacyte</t>
        </is>
      </c>
      <c r="O1301" s="10" t="n">
        <v>135</v>
      </c>
    </row>
    <row r="1302">
      <c r="M1302" s="13" t="n"/>
      <c r="N1302" s="10" t="inlineStr">
        <is>
          <t>Broadcast Node</t>
        </is>
      </c>
      <c r="O1302" s="10" t="n">
        <v>5</v>
      </c>
    </row>
    <row r="1303">
      <c r="M1303" s="18" t="n"/>
      <c r="N1303" s="19" t="inlineStr">
        <is>
          <t>Data Chips</t>
        </is>
      </c>
      <c r="O1303" s="19" t="n">
        <v>30</v>
      </c>
    </row>
    <row r="1304">
      <c r="M1304" s="18" t="n"/>
      <c r="N1304" s="19" t="inlineStr">
        <is>
          <t>Supertensile Plastics</t>
        </is>
      </c>
      <c r="O1304" s="19" t="n">
        <v>100</v>
      </c>
    </row>
    <row r="1305">
      <c r="M1305" s="18" t="n"/>
      <c r="N1305" s="19" t="inlineStr">
        <is>
          <t>Oxygen</t>
        </is>
      </c>
      <c r="O1305" s="19" t="n">
        <v>800</v>
      </c>
    </row>
    <row r="1306">
      <c r="M1306" s="18" t="n"/>
      <c r="N1306" s="19" t="inlineStr">
        <is>
          <t>Noble Gas</t>
        </is>
      </c>
      <c r="O1306" s="20" t="n">
        <v>120000</v>
      </c>
    </row>
    <row r="1307">
      <c r="M1307" s="18" t="n"/>
      <c r="N1307" s="19" t="inlineStr">
        <is>
          <t>Biomass</t>
        </is>
      </c>
      <c r="O1307" s="19" t="n">
        <v>800</v>
      </c>
    </row>
    <row r="1308">
      <c r="M1308" s="18" t="n"/>
      <c r="N1308" s="19" t="inlineStr">
        <is>
          <t>Planktic Colonies</t>
        </is>
      </c>
      <c r="O1308" s="20" t="n">
        <v>120000</v>
      </c>
    </row>
    <row r="1309">
      <c r="M1309" s="18" t="n"/>
      <c r="N1309" s="19" t="inlineStr">
        <is>
          <t>Microfiber Shielding</t>
        </is>
      </c>
      <c r="O1309" s="19" t="n">
        <v>100</v>
      </c>
    </row>
    <row r="1310">
      <c r="M1310" s="18" t="n"/>
      <c r="N1310" s="19" t="inlineStr">
        <is>
          <t>Silicon</t>
        </is>
      </c>
      <c r="O1310" s="19" t="n">
        <v>800</v>
      </c>
    </row>
    <row r="1311">
      <c r="M1311" s="18" t="n"/>
      <c r="N1311" s="19" t="inlineStr">
        <is>
          <t>Felsic Magma</t>
        </is>
      </c>
      <c r="O1311" s="20" t="n">
        <v>120000</v>
      </c>
    </row>
    <row r="1312">
      <c r="M1312" s="18" t="n"/>
      <c r="N1312" s="19" t="inlineStr">
        <is>
          <t>Industrial Fibers</t>
        </is>
      </c>
      <c r="O1312" s="19" t="n">
        <v>800</v>
      </c>
    </row>
    <row r="1313">
      <c r="M1313" s="18" t="n"/>
      <c r="N1313" s="19" t="inlineStr">
        <is>
          <t>Autotrophs</t>
        </is>
      </c>
      <c r="O1313" s="20" t="n">
        <v>120000</v>
      </c>
    </row>
    <row r="1314">
      <c r="M1314" s="18" t="n"/>
      <c r="N1314" s="19" t="inlineStr">
        <is>
          <t>Neocoms</t>
        </is>
      </c>
      <c r="O1314" s="19" t="n">
        <v>30</v>
      </c>
    </row>
    <row r="1315">
      <c r="M1315" s="18" t="n"/>
      <c r="N1315" s="19" t="inlineStr">
        <is>
          <t>Biocells</t>
        </is>
      </c>
      <c r="O1315" s="19" t="n">
        <v>100</v>
      </c>
    </row>
    <row r="1316">
      <c r="M1316" s="18" t="n"/>
      <c r="N1316" s="19" t="inlineStr">
        <is>
          <t>Biofuels</t>
        </is>
      </c>
      <c r="O1316" s="19" t="n">
        <v>800</v>
      </c>
    </row>
    <row r="1317">
      <c r="M1317" s="18" t="n"/>
      <c r="N1317" s="19" t="inlineStr">
        <is>
          <t>Carbon Compounds</t>
        </is>
      </c>
      <c r="O1317" s="20" t="n">
        <v>120000</v>
      </c>
    </row>
    <row r="1318">
      <c r="M1318" s="18" t="n"/>
      <c r="N1318" s="19" t="inlineStr">
        <is>
          <t>Precious Metals</t>
        </is>
      </c>
      <c r="O1318" s="19" t="n">
        <v>800</v>
      </c>
    </row>
    <row r="1319">
      <c r="M1319" s="18" t="n"/>
      <c r="N1319" s="19" t="inlineStr">
        <is>
          <t>Noble Metals</t>
        </is>
      </c>
      <c r="O1319" s="20" t="n">
        <v>120000</v>
      </c>
    </row>
    <row r="1320">
      <c r="M1320" s="18" t="n"/>
      <c r="N1320" s="19" t="inlineStr">
        <is>
          <t>Silicate Glass</t>
        </is>
      </c>
      <c r="O1320" s="19" t="n">
        <v>100</v>
      </c>
    </row>
    <row r="1321">
      <c r="M1321" s="18" t="n"/>
      <c r="N1321" s="19" t="inlineStr">
        <is>
          <t>Oxidizing Compound</t>
        </is>
      </c>
      <c r="O1321" s="19" t="n">
        <v>800</v>
      </c>
    </row>
    <row r="1322">
      <c r="M1322" s="18" t="n"/>
      <c r="N1322" s="19" t="inlineStr">
        <is>
          <t>Reactive Gas</t>
        </is>
      </c>
      <c r="O1322" s="20" t="n">
        <v>120000</v>
      </c>
    </row>
    <row r="1323">
      <c r="M1323" s="18" t="n"/>
      <c r="N1323" s="19" t="inlineStr">
        <is>
          <t>Silicon</t>
        </is>
      </c>
      <c r="O1323" s="19" t="n">
        <v>800</v>
      </c>
    </row>
    <row r="1324">
      <c r="M1324" s="18" t="n"/>
      <c r="N1324" s="19" t="inlineStr">
        <is>
          <t>Felsic Magma</t>
        </is>
      </c>
      <c r="O1324" s="20" t="n">
        <v>120000</v>
      </c>
    </row>
    <row r="1325">
      <c r="M1325" s="18" t="n"/>
      <c r="N1325" s="19" t="inlineStr">
        <is>
          <t>High-Tech Transmitters</t>
        </is>
      </c>
      <c r="O1325" s="19" t="n">
        <v>30</v>
      </c>
    </row>
    <row r="1326">
      <c r="M1326" s="18" t="n"/>
      <c r="N1326" s="19" t="inlineStr">
        <is>
          <t>Transmitter</t>
        </is>
      </c>
      <c r="O1326" s="19" t="n">
        <v>100</v>
      </c>
    </row>
    <row r="1327">
      <c r="M1327" s="18" t="n"/>
      <c r="N1327" s="19" t="inlineStr">
        <is>
          <t>Chiral Structures</t>
        </is>
      </c>
      <c r="O1327" s="19" t="n">
        <v>800</v>
      </c>
    </row>
    <row r="1328">
      <c r="M1328" s="18" t="n"/>
      <c r="N1328" s="19" t="inlineStr">
        <is>
          <t>Non-CS Crystals</t>
        </is>
      </c>
      <c r="O1328" s="20" t="n">
        <v>120000</v>
      </c>
    </row>
    <row r="1329">
      <c r="M1329" s="18" t="n"/>
      <c r="N1329" s="19" t="inlineStr">
        <is>
          <t>Plasmoids</t>
        </is>
      </c>
      <c r="O1329" s="19" t="n">
        <v>800</v>
      </c>
    </row>
    <row r="1330">
      <c r="M1330" s="18" t="n"/>
      <c r="N1330" s="19" t="inlineStr">
        <is>
          <t>Suspended Plasma</t>
        </is>
      </c>
      <c r="O1330" s="20" t="n">
        <v>120000</v>
      </c>
    </row>
    <row r="1331">
      <c r="M1331" s="18" t="n"/>
      <c r="N1331" s="19" t="inlineStr">
        <is>
          <t>Polyaramids</t>
        </is>
      </c>
      <c r="O1331" s="19" t="n">
        <v>100</v>
      </c>
    </row>
    <row r="1332">
      <c r="M1332" s="18" t="n"/>
      <c r="N1332" s="19" t="inlineStr">
        <is>
          <t>Oxidizing Compound</t>
        </is>
      </c>
      <c r="O1332" s="19" t="n">
        <v>800</v>
      </c>
    </row>
    <row r="1333">
      <c r="M1333" s="18" t="n"/>
      <c r="N1333" s="19" t="inlineStr">
        <is>
          <t>Reactive Gas</t>
        </is>
      </c>
      <c r="O1333" s="20" t="n">
        <v>120000</v>
      </c>
    </row>
    <row r="1334">
      <c r="M1334" s="18" t="n"/>
      <c r="N1334" s="19" t="inlineStr">
        <is>
          <t>Industrial Fibers</t>
        </is>
      </c>
      <c r="O1334" s="19" t="n">
        <v>800</v>
      </c>
    </row>
    <row r="1335">
      <c r="M1335" s="18" t="n"/>
      <c r="N1335" s="19" t="inlineStr">
        <is>
          <t>Autotrophs</t>
        </is>
      </c>
      <c r="O1335" s="20" t="n">
        <v>120000</v>
      </c>
    </row>
    <row r="1336">
      <c r="M1336" s="13" t="n"/>
      <c r="N1336" s="10" t="inlineStr">
        <is>
          <t>Integrity Response Drones</t>
        </is>
      </c>
      <c r="O1336" s="10" t="n">
        <v>3</v>
      </c>
    </row>
    <row r="1337">
      <c r="M1337" s="18" t="n"/>
      <c r="N1337" s="19" t="inlineStr">
        <is>
          <t>Gel-Matrix Biopaste</t>
        </is>
      </c>
      <c r="O1337" s="19" t="n">
        <v>18</v>
      </c>
    </row>
    <row r="1338">
      <c r="M1338" s="18" t="n"/>
      <c r="N1338" s="19" t="inlineStr">
        <is>
          <t>Biocells</t>
        </is>
      </c>
      <c r="O1338" s="19" t="n">
        <v>60</v>
      </c>
    </row>
    <row r="1339">
      <c r="M1339" s="18" t="n"/>
      <c r="N1339" s="19" t="inlineStr">
        <is>
          <t>Biofuels</t>
        </is>
      </c>
      <c r="O1339" s="19" t="n">
        <v>480</v>
      </c>
    </row>
    <row r="1340">
      <c r="M1340" s="18" t="n"/>
      <c r="N1340" s="19" t="inlineStr">
        <is>
          <t>Carbon Compounds</t>
        </is>
      </c>
      <c r="O1340" s="20" t="n">
        <v>72000</v>
      </c>
    </row>
    <row r="1341">
      <c r="M1341" s="18" t="n"/>
      <c r="N1341" s="19" t="inlineStr">
        <is>
          <t>Precious Metals</t>
        </is>
      </c>
      <c r="O1341" s="19" t="n">
        <v>480</v>
      </c>
    </row>
    <row r="1342">
      <c r="M1342" s="18" t="n"/>
      <c r="N1342" s="19" t="inlineStr">
        <is>
          <t>Noble Metals</t>
        </is>
      </c>
      <c r="O1342" s="20" t="n">
        <v>72000</v>
      </c>
    </row>
    <row r="1343">
      <c r="M1343" s="18" t="n"/>
      <c r="N1343" s="19" t="inlineStr">
        <is>
          <t>Oxides</t>
        </is>
      </c>
      <c r="O1343" s="19" t="n">
        <v>60</v>
      </c>
    </row>
    <row r="1344">
      <c r="M1344" s="18" t="n"/>
      <c r="N1344" s="19" t="inlineStr">
        <is>
          <t>Oxidizing Compound</t>
        </is>
      </c>
      <c r="O1344" s="19" t="n">
        <v>480</v>
      </c>
    </row>
    <row r="1345">
      <c r="M1345" s="18" t="n"/>
      <c r="N1345" s="19" t="inlineStr">
        <is>
          <t>Reactive Gas</t>
        </is>
      </c>
      <c r="O1345" s="20" t="n">
        <v>72000</v>
      </c>
    </row>
    <row r="1346">
      <c r="M1346" s="18" t="n"/>
      <c r="N1346" s="19" t="inlineStr">
        <is>
          <t>Oxygen</t>
        </is>
      </c>
      <c r="O1346" s="19" t="n">
        <v>480</v>
      </c>
    </row>
    <row r="1347">
      <c r="M1347" s="18" t="n"/>
      <c r="N1347" s="19" t="inlineStr">
        <is>
          <t>Noble Gas</t>
        </is>
      </c>
      <c r="O1347" s="20" t="n">
        <v>72000</v>
      </c>
    </row>
    <row r="1348">
      <c r="M1348" s="18" t="n"/>
      <c r="N1348" s="19" t="inlineStr">
        <is>
          <t>Superconductors</t>
        </is>
      </c>
      <c r="O1348" s="19" t="n">
        <v>60</v>
      </c>
    </row>
    <row r="1349">
      <c r="M1349" s="18" t="n"/>
      <c r="N1349" s="19" t="inlineStr">
        <is>
          <t>Plasmoids</t>
        </is>
      </c>
      <c r="O1349" s="19" t="n">
        <v>480</v>
      </c>
    </row>
    <row r="1350">
      <c r="M1350" s="18" t="n"/>
      <c r="N1350" s="19" t="inlineStr">
        <is>
          <t>Suspended Plasma</t>
        </is>
      </c>
      <c r="O1350" s="20" t="n">
        <v>72000</v>
      </c>
    </row>
    <row r="1351">
      <c r="M1351" s="18" t="n"/>
      <c r="N1351" s="19" t="inlineStr">
        <is>
          <t>Water</t>
        </is>
      </c>
      <c r="O1351" s="19" t="n">
        <v>480</v>
      </c>
    </row>
    <row r="1352">
      <c r="M1352" s="18" t="n"/>
      <c r="N1352" s="19" t="inlineStr">
        <is>
          <t>Aqueous Liquids</t>
        </is>
      </c>
      <c r="O1352" s="20" t="n">
        <v>72000</v>
      </c>
    </row>
    <row r="1353">
      <c r="M1353" s="18" t="n"/>
      <c r="N1353" s="19" t="inlineStr">
        <is>
          <t>Hazmat Detection Systems</t>
        </is>
      </c>
      <c r="O1353" s="19" t="n">
        <v>18</v>
      </c>
    </row>
    <row r="1354">
      <c r="M1354" s="18" t="n"/>
      <c r="N1354" s="19" t="inlineStr">
        <is>
          <t>Transmitter</t>
        </is>
      </c>
      <c r="O1354" s="19" t="n">
        <v>60</v>
      </c>
    </row>
    <row r="1355">
      <c r="M1355" s="18" t="n"/>
      <c r="N1355" s="19" t="inlineStr">
        <is>
          <t>Chiral Structures</t>
        </is>
      </c>
      <c r="O1355" s="19" t="n">
        <v>480</v>
      </c>
    </row>
    <row r="1356">
      <c r="M1356" s="18" t="n"/>
      <c r="N1356" s="19" t="inlineStr">
        <is>
          <t>Non-CS Crystals</t>
        </is>
      </c>
      <c r="O1356" s="20" t="n">
        <v>72000</v>
      </c>
    </row>
    <row r="1357">
      <c r="M1357" s="18" t="n"/>
      <c r="N1357" s="19" t="inlineStr">
        <is>
          <t>Plasmoids</t>
        </is>
      </c>
      <c r="O1357" s="19" t="n">
        <v>480</v>
      </c>
    </row>
    <row r="1358">
      <c r="M1358" s="18" t="n"/>
      <c r="N1358" s="19" t="inlineStr">
        <is>
          <t>Suspended Plasma</t>
        </is>
      </c>
      <c r="O1358" s="20" t="n">
        <v>72000</v>
      </c>
    </row>
    <row r="1359">
      <c r="M1359" s="18" t="n"/>
      <c r="N1359" s="19" t="inlineStr">
        <is>
          <t>Polytextiles</t>
        </is>
      </c>
      <c r="O1359" s="19" t="n">
        <v>60</v>
      </c>
    </row>
    <row r="1360">
      <c r="M1360" s="18" t="n"/>
      <c r="N1360" s="19" t="inlineStr">
        <is>
          <t>Biofuels</t>
        </is>
      </c>
      <c r="O1360" s="19" t="n">
        <v>480</v>
      </c>
    </row>
    <row r="1361">
      <c r="M1361" s="18" t="n"/>
      <c r="N1361" s="19" t="inlineStr">
        <is>
          <t>Carbon Compounds</t>
        </is>
      </c>
      <c r="O1361" s="20" t="n">
        <v>72000</v>
      </c>
    </row>
    <row r="1362">
      <c r="M1362" s="18" t="n"/>
      <c r="N1362" s="19" t="inlineStr">
        <is>
          <t>Industrial Fibers</t>
        </is>
      </c>
      <c r="O1362" s="19" t="n">
        <v>480</v>
      </c>
    </row>
    <row r="1363">
      <c r="M1363" s="18" t="n"/>
      <c r="N1363" s="19" t="inlineStr">
        <is>
          <t>Autotrophs</t>
        </is>
      </c>
      <c r="O1363" s="20" t="n">
        <v>72000</v>
      </c>
    </row>
    <row r="1364">
      <c r="M1364" s="18" t="n"/>
      <c r="N1364" s="19" t="inlineStr">
        <is>
          <t>Viral Agent</t>
        </is>
      </c>
      <c r="O1364" s="19" t="n">
        <v>60</v>
      </c>
    </row>
    <row r="1365">
      <c r="M1365" s="18" t="n"/>
      <c r="N1365" s="19" t="inlineStr">
        <is>
          <t>Bacteria</t>
        </is>
      </c>
      <c r="O1365" s="19" t="n">
        <v>480</v>
      </c>
    </row>
    <row r="1366">
      <c r="M1366" s="18" t="n"/>
      <c r="N1366" s="19" t="inlineStr">
        <is>
          <t>Microorganisms</t>
        </is>
      </c>
      <c r="O1366" s="20" t="n">
        <v>72000</v>
      </c>
    </row>
    <row r="1367">
      <c r="M1367" s="18" t="n"/>
      <c r="N1367" s="19" t="inlineStr">
        <is>
          <t>Biomass</t>
        </is>
      </c>
      <c r="O1367" s="19" t="n">
        <v>480</v>
      </c>
    </row>
    <row r="1368">
      <c r="M1368" s="18" t="n"/>
      <c r="N1368" s="19" t="inlineStr">
        <is>
          <t>Planktic Colonies</t>
        </is>
      </c>
      <c r="O1368" s="20" t="n">
        <v>72000</v>
      </c>
    </row>
    <row r="1369">
      <c r="M1369" s="18" t="n"/>
      <c r="N1369" s="19" t="inlineStr">
        <is>
          <t>Planetary Vehicles</t>
        </is>
      </c>
      <c r="O1369" s="19" t="n">
        <v>18</v>
      </c>
    </row>
    <row r="1370">
      <c r="M1370" s="18" t="n"/>
      <c r="N1370" s="19" t="inlineStr">
        <is>
          <t>Supertensile Plastics</t>
        </is>
      </c>
      <c r="O1370" s="19" t="n">
        <v>60</v>
      </c>
    </row>
    <row r="1371">
      <c r="M1371" s="18" t="n"/>
      <c r="N1371" s="19" t="inlineStr">
        <is>
          <t>Oxygen</t>
        </is>
      </c>
      <c r="O1371" s="19" t="n">
        <v>480</v>
      </c>
    </row>
    <row r="1372">
      <c r="M1372" s="18" t="n"/>
      <c r="N1372" s="19" t="inlineStr">
        <is>
          <t>Noble Gas</t>
        </is>
      </c>
      <c r="O1372" s="20" t="n">
        <v>72000</v>
      </c>
    </row>
    <row r="1373">
      <c r="M1373" s="18" t="n"/>
      <c r="N1373" s="19" t="inlineStr">
        <is>
          <t>Biomass</t>
        </is>
      </c>
      <c r="O1373" s="19" t="n">
        <v>480</v>
      </c>
    </row>
    <row r="1374">
      <c r="M1374" s="18" t="n"/>
      <c r="N1374" s="19" t="inlineStr">
        <is>
          <t>Planktic Colonies</t>
        </is>
      </c>
      <c r="O1374" s="20" t="n">
        <v>72000</v>
      </c>
    </row>
    <row r="1375">
      <c r="M1375" s="18" t="n"/>
      <c r="N1375" s="19" t="inlineStr">
        <is>
          <t>Mechanical Parts</t>
        </is>
      </c>
      <c r="O1375" s="19" t="n">
        <v>60</v>
      </c>
    </row>
    <row r="1376">
      <c r="M1376" s="18" t="n"/>
      <c r="N1376" s="19" t="inlineStr">
        <is>
          <t>Reactive Metals</t>
        </is>
      </c>
      <c r="O1376" s="19" t="n">
        <v>480</v>
      </c>
    </row>
    <row r="1377">
      <c r="M1377" s="18" t="n"/>
      <c r="N1377" s="19" t="inlineStr">
        <is>
          <t>Base Metals</t>
        </is>
      </c>
      <c r="O1377" s="20" t="n">
        <v>72000</v>
      </c>
    </row>
    <row r="1378">
      <c r="M1378" s="18" t="n"/>
      <c r="N1378" s="19" t="inlineStr">
        <is>
          <t>Precious Metals</t>
        </is>
      </c>
      <c r="O1378" s="19" t="n">
        <v>480</v>
      </c>
    </row>
    <row r="1379">
      <c r="M1379" s="18" t="n"/>
      <c r="N1379" s="19" t="inlineStr">
        <is>
          <t>Noble Metals</t>
        </is>
      </c>
      <c r="O1379" s="20" t="n">
        <v>72000</v>
      </c>
    </row>
    <row r="1380">
      <c r="M1380" s="18" t="n"/>
      <c r="N1380" s="19" t="inlineStr">
        <is>
          <t>Miniature Electronics</t>
        </is>
      </c>
      <c r="O1380" s="19" t="n">
        <v>60</v>
      </c>
    </row>
    <row r="1381">
      <c r="M1381" s="18" t="n"/>
      <c r="N1381" s="19" t="inlineStr">
        <is>
          <t>Chiral Structures</t>
        </is>
      </c>
      <c r="O1381" s="19" t="n">
        <v>480</v>
      </c>
    </row>
    <row r="1382">
      <c r="M1382" s="18" t="n"/>
      <c r="N1382" s="19" t="inlineStr">
        <is>
          <t>Non-CS Crystals</t>
        </is>
      </c>
      <c r="O1382" s="20" t="n">
        <v>72000</v>
      </c>
    </row>
    <row r="1383">
      <c r="M1383" s="18" t="n"/>
      <c r="N1383" s="19" t="inlineStr">
        <is>
          <t>Silicon</t>
        </is>
      </c>
      <c r="O1383" s="19" t="n">
        <v>480</v>
      </c>
    </row>
    <row r="1384">
      <c r="M1384" s="18" t="n"/>
      <c r="N1384" s="19" t="inlineStr">
        <is>
          <t>Felsic Magma</t>
        </is>
      </c>
      <c r="O1384" s="20" t="n">
        <v>72000</v>
      </c>
    </row>
    <row r="1385">
      <c r="M1385" s="13" t="n"/>
      <c r="N1385" s="10" t="inlineStr">
        <is>
          <t>Organic Mortar Applicators</t>
        </is>
      </c>
      <c r="O1385" s="10" t="n">
        <v>5</v>
      </c>
    </row>
    <row r="1386">
      <c r="M1386" s="18" t="n"/>
      <c r="N1386" s="19" t="inlineStr">
        <is>
          <t>Condensates</t>
        </is>
      </c>
      <c r="O1386" s="19" t="n">
        <v>30</v>
      </c>
    </row>
    <row r="1387">
      <c r="M1387" s="18" t="n"/>
      <c r="N1387" s="19" t="inlineStr">
        <is>
          <t>Coolant</t>
        </is>
      </c>
      <c r="O1387" s="19" t="n">
        <v>100</v>
      </c>
    </row>
    <row r="1388">
      <c r="M1388" s="18" t="n"/>
      <c r="N1388" s="19" t="inlineStr">
        <is>
          <t>Water</t>
        </is>
      </c>
      <c r="O1388" s="19" t="n">
        <v>800</v>
      </c>
    </row>
    <row r="1389">
      <c r="M1389" s="18" t="n"/>
      <c r="N1389" s="19" t="inlineStr">
        <is>
          <t>Aqueous Liquids</t>
        </is>
      </c>
      <c r="O1389" s="20" t="n">
        <v>120000</v>
      </c>
    </row>
    <row r="1390">
      <c r="M1390" s="18" t="n"/>
      <c r="N1390" s="19" t="inlineStr">
        <is>
          <t>Electrolytes</t>
        </is>
      </c>
      <c r="O1390" s="19" t="n">
        <v>800</v>
      </c>
    </row>
    <row r="1391">
      <c r="M1391" s="18" t="n"/>
      <c r="N1391" s="19" t="inlineStr">
        <is>
          <t>Ionic Solutions</t>
        </is>
      </c>
      <c r="O1391" s="20" t="n">
        <v>120000</v>
      </c>
    </row>
    <row r="1392">
      <c r="M1392" s="18" t="n"/>
      <c r="N1392" s="19" t="inlineStr">
        <is>
          <t>Oxides</t>
        </is>
      </c>
      <c r="O1392" s="19" t="n">
        <v>100</v>
      </c>
    </row>
    <row r="1393">
      <c r="M1393" s="18" t="n"/>
      <c r="N1393" s="19" t="inlineStr">
        <is>
          <t>Oxidizing Compound</t>
        </is>
      </c>
      <c r="O1393" s="19" t="n">
        <v>800</v>
      </c>
    </row>
    <row r="1394">
      <c r="M1394" s="18" t="n"/>
      <c r="N1394" s="19" t="inlineStr">
        <is>
          <t>Reactive Gas</t>
        </is>
      </c>
      <c r="O1394" s="20" t="n">
        <v>120000</v>
      </c>
    </row>
    <row r="1395">
      <c r="M1395" s="18" t="n"/>
      <c r="N1395" s="19" t="inlineStr">
        <is>
          <t>Oxygen</t>
        </is>
      </c>
      <c r="O1395" s="19" t="n">
        <v>800</v>
      </c>
    </row>
    <row r="1396">
      <c r="M1396" s="18" t="n"/>
      <c r="N1396" s="19" t="inlineStr">
        <is>
          <t>Noble Gas</t>
        </is>
      </c>
      <c r="O1396" s="20" t="n">
        <v>120000</v>
      </c>
    </row>
    <row r="1397">
      <c r="M1397" s="18" t="n"/>
      <c r="N1397" s="19" t="inlineStr">
        <is>
          <t>Bacteria</t>
        </is>
      </c>
      <c r="O1397" s="19" t="n">
        <v>200</v>
      </c>
    </row>
    <row r="1398">
      <c r="M1398" s="18" t="n"/>
      <c r="N1398" s="19" t="inlineStr">
        <is>
          <t>Microorganisms</t>
        </is>
      </c>
      <c r="O1398" s="20" t="n">
        <v>30000</v>
      </c>
    </row>
    <row r="1399">
      <c r="M1399" s="18" t="n"/>
      <c r="N1399" s="19" t="inlineStr">
        <is>
          <t>Robotics</t>
        </is>
      </c>
      <c r="O1399" s="19" t="n">
        <v>30</v>
      </c>
    </row>
    <row r="1400">
      <c r="M1400" s="18" t="n"/>
      <c r="N1400" s="19" t="inlineStr">
        <is>
          <t>Mechanical Parts</t>
        </is>
      </c>
      <c r="O1400" s="19" t="n">
        <v>100</v>
      </c>
    </row>
    <row r="1401">
      <c r="M1401" s="18" t="n"/>
      <c r="N1401" s="19" t="inlineStr">
        <is>
          <t>Reactive Metals</t>
        </is>
      </c>
      <c r="O1401" s="19" t="n">
        <v>800</v>
      </c>
    </row>
    <row r="1402">
      <c r="M1402" s="18" t="n"/>
      <c r="N1402" s="19" t="inlineStr">
        <is>
          <t>Base Metals</t>
        </is>
      </c>
      <c r="O1402" s="20" t="n">
        <v>120000</v>
      </c>
    </row>
    <row r="1403">
      <c r="M1403" s="18" t="n"/>
      <c r="N1403" s="19" t="inlineStr">
        <is>
          <t>Precious Metals</t>
        </is>
      </c>
      <c r="O1403" s="19" t="n">
        <v>800</v>
      </c>
    </row>
    <row r="1404">
      <c r="M1404" s="18" t="n"/>
      <c r="N1404" s="19" t="inlineStr">
        <is>
          <t>Noble Metals</t>
        </is>
      </c>
      <c r="O1404" s="20" t="n">
        <v>120000</v>
      </c>
    </row>
    <row r="1405">
      <c r="M1405" s="18" t="n"/>
      <c r="N1405" s="19" t="inlineStr">
        <is>
          <t>Consumer Electronics</t>
        </is>
      </c>
      <c r="O1405" s="19" t="n">
        <v>100</v>
      </c>
    </row>
    <row r="1406">
      <c r="M1406" s="18" t="n"/>
      <c r="N1406" s="19" t="inlineStr">
        <is>
          <t>Toxic Metals</t>
        </is>
      </c>
      <c r="O1406" s="19" t="n">
        <v>800</v>
      </c>
    </row>
    <row r="1407">
      <c r="M1407" s="18" t="n"/>
      <c r="N1407" s="19" t="inlineStr">
        <is>
          <t>Heavy Metals</t>
        </is>
      </c>
      <c r="O1407" s="20" t="n">
        <v>120000</v>
      </c>
    </row>
    <row r="1408">
      <c r="M1408" s="18" t="n"/>
      <c r="N1408" s="19" t="inlineStr">
        <is>
          <t>Chiral Structures</t>
        </is>
      </c>
      <c r="O1408" s="19" t="n">
        <v>800</v>
      </c>
    </row>
    <row r="1409">
      <c r="M1409" s="18" t="n"/>
      <c r="N1409" s="19" t="inlineStr">
        <is>
          <t>Non-CS Crystals</t>
        </is>
      </c>
      <c r="O1409" s="20" t="n">
        <v>120000</v>
      </c>
    </row>
    <row r="1410">
      <c r="M1410" s="13" t="n"/>
      <c r="N1410" s="10" t="inlineStr">
        <is>
          <t>Recursive Computing Module</t>
        </is>
      </c>
      <c r="O1410" s="10" t="n">
        <v>3</v>
      </c>
    </row>
    <row r="1411">
      <c r="M1411" s="18" t="n"/>
      <c r="N1411" s="19" t="inlineStr">
        <is>
          <t>Synthetic Synapses</t>
        </is>
      </c>
      <c r="O1411" s="19" t="n">
        <v>18</v>
      </c>
    </row>
    <row r="1412">
      <c r="M1412" s="18" t="n"/>
      <c r="N1412" s="19" t="inlineStr">
        <is>
          <t>Supertensile Plastics</t>
        </is>
      </c>
      <c r="O1412" s="19" t="n">
        <v>60</v>
      </c>
    </row>
    <row r="1413">
      <c r="M1413" s="18" t="n"/>
      <c r="N1413" s="19" t="inlineStr">
        <is>
          <t>Oxygen</t>
        </is>
      </c>
      <c r="O1413" s="19" t="n">
        <v>480</v>
      </c>
    </row>
    <row r="1414">
      <c r="M1414" s="18" t="n"/>
      <c r="N1414" s="19" t="inlineStr">
        <is>
          <t>Noble Gas</t>
        </is>
      </c>
      <c r="O1414" s="20" t="n">
        <v>72000</v>
      </c>
    </row>
    <row r="1415">
      <c r="M1415" s="18" t="n"/>
      <c r="N1415" s="19" t="inlineStr">
        <is>
          <t>Biomass</t>
        </is>
      </c>
      <c r="O1415" s="19" t="n">
        <v>480</v>
      </c>
    </row>
    <row r="1416">
      <c r="M1416" s="18" t="n"/>
      <c r="N1416" s="19" t="inlineStr">
        <is>
          <t>Planktic Colonies</t>
        </is>
      </c>
      <c r="O1416" s="20" t="n">
        <v>72000</v>
      </c>
    </row>
    <row r="1417">
      <c r="M1417" s="18" t="n"/>
      <c r="N1417" s="19" t="inlineStr">
        <is>
          <t>Test Cultures</t>
        </is>
      </c>
      <c r="O1417" s="19" t="n">
        <v>60</v>
      </c>
    </row>
    <row r="1418">
      <c r="M1418" s="18" t="n"/>
      <c r="N1418" s="19" t="inlineStr">
        <is>
          <t>Bacteria</t>
        </is>
      </c>
      <c r="O1418" s="19" t="n">
        <v>480</v>
      </c>
    </row>
    <row r="1419">
      <c r="M1419" s="18" t="n"/>
      <c r="N1419" s="19" t="inlineStr">
        <is>
          <t>Microorganisms</t>
        </is>
      </c>
      <c r="O1419" s="20" t="n">
        <v>72000</v>
      </c>
    </row>
    <row r="1420">
      <c r="M1420" s="18" t="n"/>
      <c r="N1420" s="19" t="inlineStr">
        <is>
          <t>Water</t>
        </is>
      </c>
      <c r="O1420" s="19" t="n">
        <v>480</v>
      </c>
    </row>
    <row r="1421">
      <c r="M1421" s="18" t="n"/>
      <c r="N1421" s="19" t="inlineStr">
        <is>
          <t>Aqueous Liquids</t>
        </is>
      </c>
      <c r="O1421" s="20" t="n">
        <v>72000</v>
      </c>
    </row>
    <row r="1422">
      <c r="M1422" s="18" t="n"/>
      <c r="N1422" s="19" t="inlineStr">
        <is>
          <t>Transcranial Microcontrollers</t>
        </is>
      </c>
      <c r="O1422" s="19" t="n">
        <v>18</v>
      </c>
    </row>
    <row r="1423">
      <c r="M1423" s="18" t="n"/>
      <c r="N1423" s="19" t="inlineStr">
        <is>
          <t>Biocells</t>
        </is>
      </c>
      <c r="O1423" s="19" t="n">
        <v>60</v>
      </c>
    </row>
    <row r="1424">
      <c r="M1424" s="18" t="n"/>
      <c r="N1424" s="19" t="inlineStr">
        <is>
          <t>Biofuels</t>
        </is>
      </c>
      <c r="O1424" s="19" t="n">
        <v>480</v>
      </c>
    </row>
    <row r="1425">
      <c r="M1425" s="18" t="n"/>
      <c r="N1425" s="19" t="inlineStr">
        <is>
          <t>Carbon Compounds</t>
        </is>
      </c>
      <c r="O1425" s="20" t="n">
        <v>72000</v>
      </c>
    </row>
    <row r="1426">
      <c r="M1426" s="18" t="n"/>
      <c r="N1426" s="19" t="inlineStr">
        <is>
          <t>Precious Metals</t>
        </is>
      </c>
      <c r="O1426" s="19" t="n">
        <v>480</v>
      </c>
    </row>
    <row r="1427">
      <c r="M1427" s="18" t="n"/>
      <c r="N1427" s="19" t="inlineStr">
        <is>
          <t>Noble Metals</t>
        </is>
      </c>
      <c r="O1427" s="20" t="n">
        <v>72000</v>
      </c>
    </row>
    <row r="1428">
      <c r="M1428" s="18" t="n"/>
      <c r="N1428" s="19" t="inlineStr">
        <is>
          <t>Nanites</t>
        </is>
      </c>
      <c r="O1428" s="19" t="n">
        <v>60</v>
      </c>
    </row>
    <row r="1429">
      <c r="M1429" s="18" t="n"/>
      <c r="N1429" s="19" t="inlineStr">
        <is>
          <t>Bacteria</t>
        </is>
      </c>
      <c r="O1429" s="19" t="n">
        <v>480</v>
      </c>
    </row>
    <row r="1430">
      <c r="M1430" s="18" t="n"/>
      <c r="N1430" s="19" t="inlineStr">
        <is>
          <t>Microorganisms</t>
        </is>
      </c>
      <c r="O1430" s="20" t="n">
        <v>72000</v>
      </c>
    </row>
    <row r="1431">
      <c r="M1431" s="18" t="n"/>
      <c r="N1431" s="19" t="inlineStr">
        <is>
          <t>Reactive Metals</t>
        </is>
      </c>
      <c r="O1431" s="19" t="n">
        <v>480</v>
      </c>
    </row>
    <row r="1432">
      <c r="M1432" s="18" t="n"/>
      <c r="N1432" s="19" t="inlineStr">
        <is>
          <t>Base Metals</t>
        </is>
      </c>
      <c r="O1432" s="20" t="n">
        <v>72000</v>
      </c>
    </row>
    <row r="1433">
      <c r="M1433" s="18" t="n"/>
      <c r="N1433" s="19" t="inlineStr">
        <is>
          <t>Guidance Systems</t>
        </is>
      </c>
      <c r="O1433" s="19" t="n">
        <v>18</v>
      </c>
    </row>
    <row r="1434">
      <c r="M1434" s="18" t="n"/>
      <c r="N1434" s="19" t="inlineStr">
        <is>
          <t>Water-Cooled CPU</t>
        </is>
      </c>
      <c r="O1434" s="19" t="n">
        <v>60</v>
      </c>
    </row>
    <row r="1435">
      <c r="M1435" s="18" t="n"/>
      <c r="N1435" s="19" t="inlineStr">
        <is>
          <t>Water</t>
        </is>
      </c>
      <c r="O1435" s="19" t="n">
        <v>480</v>
      </c>
    </row>
    <row r="1436">
      <c r="M1436" s="18" t="n"/>
      <c r="N1436" s="19" t="inlineStr">
        <is>
          <t>Aqueous Liquids</t>
        </is>
      </c>
      <c r="O1436" s="20" t="n">
        <v>72000</v>
      </c>
    </row>
    <row r="1437">
      <c r="M1437" s="18" t="n"/>
      <c r="N1437" s="19" t="inlineStr">
        <is>
          <t>Reactive Metals</t>
        </is>
      </c>
      <c r="O1437" s="19" t="n">
        <v>480</v>
      </c>
    </row>
    <row r="1438">
      <c r="M1438" s="18" t="n"/>
      <c r="N1438" s="19" t="inlineStr">
        <is>
          <t>Base Metals</t>
        </is>
      </c>
      <c r="O1438" s="20" t="n">
        <v>72000</v>
      </c>
    </row>
    <row r="1439">
      <c r="M1439" s="18" t="n"/>
      <c r="N1439" s="19" t="inlineStr">
        <is>
          <t>Transmitter</t>
        </is>
      </c>
      <c r="O1439" s="19" t="n">
        <v>60</v>
      </c>
    </row>
    <row r="1440">
      <c r="M1440" s="18" t="n"/>
      <c r="N1440" s="19" t="inlineStr">
        <is>
          <t>Chiral Structures</t>
        </is>
      </c>
      <c r="O1440" s="19" t="n">
        <v>480</v>
      </c>
    </row>
    <row r="1441">
      <c r="M1441" s="18" t="n"/>
      <c r="N1441" s="19" t="inlineStr">
        <is>
          <t>Non-CS Crystals</t>
        </is>
      </c>
      <c r="O1441" s="20" t="n">
        <v>72000</v>
      </c>
    </row>
    <row r="1442">
      <c r="M1442" s="18" t="n"/>
      <c r="N1442" s="19" t="inlineStr">
        <is>
          <t>Plasmoids</t>
        </is>
      </c>
      <c r="O1442" s="19" t="n">
        <v>480</v>
      </c>
    </row>
    <row r="1443">
      <c r="M1443" s="18" t="n"/>
      <c r="N1443" s="19" t="inlineStr">
        <is>
          <t>Suspended Plasma</t>
        </is>
      </c>
      <c r="O1443" s="20" t="n">
        <v>72000</v>
      </c>
    </row>
    <row r="1444">
      <c r="M1444" s="13" t="n"/>
      <c r="N1444" s="10" t="inlineStr">
        <is>
          <t>Self-Harmonizing Power Core</t>
        </is>
      </c>
      <c r="O1444" s="10" t="n">
        <v>3</v>
      </c>
    </row>
    <row r="1445">
      <c r="M1445" s="18" t="n"/>
      <c r="N1445" s="19" t="inlineStr">
        <is>
          <t>Nuclear Reactors</t>
        </is>
      </c>
      <c r="O1445" s="19" t="n">
        <v>18</v>
      </c>
    </row>
    <row r="1446">
      <c r="M1446" s="18" t="n"/>
      <c r="N1446" s="19" t="inlineStr">
        <is>
          <t>Enriched Uranium</t>
        </is>
      </c>
      <c r="O1446" s="19" t="n">
        <v>60</v>
      </c>
    </row>
    <row r="1447">
      <c r="M1447" s="18" t="n"/>
      <c r="N1447" s="19" t="inlineStr">
        <is>
          <t>Toxic Metals</t>
        </is>
      </c>
      <c r="O1447" s="19" t="n">
        <v>480</v>
      </c>
    </row>
    <row r="1448">
      <c r="M1448" s="18" t="n"/>
      <c r="N1448" s="19" t="inlineStr">
        <is>
          <t>Heavy Metals</t>
        </is>
      </c>
      <c r="O1448" s="20" t="n">
        <v>72000</v>
      </c>
    </row>
    <row r="1449">
      <c r="M1449" s="18" t="n"/>
      <c r="N1449" s="19" t="inlineStr">
        <is>
          <t>Precious Metals</t>
        </is>
      </c>
      <c r="O1449" s="19" t="n">
        <v>480</v>
      </c>
    </row>
    <row r="1450">
      <c r="M1450" s="18" t="n"/>
      <c r="N1450" s="19" t="inlineStr">
        <is>
          <t>Noble Metals</t>
        </is>
      </c>
      <c r="O1450" s="20" t="n">
        <v>72000</v>
      </c>
    </row>
    <row r="1451">
      <c r="M1451" s="18" t="n"/>
      <c r="N1451" s="19" t="inlineStr">
        <is>
          <t>Microfiber Shielding</t>
        </is>
      </c>
      <c r="O1451" s="19" t="n">
        <v>60</v>
      </c>
    </row>
    <row r="1452">
      <c r="M1452" s="18" t="n"/>
      <c r="N1452" s="19" t="inlineStr">
        <is>
          <t>Silicon</t>
        </is>
      </c>
      <c r="O1452" s="19" t="n">
        <v>480</v>
      </c>
    </row>
    <row r="1453">
      <c r="M1453" s="18" t="n"/>
      <c r="N1453" s="19" t="inlineStr">
        <is>
          <t>Felsic Magma</t>
        </is>
      </c>
      <c r="O1453" s="20" t="n">
        <v>72000</v>
      </c>
    </row>
    <row r="1454">
      <c r="M1454" s="18" t="n"/>
      <c r="N1454" s="19" t="inlineStr">
        <is>
          <t>Industrial Fibers</t>
        </is>
      </c>
      <c r="O1454" s="19" t="n">
        <v>480</v>
      </c>
    </row>
    <row r="1455">
      <c r="M1455" s="18" t="n"/>
      <c r="N1455" s="19" t="inlineStr">
        <is>
          <t>Autotrophs</t>
        </is>
      </c>
      <c r="O1455" s="20" t="n">
        <v>72000</v>
      </c>
    </row>
    <row r="1456">
      <c r="M1456" s="18" t="n"/>
      <c r="N1456" s="19" t="inlineStr">
        <is>
          <t>Camera Drones</t>
        </is>
      </c>
      <c r="O1456" s="19" t="n">
        <v>18</v>
      </c>
    </row>
    <row r="1457">
      <c r="M1457" s="18" t="n"/>
      <c r="N1457" s="19" t="inlineStr">
        <is>
          <t>Rocket Fuel</t>
        </is>
      </c>
      <c r="O1457" s="19" t="n">
        <v>60</v>
      </c>
    </row>
    <row r="1458">
      <c r="M1458" s="18" t="n"/>
      <c r="N1458" s="19" t="inlineStr">
        <is>
          <t>Electrolytes</t>
        </is>
      </c>
      <c r="O1458" s="19" t="n">
        <v>480</v>
      </c>
    </row>
    <row r="1459">
      <c r="M1459" s="18" t="n"/>
      <c r="N1459" s="19" t="inlineStr">
        <is>
          <t>Ionic Solutions</t>
        </is>
      </c>
      <c r="O1459" s="20" t="n">
        <v>72000</v>
      </c>
    </row>
    <row r="1460">
      <c r="M1460" s="18" t="n"/>
      <c r="N1460" s="19" t="inlineStr">
        <is>
          <t>Plasmoids</t>
        </is>
      </c>
      <c r="O1460" s="19" t="n">
        <v>480</v>
      </c>
    </row>
    <row r="1461">
      <c r="M1461" s="18" t="n"/>
      <c r="N1461" s="19" t="inlineStr">
        <is>
          <t>Suspended Plasma</t>
        </is>
      </c>
      <c r="O1461" s="20" t="n">
        <v>72000</v>
      </c>
    </row>
    <row r="1462">
      <c r="M1462" s="18" t="n"/>
      <c r="N1462" s="19" t="inlineStr">
        <is>
          <t>Silicate Glass</t>
        </is>
      </c>
      <c r="O1462" s="19" t="n">
        <v>60</v>
      </c>
    </row>
    <row r="1463">
      <c r="M1463" s="18" t="n"/>
      <c r="N1463" s="19" t="inlineStr">
        <is>
          <t>Oxidizing Compound</t>
        </is>
      </c>
      <c r="O1463" s="19" t="n">
        <v>480</v>
      </c>
    </row>
    <row r="1464">
      <c r="M1464" s="18" t="n"/>
      <c r="N1464" s="19" t="inlineStr">
        <is>
          <t>Reactive Gas</t>
        </is>
      </c>
      <c r="O1464" s="20" t="n">
        <v>72000</v>
      </c>
    </row>
    <row r="1465">
      <c r="M1465" s="18" t="n"/>
      <c r="N1465" s="19" t="inlineStr">
        <is>
          <t>Silicon</t>
        </is>
      </c>
      <c r="O1465" s="19" t="n">
        <v>480</v>
      </c>
    </row>
    <row r="1466">
      <c r="M1466" s="18" t="n"/>
      <c r="N1466" s="19" t="inlineStr">
        <is>
          <t>Felsic Magma</t>
        </is>
      </c>
      <c r="O1466" s="20" t="n">
        <v>72000</v>
      </c>
    </row>
    <row r="1467">
      <c r="M1467" s="18" t="n"/>
      <c r="N1467" s="19" t="inlineStr">
        <is>
          <t>Hermetic Membranes</t>
        </is>
      </c>
      <c r="O1467" s="19" t="n">
        <v>18</v>
      </c>
    </row>
    <row r="1468">
      <c r="M1468" s="18" t="n"/>
      <c r="N1468" s="19" t="inlineStr">
        <is>
          <t>Polyaramids</t>
        </is>
      </c>
      <c r="O1468" s="19" t="n">
        <v>60</v>
      </c>
    </row>
    <row r="1469">
      <c r="M1469" s="18" t="n"/>
      <c r="N1469" s="19" t="inlineStr">
        <is>
          <t>Oxidizing Compound</t>
        </is>
      </c>
      <c r="O1469" s="19" t="n">
        <v>480</v>
      </c>
    </row>
    <row r="1470">
      <c r="M1470" s="18" t="n"/>
      <c r="N1470" s="19" t="inlineStr">
        <is>
          <t>Reactive Gas</t>
        </is>
      </c>
      <c r="O1470" s="20" t="n">
        <v>72000</v>
      </c>
    </row>
    <row r="1471">
      <c r="M1471" s="18" t="n"/>
      <c r="N1471" s="19" t="inlineStr">
        <is>
          <t>Industrial Fibers</t>
        </is>
      </c>
      <c r="O1471" s="19" t="n">
        <v>480</v>
      </c>
    </row>
    <row r="1472">
      <c r="M1472" s="18" t="n"/>
      <c r="N1472" s="19" t="inlineStr">
        <is>
          <t>Autotrophs</t>
        </is>
      </c>
      <c r="O1472" s="20" t="n">
        <v>72000</v>
      </c>
    </row>
    <row r="1473">
      <c r="M1473" s="18" t="n"/>
      <c r="N1473" s="19" t="inlineStr">
        <is>
          <t>Genetically Enhanced Livestock</t>
        </is>
      </c>
      <c r="O1473" s="19" t="n">
        <v>60</v>
      </c>
    </row>
    <row r="1474">
      <c r="M1474" s="18" t="n"/>
      <c r="N1474" s="19" t="inlineStr">
        <is>
          <t>Proteins</t>
        </is>
      </c>
      <c r="O1474" s="19" t="n">
        <v>480</v>
      </c>
    </row>
    <row r="1475">
      <c r="M1475" s="18" t="n"/>
      <c r="N1475" s="19" t="inlineStr">
        <is>
          <t>Complex Organisms</t>
        </is>
      </c>
      <c r="O1475" s="20" t="n">
        <v>72000</v>
      </c>
    </row>
    <row r="1476">
      <c r="M1476" s="18" t="n"/>
      <c r="N1476" s="19" t="inlineStr">
        <is>
          <t>Biomass</t>
        </is>
      </c>
      <c r="O1476" s="19" t="n">
        <v>480</v>
      </c>
    </row>
    <row r="1477">
      <c r="M1477" s="18" t="n"/>
      <c r="N1477" s="19" t="inlineStr">
        <is>
          <t>Planktic Colonies</t>
        </is>
      </c>
      <c r="O1477" s="20" t="n">
        <v>72000</v>
      </c>
    </row>
    <row r="1478">
      <c r="M1478" s="13" t="n"/>
      <c r="N1478" s="10" t="inlineStr">
        <is>
          <t>Sterile Conduits</t>
        </is>
      </c>
      <c r="O1478" s="10" t="n">
        <v>3</v>
      </c>
    </row>
    <row r="1479">
      <c r="M1479" s="18" t="n"/>
      <c r="N1479" s="19" t="inlineStr">
        <is>
          <t>Water</t>
        </is>
      </c>
      <c r="O1479" s="19" t="n">
        <v>120</v>
      </c>
    </row>
    <row r="1480">
      <c r="M1480" s="18" t="n"/>
      <c r="N1480" s="19" t="inlineStr">
        <is>
          <t>Aqueous Liquids</t>
        </is>
      </c>
      <c r="O1480" s="20" t="n">
        <v>18000</v>
      </c>
    </row>
    <row r="1481">
      <c r="M1481" s="18" t="n"/>
      <c r="N1481" s="19" t="inlineStr">
        <is>
          <t>Vaccines</t>
        </is>
      </c>
      <c r="O1481" s="19" t="n">
        <v>18</v>
      </c>
    </row>
    <row r="1482">
      <c r="M1482" s="18" t="n"/>
      <c r="N1482" s="19" t="inlineStr">
        <is>
          <t>Livestock</t>
        </is>
      </c>
      <c r="O1482" s="19" t="n">
        <v>60</v>
      </c>
    </row>
    <row r="1483">
      <c r="M1483" s="18" t="n"/>
      <c r="N1483" s="19" t="inlineStr">
        <is>
          <t>Proteins</t>
        </is>
      </c>
      <c r="O1483" s="19" t="n">
        <v>480</v>
      </c>
    </row>
    <row r="1484">
      <c r="M1484" s="18" t="n"/>
      <c r="N1484" s="19" t="inlineStr">
        <is>
          <t>Complex Organisms</t>
        </is>
      </c>
      <c r="O1484" s="20" t="n">
        <v>72000</v>
      </c>
    </row>
    <row r="1485">
      <c r="M1485" s="18" t="n"/>
      <c r="N1485" s="19" t="inlineStr">
        <is>
          <t>Biofuels</t>
        </is>
      </c>
      <c r="O1485" s="19" t="n">
        <v>480</v>
      </c>
    </row>
    <row r="1486">
      <c r="M1486" s="18" t="n"/>
      <c r="N1486" s="19" t="inlineStr">
        <is>
          <t>Carbon Compounds</t>
        </is>
      </c>
      <c r="O1486" s="20" t="n">
        <v>72000</v>
      </c>
    </row>
    <row r="1487">
      <c r="M1487" s="18" t="n"/>
      <c r="N1487" s="19" t="inlineStr">
        <is>
          <t>Viral Agent</t>
        </is>
      </c>
      <c r="O1487" s="19" t="n">
        <v>60</v>
      </c>
    </row>
    <row r="1488">
      <c r="M1488" s="18" t="n"/>
      <c r="N1488" s="19" t="inlineStr">
        <is>
          <t>Bacteria</t>
        </is>
      </c>
      <c r="O1488" s="19" t="n">
        <v>480</v>
      </c>
    </row>
    <row r="1489">
      <c r="M1489" s="18" t="n"/>
      <c r="N1489" s="19" t="inlineStr">
        <is>
          <t>Microorganisms</t>
        </is>
      </c>
      <c r="O1489" s="20" t="n">
        <v>72000</v>
      </c>
    </row>
    <row r="1490">
      <c r="M1490" s="18" t="n"/>
      <c r="N1490" s="19" t="inlineStr">
        <is>
          <t>Biomass</t>
        </is>
      </c>
      <c r="O1490" s="19" t="n">
        <v>480</v>
      </c>
    </row>
    <row r="1491">
      <c r="M1491" s="18" t="n"/>
      <c r="N1491" s="19" t="inlineStr">
        <is>
          <t>Planktic Colonies</t>
        </is>
      </c>
      <c r="O1491" s="20" t="n">
        <v>72000</v>
      </c>
    </row>
    <row r="1492">
      <c r="M1492" s="18" t="n"/>
      <c r="N1492" s="19" t="inlineStr">
        <is>
          <t>Smartfab Units</t>
        </is>
      </c>
      <c r="O1492" s="19" t="n">
        <v>18</v>
      </c>
    </row>
    <row r="1493">
      <c r="M1493" s="18" t="n"/>
      <c r="N1493" s="19" t="inlineStr">
        <is>
          <t>Miniature Electronics</t>
        </is>
      </c>
      <c r="O1493" s="19" t="n">
        <v>60</v>
      </c>
    </row>
    <row r="1494">
      <c r="M1494" s="18" t="n"/>
      <c r="N1494" s="19" t="inlineStr">
        <is>
          <t>Chiral Structures</t>
        </is>
      </c>
      <c r="O1494" s="19" t="n">
        <v>480</v>
      </c>
    </row>
    <row r="1495">
      <c r="M1495" s="18" t="n"/>
      <c r="N1495" s="19" t="inlineStr">
        <is>
          <t>Non-CS Crystals</t>
        </is>
      </c>
      <c r="O1495" s="20" t="n">
        <v>72000</v>
      </c>
    </row>
    <row r="1496">
      <c r="M1496" s="18" t="n"/>
      <c r="N1496" s="19" t="inlineStr">
        <is>
          <t>Silicon</t>
        </is>
      </c>
      <c r="O1496" s="19" t="n">
        <v>480</v>
      </c>
    </row>
    <row r="1497">
      <c r="M1497" s="18" t="n"/>
      <c r="N1497" s="19" t="inlineStr">
        <is>
          <t>Felsic Magma</t>
        </is>
      </c>
      <c r="O1497" s="20" t="n">
        <v>72000</v>
      </c>
    </row>
    <row r="1498">
      <c r="M1498" s="18" t="n"/>
      <c r="N1498" s="19" t="inlineStr">
        <is>
          <t>Construction Blocks</t>
        </is>
      </c>
      <c r="O1498" s="19" t="n">
        <v>60</v>
      </c>
    </row>
    <row r="1499">
      <c r="M1499" s="18" t="n"/>
      <c r="N1499" s="19" t="inlineStr">
        <is>
          <t>Toxic Metals</t>
        </is>
      </c>
      <c r="O1499" s="19" t="n">
        <v>480</v>
      </c>
    </row>
    <row r="1500">
      <c r="M1500" s="18" t="n"/>
      <c r="N1500" s="19" t="inlineStr">
        <is>
          <t>Heavy Metals</t>
        </is>
      </c>
      <c r="O1500" s="20" t="n">
        <v>72000</v>
      </c>
    </row>
    <row r="1501">
      <c r="M1501" s="18" t="n"/>
      <c r="N1501" s="19" t="inlineStr">
        <is>
          <t>Reactive Metals</t>
        </is>
      </c>
      <c r="O1501" s="19" t="n">
        <v>480</v>
      </c>
    </row>
    <row r="1502">
      <c r="M1502" s="18" t="n"/>
      <c r="N1502" s="19" t="inlineStr">
        <is>
          <t>Base Metals</t>
        </is>
      </c>
      <c r="O1502" s="20" t="n">
        <v>72000</v>
      </c>
    </row>
    <row r="1503">
      <c r="M1503" s="13" t="n"/>
      <c r="N1503" s="10" t="inlineStr">
        <is>
          <t>Structure Market Network</t>
        </is>
      </c>
      <c r="O1503" s="10" t="n">
        <v>4</v>
      </c>
    </row>
    <row r="1504">
      <c r="M1504" s="13" t="n"/>
      <c r="N1504" s="10" t="inlineStr">
        <is>
          <t>Tritanium</t>
        </is>
      </c>
      <c r="O1504" s="17" t="n">
        <v>5400000</v>
      </c>
    </row>
    <row r="1505">
      <c r="M1505" s="13" t="n"/>
      <c r="N1505" s="10" t="inlineStr">
        <is>
          <t>Pyerite</t>
        </is>
      </c>
      <c r="O1505" s="17" t="n">
        <v>1080000</v>
      </c>
    </row>
    <row r="1506">
      <c r="M1506" s="13" t="n"/>
      <c r="N1506" s="10" t="inlineStr">
        <is>
          <t>Mexallon</t>
        </is>
      </c>
      <c r="O1506" s="17" t="n">
        <v>378000</v>
      </c>
    </row>
    <row r="1507">
      <c r="M1507" s="13" t="n"/>
      <c r="N1507" s="10" t="inlineStr">
        <is>
          <t>Isogen</t>
        </is>
      </c>
      <c r="O1507" s="17" t="n">
        <v>43200</v>
      </c>
    </row>
    <row r="1508">
      <c r="M1508" s="13" t="n"/>
      <c r="N1508" s="10" t="inlineStr">
        <is>
          <t>Nocxium</t>
        </is>
      </c>
      <c r="O1508" s="17" t="n">
        <v>8100</v>
      </c>
    </row>
    <row r="1509">
      <c r="M1509" s="13" t="n"/>
      <c r="N1509" s="10" t="inlineStr">
        <is>
          <t>Zydrine</t>
        </is>
      </c>
      <c r="O1509" s="17" t="n">
        <v>3780</v>
      </c>
    </row>
    <row r="1510">
      <c r="M1510" s="13" t="n"/>
      <c r="N1510" s="10" t="inlineStr">
        <is>
          <t>Megacyte</t>
        </is>
      </c>
      <c r="O1510" s="17" t="n">
        <v>1620</v>
      </c>
    </row>
    <row r="1511">
      <c r="M1511" s="13" t="n"/>
      <c r="N1511" s="10" t="inlineStr">
        <is>
          <t>Broadcast Node</t>
        </is>
      </c>
      <c r="O1511" s="10" t="n">
        <v>54</v>
      </c>
    </row>
    <row r="1512">
      <c r="M1512" s="18" t="n"/>
      <c r="N1512" s="19" t="inlineStr">
        <is>
          <t>Data Chips</t>
        </is>
      </c>
      <c r="O1512" s="19" t="n">
        <v>324</v>
      </c>
    </row>
    <row r="1513">
      <c r="M1513" s="18" t="n"/>
      <c r="N1513" s="19" t="inlineStr">
        <is>
          <t>Supertensile Plastics</t>
        </is>
      </c>
      <c r="O1513" s="20" t="n">
        <v>1080</v>
      </c>
    </row>
    <row r="1514">
      <c r="M1514" s="18" t="n"/>
      <c r="N1514" s="19" t="inlineStr">
        <is>
          <t>Oxygen</t>
        </is>
      </c>
      <c r="O1514" s="20" t="n">
        <v>8640</v>
      </c>
    </row>
    <row r="1515">
      <c r="M1515" s="18" t="n"/>
      <c r="N1515" s="19" t="inlineStr">
        <is>
          <t>Noble Gas</t>
        </is>
      </c>
      <c r="O1515" s="20" t="n">
        <v>1296000</v>
      </c>
    </row>
    <row r="1516">
      <c r="M1516" s="18" t="n"/>
      <c r="N1516" s="19" t="inlineStr">
        <is>
          <t>Biomass</t>
        </is>
      </c>
      <c r="O1516" s="20" t="n">
        <v>8640</v>
      </c>
    </row>
    <row r="1517">
      <c r="M1517" s="18" t="n"/>
      <c r="N1517" s="19" t="inlineStr">
        <is>
          <t>Planktic Colonies</t>
        </is>
      </c>
      <c r="O1517" s="20" t="n">
        <v>1296000</v>
      </c>
    </row>
    <row r="1518">
      <c r="M1518" s="18" t="n"/>
      <c r="N1518" s="19" t="inlineStr">
        <is>
          <t>Microfiber Shielding</t>
        </is>
      </c>
      <c r="O1518" s="20" t="n">
        <v>1080</v>
      </c>
    </row>
    <row r="1519">
      <c r="M1519" s="18" t="n"/>
      <c r="N1519" s="19" t="inlineStr">
        <is>
          <t>Silicon</t>
        </is>
      </c>
      <c r="O1519" s="20" t="n">
        <v>8640</v>
      </c>
    </row>
    <row r="1520">
      <c r="M1520" s="18" t="n"/>
      <c r="N1520" s="19" t="inlineStr">
        <is>
          <t>Felsic Magma</t>
        </is>
      </c>
      <c r="O1520" s="20" t="n">
        <v>1296000</v>
      </c>
    </row>
    <row r="1521">
      <c r="M1521" s="18" t="n"/>
      <c r="N1521" s="19" t="inlineStr">
        <is>
          <t>Industrial Fibers</t>
        </is>
      </c>
      <c r="O1521" s="20" t="n">
        <v>8640</v>
      </c>
    </row>
    <row r="1522">
      <c r="M1522" s="18" t="n"/>
      <c r="N1522" s="19" t="inlineStr">
        <is>
          <t>Autotrophs</t>
        </is>
      </c>
      <c r="O1522" s="20" t="n">
        <v>1296000</v>
      </c>
    </row>
    <row r="1523">
      <c r="M1523" s="18" t="n"/>
      <c r="N1523" s="19" t="inlineStr">
        <is>
          <t>Neocoms</t>
        </is>
      </c>
      <c r="O1523" s="19" t="n">
        <v>324</v>
      </c>
    </row>
    <row r="1524">
      <c r="M1524" s="18" t="n"/>
      <c r="N1524" s="19" t="inlineStr">
        <is>
          <t>Biocells</t>
        </is>
      </c>
      <c r="O1524" s="20" t="n">
        <v>1080</v>
      </c>
    </row>
    <row r="1525">
      <c r="M1525" s="18" t="n"/>
      <c r="N1525" s="19" t="inlineStr">
        <is>
          <t>Biofuels</t>
        </is>
      </c>
      <c r="O1525" s="20" t="n">
        <v>8640</v>
      </c>
    </row>
    <row r="1526">
      <c r="M1526" s="18" t="n"/>
      <c r="N1526" s="19" t="inlineStr">
        <is>
          <t>Carbon Compounds</t>
        </is>
      </c>
      <c r="O1526" s="20" t="n">
        <v>1296000</v>
      </c>
    </row>
    <row r="1527">
      <c r="M1527" s="18" t="n"/>
      <c r="N1527" s="19" t="inlineStr">
        <is>
          <t>Precious Metals</t>
        </is>
      </c>
      <c r="O1527" s="20" t="n">
        <v>8640</v>
      </c>
    </row>
    <row r="1528">
      <c r="M1528" s="18" t="n"/>
      <c r="N1528" s="19" t="inlineStr">
        <is>
          <t>Noble Metals</t>
        </is>
      </c>
      <c r="O1528" s="20" t="n">
        <v>1296000</v>
      </c>
    </row>
    <row r="1529">
      <c r="M1529" s="18" t="n"/>
      <c r="N1529" s="19" t="inlineStr">
        <is>
          <t>Silicate Glass</t>
        </is>
      </c>
      <c r="O1529" s="20" t="n">
        <v>1080</v>
      </c>
    </row>
    <row r="1530">
      <c r="M1530" s="18" t="n"/>
      <c r="N1530" s="19" t="inlineStr">
        <is>
          <t>Oxidizing Compound</t>
        </is>
      </c>
      <c r="O1530" s="20" t="n">
        <v>8640</v>
      </c>
    </row>
    <row r="1531">
      <c r="M1531" s="18" t="n"/>
      <c r="N1531" s="19" t="inlineStr">
        <is>
          <t>Reactive Gas</t>
        </is>
      </c>
      <c r="O1531" s="20" t="n">
        <v>1296000</v>
      </c>
    </row>
    <row r="1532">
      <c r="M1532" s="18" t="n"/>
      <c r="N1532" s="19" t="inlineStr">
        <is>
          <t>Silicon</t>
        </is>
      </c>
      <c r="O1532" s="20" t="n">
        <v>8640</v>
      </c>
    </row>
    <row r="1533">
      <c r="M1533" s="18" t="n"/>
      <c r="N1533" s="19" t="inlineStr">
        <is>
          <t>Felsic Magma</t>
        </is>
      </c>
      <c r="O1533" s="20" t="n">
        <v>1296000</v>
      </c>
    </row>
    <row r="1534">
      <c r="M1534" s="18" t="n"/>
      <c r="N1534" s="19" t="inlineStr">
        <is>
          <t>High-Tech Transmitters</t>
        </is>
      </c>
      <c r="O1534" s="19" t="n">
        <v>324</v>
      </c>
    </row>
    <row r="1535">
      <c r="M1535" s="18" t="n"/>
      <c r="N1535" s="19" t="inlineStr">
        <is>
          <t>Transmitter</t>
        </is>
      </c>
      <c r="O1535" s="20" t="n">
        <v>1080</v>
      </c>
    </row>
    <row r="1536">
      <c r="M1536" s="18" t="n"/>
      <c r="N1536" s="19" t="inlineStr">
        <is>
          <t>Chiral Structures</t>
        </is>
      </c>
      <c r="O1536" s="20" t="n">
        <v>8640</v>
      </c>
    </row>
    <row r="1537">
      <c r="M1537" s="18" t="n"/>
      <c r="N1537" s="19" t="inlineStr">
        <is>
          <t>Non-CS Crystals</t>
        </is>
      </c>
      <c r="O1537" s="20" t="n">
        <v>1296000</v>
      </c>
    </row>
    <row r="1538">
      <c r="M1538" s="18" t="n"/>
      <c r="N1538" s="19" t="inlineStr">
        <is>
          <t>Plasmoids</t>
        </is>
      </c>
      <c r="O1538" s="20" t="n">
        <v>8640</v>
      </c>
    </row>
    <row r="1539">
      <c r="M1539" s="18" t="n"/>
      <c r="N1539" s="19" t="inlineStr">
        <is>
          <t>Suspended Plasma</t>
        </is>
      </c>
      <c r="O1539" s="20" t="n">
        <v>1296000</v>
      </c>
    </row>
    <row r="1540">
      <c r="M1540" s="18" t="n"/>
      <c r="N1540" s="19" t="inlineStr">
        <is>
          <t>Polyaramids</t>
        </is>
      </c>
      <c r="O1540" s="20" t="n">
        <v>1080</v>
      </c>
    </row>
    <row r="1541">
      <c r="M1541" s="18" t="n"/>
      <c r="N1541" s="19" t="inlineStr">
        <is>
          <t>Oxidizing Compound</t>
        </is>
      </c>
      <c r="O1541" s="20" t="n">
        <v>8640</v>
      </c>
    </row>
    <row r="1542">
      <c r="M1542" s="18" t="n"/>
      <c r="N1542" s="19" t="inlineStr">
        <is>
          <t>Reactive Gas</t>
        </is>
      </c>
      <c r="O1542" s="20" t="n">
        <v>1296000</v>
      </c>
    </row>
    <row r="1543">
      <c r="M1543" s="18" t="n"/>
      <c r="N1543" s="19" t="inlineStr">
        <is>
          <t>Industrial Fibers</t>
        </is>
      </c>
      <c r="O1543" s="20" t="n">
        <v>8640</v>
      </c>
    </row>
    <row r="1544">
      <c r="M1544" s="18" t="n"/>
      <c r="N1544" s="19" t="inlineStr">
        <is>
          <t>Autotrophs</t>
        </is>
      </c>
      <c r="O1544" s="20" t="n">
        <v>1296000</v>
      </c>
    </row>
    <row r="1545">
      <c r="M1545" s="13" t="n"/>
      <c r="N1545" s="10" t="inlineStr">
        <is>
          <t>Nano-Factory</t>
        </is>
      </c>
      <c r="O1545" s="10" t="n">
        <v>36</v>
      </c>
    </row>
    <row r="1546">
      <c r="M1546" s="18" t="n"/>
      <c r="N1546" s="19" t="inlineStr">
        <is>
          <t>Industrial Explosives</t>
        </is>
      </c>
      <c r="O1546" s="19" t="n">
        <v>216</v>
      </c>
    </row>
    <row r="1547">
      <c r="M1547" s="18" t="n"/>
      <c r="N1547" s="19" t="inlineStr">
        <is>
          <t>Fertilizer</t>
        </is>
      </c>
      <c r="O1547" s="19" t="n">
        <v>720</v>
      </c>
    </row>
    <row r="1548">
      <c r="M1548" s="18" t="n"/>
      <c r="N1548" s="19" t="inlineStr">
        <is>
          <t>Bacteria</t>
        </is>
      </c>
      <c r="O1548" s="20" t="n">
        <v>5760</v>
      </c>
    </row>
    <row r="1549">
      <c r="M1549" s="18" t="n"/>
      <c r="N1549" s="19" t="inlineStr">
        <is>
          <t>Microorganisms</t>
        </is>
      </c>
      <c r="O1549" s="20" t="n">
        <v>864000</v>
      </c>
    </row>
    <row r="1550">
      <c r="M1550" s="18" t="n"/>
      <c r="N1550" s="19" t="inlineStr">
        <is>
          <t>Proteins</t>
        </is>
      </c>
      <c r="O1550" s="20" t="n">
        <v>5760</v>
      </c>
    </row>
    <row r="1551">
      <c r="M1551" s="18" t="n"/>
      <c r="N1551" s="19" t="inlineStr">
        <is>
          <t>Complex Organisms</t>
        </is>
      </c>
      <c r="O1551" s="20" t="n">
        <v>864000</v>
      </c>
    </row>
    <row r="1552">
      <c r="M1552" s="18" t="n"/>
      <c r="N1552" s="19" t="inlineStr">
        <is>
          <t>Polytextiles</t>
        </is>
      </c>
      <c r="O1552" s="19" t="n">
        <v>720</v>
      </c>
    </row>
    <row r="1553">
      <c r="M1553" s="18" t="n"/>
      <c r="N1553" s="19" t="inlineStr">
        <is>
          <t>Biofuels</t>
        </is>
      </c>
      <c r="O1553" s="20" t="n">
        <v>5760</v>
      </c>
    </row>
    <row r="1554">
      <c r="M1554" s="18" t="n"/>
      <c r="N1554" s="19" t="inlineStr">
        <is>
          <t>Carbon Compounds</t>
        </is>
      </c>
      <c r="O1554" s="20" t="n">
        <v>864000</v>
      </c>
    </row>
    <row r="1555">
      <c r="M1555" s="18" t="n"/>
      <c r="N1555" s="19" t="inlineStr">
        <is>
          <t>Industrial Fibers</t>
        </is>
      </c>
      <c r="O1555" s="20" t="n">
        <v>5760</v>
      </c>
    </row>
    <row r="1556">
      <c r="M1556" s="18" t="n"/>
      <c r="N1556" s="19" t="inlineStr">
        <is>
          <t>Autotrophs</t>
        </is>
      </c>
      <c r="O1556" s="20" t="n">
        <v>864000</v>
      </c>
    </row>
    <row r="1557">
      <c r="M1557" s="18" t="n"/>
      <c r="N1557" s="19" t="inlineStr">
        <is>
          <t>Ukomi Superconductors</t>
        </is>
      </c>
      <c r="O1557" s="19" t="n">
        <v>216</v>
      </c>
    </row>
    <row r="1558">
      <c r="M1558" s="18" t="n"/>
      <c r="N1558" s="19" t="inlineStr">
        <is>
          <t>Synthetic Oil</t>
        </is>
      </c>
      <c r="O1558" s="19" t="n">
        <v>720</v>
      </c>
    </row>
    <row r="1559">
      <c r="M1559" s="18" t="n"/>
      <c r="N1559" s="19" t="inlineStr">
        <is>
          <t>Oxygen</t>
        </is>
      </c>
      <c r="O1559" s="20" t="n">
        <v>5760</v>
      </c>
    </row>
    <row r="1560">
      <c r="M1560" s="18" t="n"/>
      <c r="N1560" s="19" t="inlineStr">
        <is>
          <t>Noble Gas</t>
        </is>
      </c>
      <c r="O1560" s="20" t="n">
        <v>864000</v>
      </c>
    </row>
    <row r="1561">
      <c r="M1561" s="18" t="n"/>
      <c r="N1561" s="19" t="inlineStr">
        <is>
          <t>Electrolytes</t>
        </is>
      </c>
      <c r="O1561" s="20" t="n">
        <v>5760</v>
      </c>
    </row>
    <row r="1562">
      <c r="M1562" s="18" t="n"/>
      <c r="N1562" s="19" t="inlineStr">
        <is>
          <t>Ionic Solutions</t>
        </is>
      </c>
      <c r="O1562" s="20" t="n">
        <v>864000</v>
      </c>
    </row>
    <row r="1563">
      <c r="M1563" s="18" t="n"/>
      <c r="N1563" s="19" t="inlineStr">
        <is>
          <t>Superconductors</t>
        </is>
      </c>
      <c r="O1563" s="19" t="n">
        <v>720</v>
      </c>
    </row>
    <row r="1564">
      <c r="M1564" s="18" t="n"/>
      <c r="N1564" s="19" t="inlineStr">
        <is>
          <t>Plasmoids</t>
        </is>
      </c>
      <c r="O1564" s="20" t="n">
        <v>5760</v>
      </c>
    </row>
    <row r="1565">
      <c r="M1565" s="18" t="n"/>
      <c r="N1565" s="19" t="inlineStr">
        <is>
          <t>Suspended Plasma</t>
        </is>
      </c>
      <c r="O1565" s="20" t="n">
        <v>864000</v>
      </c>
    </row>
    <row r="1566">
      <c r="M1566" s="18" t="n"/>
      <c r="N1566" s="19" t="inlineStr">
        <is>
          <t>Water</t>
        </is>
      </c>
      <c r="O1566" s="20" t="n">
        <v>5760</v>
      </c>
    </row>
    <row r="1567">
      <c r="M1567" s="18" t="n"/>
      <c r="N1567" s="19" t="inlineStr">
        <is>
          <t>Aqueous Liquids</t>
        </is>
      </c>
      <c r="O1567" s="20" t="n">
        <v>864000</v>
      </c>
    </row>
    <row r="1568">
      <c r="M1568" s="18" t="n"/>
      <c r="N1568" s="19" t="inlineStr">
        <is>
          <t>Reactive Metals</t>
        </is>
      </c>
      <c r="O1568" s="20" t="n">
        <v>1440</v>
      </c>
    </row>
    <row r="1569">
      <c r="M1569" s="18" t="n"/>
      <c r="N1569" s="19" t="inlineStr">
        <is>
          <t>Base Metals</t>
        </is>
      </c>
      <c r="O1569" s="20" t="n">
        <v>216000</v>
      </c>
    </row>
    <row r="1570">
      <c r="M1570" s="13" t="n"/>
      <c r="N1570" s="10" t="inlineStr">
        <is>
          <t>Organic Mortar Applicators</t>
        </is>
      </c>
      <c r="O1570" s="10" t="n">
        <v>36</v>
      </c>
    </row>
    <row r="1571">
      <c r="M1571" s="18" t="n"/>
      <c r="N1571" s="19" t="inlineStr">
        <is>
          <t>Condensates</t>
        </is>
      </c>
      <c r="O1571" s="19" t="n">
        <v>216</v>
      </c>
    </row>
    <row r="1572">
      <c r="M1572" s="18" t="n"/>
      <c r="N1572" s="19" t="inlineStr">
        <is>
          <t>Coolant</t>
        </is>
      </c>
      <c r="O1572" s="19" t="n">
        <v>720</v>
      </c>
    </row>
    <row r="1573">
      <c r="M1573" s="18" t="n"/>
      <c r="N1573" s="19" t="inlineStr">
        <is>
          <t>Water</t>
        </is>
      </c>
      <c r="O1573" s="20" t="n">
        <v>5760</v>
      </c>
    </row>
    <row r="1574">
      <c r="M1574" s="18" t="n"/>
      <c r="N1574" s="19" t="inlineStr">
        <is>
          <t>Aqueous Liquids</t>
        </is>
      </c>
      <c r="O1574" s="20" t="n">
        <v>864000</v>
      </c>
    </row>
    <row r="1575">
      <c r="M1575" s="18" t="n"/>
      <c r="N1575" s="19" t="inlineStr">
        <is>
          <t>Electrolytes</t>
        </is>
      </c>
      <c r="O1575" s="20" t="n">
        <v>5760</v>
      </c>
    </row>
    <row r="1576">
      <c r="M1576" s="18" t="n"/>
      <c r="N1576" s="19" t="inlineStr">
        <is>
          <t>Ionic Solutions</t>
        </is>
      </c>
      <c r="O1576" s="20" t="n">
        <v>864000</v>
      </c>
    </row>
    <row r="1577">
      <c r="M1577" s="18" t="n"/>
      <c r="N1577" s="19" t="inlineStr">
        <is>
          <t>Oxides</t>
        </is>
      </c>
      <c r="O1577" s="19" t="n">
        <v>720</v>
      </c>
    </row>
    <row r="1578">
      <c r="M1578" s="18" t="n"/>
      <c r="N1578" s="19" t="inlineStr">
        <is>
          <t>Oxidizing Compound</t>
        </is>
      </c>
      <c r="O1578" s="20" t="n">
        <v>5760</v>
      </c>
    </row>
    <row r="1579">
      <c r="M1579" s="18" t="n"/>
      <c r="N1579" s="19" t="inlineStr">
        <is>
          <t>Reactive Gas</t>
        </is>
      </c>
      <c r="O1579" s="20" t="n">
        <v>864000</v>
      </c>
    </row>
    <row r="1580">
      <c r="M1580" s="18" t="n"/>
      <c r="N1580" s="19" t="inlineStr">
        <is>
          <t>Oxygen</t>
        </is>
      </c>
      <c r="O1580" s="20" t="n">
        <v>5760</v>
      </c>
    </row>
    <row r="1581">
      <c r="M1581" s="18" t="n"/>
      <c r="N1581" s="19" t="inlineStr">
        <is>
          <t>Noble Gas</t>
        </is>
      </c>
      <c r="O1581" s="20" t="n">
        <v>864000</v>
      </c>
    </row>
    <row r="1582">
      <c r="M1582" s="18" t="n"/>
      <c r="N1582" s="19" t="inlineStr">
        <is>
          <t>Bacteria</t>
        </is>
      </c>
      <c r="O1582" s="20" t="n">
        <v>1440</v>
      </c>
    </row>
    <row r="1583">
      <c r="M1583" s="18" t="n"/>
      <c r="N1583" s="19" t="inlineStr">
        <is>
          <t>Microorganisms</t>
        </is>
      </c>
      <c r="O1583" s="20" t="n">
        <v>216000</v>
      </c>
    </row>
    <row r="1584">
      <c r="M1584" s="18" t="n"/>
      <c r="N1584" s="19" t="inlineStr">
        <is>
          <t>Robotics</t>
        </is>
      </c>
      <c r="O1584" s="19" t="n">
        <v>216</v>
      </c>
    </row>
    <row r="1585">
      <c r="M1585" s="18" t="n"/>
      <c r="N1585" s="19" t="inlineStr">
        <is>
          <t>Mechanical Parts</t>
        </is>
      </c>
      <c r="O1585" s="19" t="n">
        <v>720</v>
      </c>
    </row>
    <row r="1586">
      <c r="M1586" s="18" t="n"/>
      <c r="N1586" s="19" t="inlineStr">
        <is>
          <t>Reactive Metals</t>
        </is>
      </c>
      <c r="O1586" s="20" t="n">
        <v>5760</v>
      </c>
    </row>
    <row r="1587">
      <c r="M1587" s="18" t="n"/>
      <c r="N1587" s="19" t="inlineStr">
        <is>
          <t>Base Metals</t>
        </is>
      </c>
      <c r="O1587" s="20" t="n">
        <v>864000</v>
      </c>
    </row>
    <row r="1588">
      <c r="M1588" s="18" t="n"/>
      <c r="N1588" s="19" t="inlineStr">
        <is>
          <t>Precious Metals</t>
        </is>
      </c>
      <c r="O1588" s="20" t="n">
        <v>5760</v>
      </c>
    </row>
    <row r="1589">
      <c r="M1589" s="18" t="n"/>
      <c r="N1589" s="19" t="inlineStr">
        <is>
          <t>Noble Metals</t>
        </is>
      </c>
      <c r="O1589" s="20" t="n">
        <v>864000</v>
      </c>
    </row>
    <row r="1590">
      <c r="M1590" s="18" t="n"/>
      <c r="N1590" s="19" t="inlineStr">
        <is>
          <t>Consumer Electronics</t>
        </is>
      </c>
      <c r="O1590" s="19" t="n">
        <v>720</v>
      </c>
    </row>
    <row r="1591">
      <c r="M1591" s="18" t="n"/>
      <c r="N1591" s="19" t="inlineStr">
        <is>
          <t>Toxic Metals</t>
        </is>
      </c>
      <c r="O1591" s="20" t="n">
        <v>5760</v>
      </c>
    </row>
    <row r="1592">
      <c r="M1592" s="18" t="n"/>
      <c r="N1592" s="19" t="inlineStr">
        <is>
          <t>Heavy Metals</t>
        </is>
      </c>
      <c r="O1592" s="20" t="n">
        <v>864000</v>
      </c>
    </row>
    <row r="1593">
      <c r="M1593" s="18" t="n"/>
      <c r="N1593" s="19" t="inlineStr">
        <is>
          <t>Chiral Structures</t>
        </is>
      </c>
      <c r="O1593" s="20" t="n">
        <v>5760</v>
      </c>
    </row>
    <row r="1594">
      <c r="M1594" s="18" t="n"/>
      <c r="N1594" s="19" t="inlineStr">
        <is>
          <t>Non-CS Crystals</t>
        </is>
      </c>
      <c r="O1594" s="20" t="n">
        <v>864000</v>
      </c>
    </row>
    <row r="1595">
      <c r="M1595" s="13" t="n"/>
      <c r="N1595" s="10" t="inlineStr">
        <is>
          <t>Recursive Computing Module</t>
        </is>
      </c>
      <c r="O1595" s="10" t="n">
        <v>18</v>
      </c>
    </row>
    <row r="1596">
      <c r="M1596" s="18" t="n"/>
      <c r="N1596" s="19" t="inlineStr">
        <is>
          <t>Synthetic Synapses</t>
        </is>
      </c>
      <c r="O1596" s="19" t="n">
        <v>108</v>
      </c>
    </row>
    <row r="1597">
      <c r="M1597" s="18" t="n"/>
      <c r="N1597" s="19" t="inlineStr">
        <is>
          <t>Supertensile Plastics</t>
        </is>
      </c>
      <c r="O1597" s="19" t="n">
        <v>360</v>
      </c>
    </row>
    <row r="1598">
      <c r="M1598" s="18" t="n"/>
      <c r="N1598" s="19" t="inlineStr">
        <is>
          <t>Oxygen</t>
        </is>
      </c>
      <c r="O1598" s="20" t="n">
        <v>2880</v>
      </c>
    </row>
    <row r="1599">
      <c r="M1599" s="18" t="n"/>
      <c r="N1599" s="19" t="inlineStr">
        <is>
          <t>Noble Gas</t>
        </is>
      </c>
      <c r="O1599" s="20" t="n">
        <v>432000</v>
      </c>
    </row>
    <row r="1600">
      <c r="M1600" s="18" t="n"/>
      <c r="N1600" s="19" t="inlineStr">
        <is>
          <t>Biomass</t>
        </is>
      </c>
      <c r="O1600" s="20" t="n">
        <v>2880</v>
      </c>
    </row>
    <row r="1601">
      <c r="M1601" s="18" t="n"/>
      <c r="N1601" s="19" t="inlineStr">
        <is>
          <t>Planktic Colonies</t>
        </is>
      </c>
      <c r="O1601" s="20" t="n">
        <v>432000</v>
      </c>
    </row>
    <row r="1602">
      <c r="M1602" s="18" t="n"/>
      <c r="N1602" s="19" t="inlineStr">
        <is>
          <t>Test Cultures</t>
        </is>
      </c>
      <c r="O1602" s="19" t="n">
        <v>360</v>
      </c>
    </row>
    <row r="1603">
      <c r="M1603" s="18" t="n"/>
      <c r="N1603" s="19" t="inlineStr">
        <is>
          <t>Bacteria</t>
        </is>
      </c>
      <c r="O1603" s="20" t="n">
        <v>2880</v>
      </c>
    </row>
    <row r="1604">
      <c r="M1604" s="18" t="n"/>
      <c r="N1604" s="19" t="inlineStr">
        <is>
          <t>Microorganisms</t>
        </is>
      </c>
      <c r="O1604" s="20" t="n">
        <v>432000</v>
      </c>
    </row>
    <row r="1605">
      <c r="M1605" s="18" t="n"/>
      <c r="N1605" s="19" t="inlineStr">
        <is>
          <t>Water</t>
        </is>
      </c>
      <c r="O1605" s="20" t="n">
        <v>2880</v>
      </c>
    </row>
    <row r="1606">
      <c r="M1606" s="18" t="n"/>
      <c r="N1606" s="19" t="inlineStr">
        <is>
          <t>Aqueous Liquids</t>
        </is>
      </c>
      <c r="O1606" s="20" t="n">
        <v>432000</v>
      </c>
    </row>
    <row r="1607">
      <c r="M1607" s="18" t="n"/>
      <c r="N1607" s="19" t="inlineStr">
        <is>
          <t>Transcranial Microcontrollers</t>
        </is>
      </c>
      <c r="O1607" s="19" t="n">
        <v>108</v>
      </c>
    </row>
    <row r="1608">
      <c r="M1608" s="18" t="n"/>
      <c r="N1608" s="19" t="inlineStr">
        <is>
          <t>Biocells</t>
        </is>
      </c>
      <c r="O1608" s="19" t="n">
        <v>360</v>
      </c>
    </row>
    <row r="1609">
      <c r="M1609" s="18" t="n"/>
      <c r="N1609" s="19" t="inlineStr">
        <is>
          <t>Biofuels</t>
        </is>
      </c>
      <c r="O1609" s="20" t="n">
        <v>2880</v>
      </c>
    </row>
    <row r="1610">
      <c r="M1610" s="18" t="n"/>
      <c r="N1610" s="19" t="inlineStr">
        <is>
          <t>Carbon Compounds</t>
        </is>
      </c>
      <c r="O1610" s="20" t="n">
        <v>432000</v>
      </c>
    </row>
    <row r="1611">
      <c r="M1611" s="18" t="n"/>
      <c r="N1611" s="19" t="inlineStr">
        <is>
          <t>Precious Metals</t>
        </is>
      </c>
      <c r="O1611" s="20" t="n">
        <v>2880</v>
      </c>
    </row>
    <row r="1612">
      <c r="M1612" s="18" t="n"/>
      <c r="N1612" s="19" t="inlineStr">
        <is>
          <t>Noble Metals</t>
        </is>
      </c>
      <c r="O1612" s="20" t="n">
        <v>432000</v>
      </c>
    </row>
    <row r="1613">
      <c r="M1613" s="18" t="n"/>
      <c r="N1613" s="19" t="inlineStr">
        <is>
          <t>Nanites</t>
        </is>
      </c>
      <c r="O1613" s="19" t="n">
        <v>360</v>
      </c>
    </row>
    <row r="1614">
      <c r="M1614" s="18" t="n"/>
      <c r="N1614" s="19" t="inlineStr">
        <is>
          <t>Bacteria</t>
        </is>
      </c>
      <c r="O1614" s="20" t="n">
        <v>2880</v>
      </c>
    </row>
    <row r="1615">
      <c r="M1615" s="18" t="n"/>
      <c r="N1615" s="19" t="inlineStr">
        <is>
          <t>Microorganisms</t>
        </is>
      </c>
      <c r="O1615" s="20" t="n">
        <v>432000</v>
      </c>
    </row>
    <row r="1616">
      <c r="M1616" s="18" t="n"/>
      <c r="N1616" s="19" t="inlineStr">
        <is>
          <t>Reactive Metals</t>
        </is>
      </c>
      <c r="O1616" s="20" t="n">
        <v>2880</v>
      </c>
    </row>
    <row r="1617">
      <c r="M1617" s="18" t="n"/>
      <c r="N1617" s="19" t="inlineStr">
        <is>
          <t>Base Metals</t>
        </is>
      </c>
      <c r="O1617" s="20" t="n">
        <v>432000</v>
      </c>
    </row>
    <row r="1618">
      <c r="M1618" s="18" t="n"/>
      <c r="N1618" s="19" t="inlineStr">
        <is>
          <t>Guidance Systems</t>
        </is>
      </c>
      <c r="O1618" s="19" t="n">
        <v>108</v>
      </c>
    </row>
    <row r="1619">
      <c r="M1619" s="18" t="n"/>
      <c r="N1619" s="19" t="inlineStr">
        <is>
          <t>Water-Cooled CPU</t>
        </is>
      </c>
      <c r="O1619" s="19" t="n">
        <v>360</v>
      </c>
    </row>
    <row r="1620">
      <c r="M1620" s="18" t="n"/>
      <c r="N1620" s="19" t="inlineStr">
        <is>
          <t>Water</t>
        </is>
      </c>
      <c r="O1620" s="20" t="n">
        <v>2880</v>
      </c>
    </row>
    <row r="1621">
      <c r="M1621" s="18" t="n"/>
      <c r="N1621" s="19" t="inlineStr">
        <is>
          <t>Aqueous Liquids</t>
        </is>
      </c>
      <c r="O1621" s="20" t="n">
        <v>432000</v>
      </c>
    </row>
    <row r="1622">
      <c r="M1622" s="18" t="n"/>
      <c r="N1622" s="19" t="inlineStr">
        <is>
          <t>Reactive Metals</t>
        </is>
      </c>
      <c r="O1622" s="20" t="n">
        <v>2880</v>
      </c>
    </row>
    <row r="1623">
      <c r="M1623" s="18" t="n"/>
      <c r="N1623" s="19" t="inlineStr">
        <is>
          <t>Base Metals</t>
        </is>
      </c>
      <c r="O1623" s="20" t="n">
        <v>432000</v>
      </c>
    </row>
    <row r="1624">
      <c r="M1624" s="18" t="n"/>
      <c r="N1624" s="19" t="inlineStr">
        <is>
          <t>Transmitter</t>
        </is>
      </c>
      <c r="O1624" s="19" t="n">
        <v>360</v>
      </c>
    </row>
    <row r="1625">
      <c r="M1625" s="18" t="n"/>
      <c r="N1625" s="19" t="inlineStr">
        <is>
          <t>Chiral Structures</t>
        </is>
      </c>
      <c r="O1625" s="20" t="n">
        <v>2880</v>
      </c>
    </row>
    <row r="1626">
      <c r="M1626" s="18" t="n"/>
      <c r="N1626" s="19" t="inlineStr">
        <is>
          <t>Non-CS Crystals</t>
        </is>
      </c>
      <c r="O1626" s="20" t="n">
        <v>432000</v>
      </c>
    </row>
    <row r="1627">
      <c r="M1627" s="18" t="n"/>
      <c r="N1627" s="19" t="inlineStr">
        <is>
          <t>Plasmoids</t>
        </is>
      </c>
      <c r="O1627" s="20" t="n">
        <v>2880</v>
      </c>
    </row>
    <row r="1628">
      <c r="M1628" s="18" t="n"/>
      <c r="N1628" s="19" t="inlineStr">
        <is>
          <t>Suspended Plasma</t>
        </is>
      </c>
      <c r="O1628" s="20" t="n">
        <v>432000</v>
      </c>
    </row>
    <row r="1629">
      <c r="M1629" s="13" t="n"/>
      <c r="N1629" s="10" t="inlineStr">
        <is>
          <t>Self-Harmonizing Power Core</t>
        </is>
      </c>
      <c r="O1629" s="10" t="n">
        <v>18</v>
      </c>
    </row>
    <row r="1630">
      <c r="M1630" s="18" t="n"/>
      <c r="N1630" s="19" t="inlineStr">
        <is>
          <t>Nuclear Reactors</t>
        </is>
      </c>
      <c r="O1630" s="19" t="n">
        <v>108</v>
      </c>
    </row>
    <row r="1631">
      <c r="M1631" s="18" t="n"/>
      <c r="N1631" s="19" t="inlineStr">
        <is>
          <t>Enriched Uranium</t>
        </is>
      </c>
      <c r="O1631" s="19" t="n">
        <v>360</v>
      </c>
    </row>
    <row r="1632">
      <c r="M1632" s="18" t="n"/>
      <c r="N1632" s="19" t="inlineStr">
        <is>
          <t>Toxic Metals</t>
        </is>
      </c>
      <c r="O1632" s="20" t="n">
        <v>2880</v>
      </c>
    </row>
    <row r="1633">
      <c r="M1633" s="18" t="n"/>
      <c r="N1633" s="19" t="inlineStr">
        <is>
          <t>Heavy Metals</t>
        </is>
      </c>
      <c r="O1633" s="20" t="n">
        <v>432000</v>
      </c>
    </row>
    <row r="1634">
      <c r="M1634" s="18" t="n"/>
      <c r="N1634" s="19" t="inlineStr">
        <is>
          <t>Precious Metals</t>
        </is>
      </c>
      <c r="O1634" s="20" t="n">
        <v>2880</v>
      </c>
    </row>
    <row r="1635">
      <c r="M1635" s="18" t="n"/>
      <c r="N1635" s="19" t="inlineStr">
        <is>
          <t>Noble Metals</t>
        </is>
      </c>
      <c r="O1635" s="20" t="n">
        <v>432000</v>
      </c>
    </row>
    <row r="1636">
      <c r="M1636" s="18" t="n"/>
      <c r="N1636" s="19" t="inlineStr">
        <is>
          <t>Microfiber Shielding</t>
        </is>
      </c>
      <c r="O1636" s="19" t="n">
        <v>360</v>
      </c>
    </row>
    <row r="1637">
      <c r="M1637" s="18" t="n"/>
      <c r="N1637" s="19" t="inlineStr">
        <is>
          <t>Silicon</t>
        </is>
      </c>
      <c r="O1637" s="20" t="n">
        <v>2880</v>
      </c>
    </row>
    <row r="1638">
      <c r="M1638" s="18" t="n"/>
      <c r="N1638" s="19" t="inlineStr">
        <is>
          <t>Felsic Magma</t>
        </is>
      </c>
      <c r="O1638" s="20" t="n">
        <v>432000</v>
      </c>
    </row>
    <row r="1639">
      <c r="M1639" s="18" t="n"/>
      <c r="N1639" s="19" t="inlineStr">
        <is>
          <t>Industrial Fibers</t>
        </is>
      </c>
      <c r="O1639" s="20" t="n">
        <v>2880</v>
      </c>
    </row>
    <row r="1640">
      <c r="M1640" s="18" t="n"/>
      <c r="N1640" s="19" t="inlineStr">
        <is>
          <t>Autotrophs</t>
        </is>
      </c>
      <c r="O1640" s="20" t="n">
        <v>432000</v>
      </c>
    </row>
    <row r="1641">
      <c r="M1641" s="18" t="n"/>
      <c r="N1641" s="19" t="inlineStr">
        <is>
          <t>Camera Drones</t>
        </is>
      </c>
      <c r="O1641" s="19" t="n">
        <v>108</v>
      </c>
    </row>
    <row r="1642">
      <c r="M1642" s="18" t="n"/>
      <c r="N1642" s="19" t="inlineStr">
        <is>
          <t>Rocket Fuel</t>
        </is>
      </c>
      <c r="O1642" s="19" t="n">
        <v>360</v>
      </c>
    </row>
    <row r="1643">
      <c r="M1643" s="18" t="n"/>
      <c r="N1643" s="19" t="inlineStr">
        <is>
          <t>Electrolytes</t>
        </is>
      </c>
      <c r="O1643" s="20" t="n">
        <v>2880</v>
      </c>
    </row>
    <row r="1644">
      <c r="M1644" s="18" t="n"/>
      <c r="N1644" s="19" t="inlineStr">
        <is>
          <t>Ionic Solutions</t>
        </is>
      </c>
      <c r="O1644" s="20" t="n">
        <v>432000</v>
      </c>
    </row>
    <row r="1645">
      <c r="M1645" s="18" t="n"/>
      <c r="N1645" s="19" t="inlineStr">
        <is>
          <t>Plasmoids</t>
        </is>
      </c>
      <c r="O1645" s="20" t="n">
        <v>2880</v>
      </c>
    </row>
    <row r="1646">
      <c r="M1646" s="18" t="n"/>
      <c r="N1646" s="19" t="inlineStr">
        <is>
          <t>Suspended Plasma</t>
        </is>
      </c>
      <c r="O1646" s="20" t="n">
        <v>432000</v>
      </c>
    </row>
    <row r="1647">
      <c r="M1647" s="18" t="n"/>
      <c r="N1647" s="19" t="inlineStr">
        <is>
          <t>Silicate Glass</t>
        </is>
      </c>
      <c r="O1647" s="19" t="n">
        <v>360</v>
      </c>
    </row>
    <row r="1648">
      <c r="M1648" s="18" t="n"/>
      <c r="N1648" s="19" t="inlineStr">
        <is>
          <t>Oxidizing Compound</t>
        </is>
      </c>
      <c r="O1648" s="20" t="n">
        <v>2880</v>
      </c>
    </row>
    <row r="1649">
      <c r="M1649" s="18" t="n"/>
      <c r="N1649" s="19" t="inlineStr">
        <is>
          <t>Reactive Gas</t>
        </is>
      </c>
      <c r="O1649" s="20" t="n">
        <v>432000</v>
      </c>
    </row>
    <row r="1650">
      <c r="M1650" s="18" t="n"/>
      <c r="N1650" s="19" t="inlineStr">
        <is>
          <t>Silicon</t>
        </is>
      </c>
      <c r="O1650" s="20" t="n">
        <v>2880</v>
      </c>
    </row>
    <row r="1651">
      <c r="M1651" s="18" t="n"/>
      <c r="N1651" s="19" t="inlineStr">
        <is>
          <t>Felsic Magma</t>
        </is>
      </c>
      <c r="O1651" s="20" t="n">
        <v>432000</v>
      </c>
    </row>
    <row r="1652">
      <c r="M1652" s="18" t="n"/>
      <c r="N1652" s="19" t="inlineStr">
        <is>
          <t>Hermetic Membranes</t>
        </is>
      </c>
      <c r="O1652" s="19" t="n">
        <v>108</v>
      </c>
    </row>
    <row r="1653">
      <c r="M1653" s="18" t="n"/>
      <c r="N1653" s="19" t="inlineStr">
        <is>
          <t>Polyaramids</t>
        </is>
      </c>
      <c r="O1653" s="19" t="n">
        <v>360</v>
      </c>
    </row>
    <row r="1654">
      <c r="M1654" s="18" t="n"/>
      <c r="N1654" s="19" t="inlineStr">
        <is>
          <t>Oxidizing Compound</t>
        </is>
      </c>
      <c r="O1654" s="20" t="n">
        <v>2880</v>
      </c>
    </row>
    <row r="1655">
      <c r="M1655" s="18" t="n"/>
      <c r="N1655" s="19" t="inlineStr">
        <is>
          <t>Reactive Gas</t>
        </is>
      </c>
      <c r="O1655" s="20" t="n">
        <v>432000</v>
      </c>
    </row>
    <row r="1656">
      <c r="M1656" s="18" t="n"/>
      <c r="N1656" s="19" t="inlineStr">
        <is>
          <t>Industrial Fibers</t>
        </is>
      </c>
      <c r="O1656" s="20" t="n">
        <v>2880</v>
      </c>
    </row>
    <row r="1657">
      <c r="M1657" s="18" t="n"/>
      <c r="N1657" s="19" t="inlineStr">
        <is>
          <t>Autotrophs</t>
        </is>
      </c>
      <c r="O1657" s="20" t="n">
        <v>432000</v>
      </c>
    </row>
    <row r="1658">
      <c r="M1658" s="18" t="n"/>
      <c r="N1658" s="19" t="inlineStr">
        <is>
          <t>Genetically Enhanced Livestock</t>
        </is>
      </c>
      <c r="O1658" s="19" t="n">
        <v>360</v>
      </c>
    </row>
    <row r="1659">
      <c r="M1659" s="18" t="n"/>
      <c r="N1659" s="19" t="inlineStr">
        <is>
          <t>Proteins</t>
        </is>
      </c>
      <c r="O1659" s="20" t="n">
        <v>2880</v>
      </c>
    </row>
    <row r="1660">
      <c r="M1660" s="18" t="n"/>
      <c r="N1660" s="19" t="inlineStr">
        <is>
          <t>Complex Organisms</t>
        </is>
      </c>
      <c r="O1660" s="20" t="n">
        <v>432000</v>
      </c>
    </row>
    <row r="1661">
      <c r="M1661" s="18" t="n"/>
      <c r="N1661" s="19" t="inlineStr">
        <is>
          <t>Biomass</t>
        </is>
      </c>
      <c r="O1661" s="20" t="n">
        <v>2880</v>
      </c>
    </row>
    <row r="1662">
      <c r="M1662" s="18" t="n"/>
      <c r="N1662" s="19" t="inlineStr">
        <is>
          <t>Planktic Colonies</t>
        </is>
      </c>
      <c r="O1662" s="20" t="n">
        <v>432000</v>
      </c>
    </row>
    <row r="1663">
      <c r="M1663" s="13" t="n"/>
      <c r="N1663" s="10" t="inlineStr">
        <is>
          <t>Sterile Conduits</t>
        </is>
      </c>
      <c r="O1663" s="10" t="n">
        <v>54</v>
      </c>
    </row>
    <row r="1664">
      <c r="M1664" s="18" t="n"/>
      <c r="N1664" s="19" t="inlineStr">
        <is>
          <t>Water</t>
        </is>
      </c>
      <c r="O1664" s="20" t="n">
        <v>2160</v>
      </c>
    </row>
    <row r="1665">
      <c r="M1665" s="18" t="n"/>
      <c r="N1665" s="19" t="inlineStr">
        <is>
          <t>Aqueous Liquids</t>
        </is>
      </c>
      <c r="O1665" s="20" t="n">
        <v>324000</v>
      </c>
    </row>
    <row r="1666">
      <c r="M1666" s="18" t="n"/>
      <c r="N1666" s="19" t="inlineStr">
        <is>
          <t>Vaccines</t>
        </is>
      </c>
      <c r="O1666" s="19" t="n">
        <v>324</v>
      </c>
    </row>
    <row r="1667">
      <c r="M1667" s="18" t="n"/>
      <c r="N1667" s="19" t="inlineStr">
        <is>
          <t>Livestock</t>
        </is>
      </c>
      <c r="O1667" s="20" t="n">
        <v>1080</v>
      </c>
    </row>
    <row r="1668">
      <c r="M1668" s="18" t="n"/>
      <c r="N1668" s="19" t="inlineStr">
        <is>
          <t>Proteins</t>
        </is>
      </c>
      <c r="O1668" s="20" t="n">
        <v>8640</v>
      </c>
    </row>
    <row r="1669">
      <c r="M1669" s="18" t="n"/>
      <c r="N1669" s="19" t="inlineStr">
        <is>
          <t>Complex Organisms</t>
        </is>
      </c>
      <c r="O1669" s="20" t="n">
        <v>1296000</v>
      </c>
    </row>
    <row r="1670">
      <c r="M1670" s="18" t="n"/>
      <c r="N1670" s="19" t="inlineStr">
        <is>
          <t>Biofuels</t>
        </is>
      </c>
      <c r="O1670" s="20" t="n">
        <v>8640</v>
      </c>
    </row>
    <row r="1671">
      <c r="M1671" s="18" t="n"/>
      <c r="N1671" s="19" t="inlineStr">
        <is>
          <t>Carbon Compounds</t>
        </is>
      </c>
      <c r="O1671" s="20" t="n">
        <v>1296000</v>
      </c>
    </row>
    <row r="1672">
      <c r="M1672" s="18" t="n"/>
      <c r="N1672" s="19" t="inlineStr">
        <is>
          <t>Viral Agent</t>
        </is>
      </c>
      <c r="O1672" s="20" t="n">
        <v>1080</v>
      </c>
    </row>
    <row r="1673">
      <c r="M1673" s="18" t="n"/>
      <c r="N1673" s="19" t="inlineStr">
        <is>
          <t>Bacteria</t>
        </is>
      </c>
      <c r="O1673" s="20" t="n">
        <v>8640</v>
      </c>
    </row>
    <row r="1674">
      <c r="M1674" s="18" t="n"/>
      <c r="N1674" s="19" t="inlineStr">
        <is>
          <t>Microorganisms</t>
        </is>
      </c>
      <c r="O1674" s="20" t="n">
        <v>1296000</v>
      </c>
    </row>
    <row r="1675">
      <c r="M1675" s="18" t="n"/>
      <c r="N1675" s="19" t="inlineStr">
        <is>
          <t>Biomass</t>
        </is>
      </c>
      <c r="O1675" s="20" t="n">
        <v>8640</v>
      </c>
    </row>
    <row r="1676">
      <c r="M1676" s="18" t="n"/>
      <c r="N1676" s="19" t="inlineStr">
        <is>
          <t>Planktic Colonies</t>
        </is>
      </c>
      <c r="O1676" s="20" t="n">
        <v>1296000</v>
      </c>
    </row>
    <row r="1677">
      <c r="M1677" s="18" t="n"/>
      <c r="N1677" s="19" t="inlineStr">
        <is>
          <t>Smartfab Units</t>
        </is>
      </c>
      <c r="O1677" s="19" t="n">
        <v>324</v>
      </c>
    </row>
    <row r="1678">
      <c r="M1678" s="18" t="n"/>
      <c r="N1678" s="19" t="inlineStr">
        <is>
          <t>Miniature Electronics</t>
        </is>
      </c>
      <c r="O1678" s="20" t="n">
        <v>1080</v>
      </c>
    </row>
    <row r="1679">
      <c r="M1679" s="18" t="n"/>
      <c r="N1679" s="19" t="inlineStr">
        <is>
          <t>Chiral Structures</t>
        </is>
      </c>
      <c r="O1679" s="20" t="n">
        <v>8640</v>
      </c>
    </row>
    <row r="1680">
      <c r="M1680" s="18" t="n"/>
      <c r="N1680" s="19" t="inlineStr">
        <is>
          <t>Non-CS Crystals</t>
        </is>
      </c>
      <c r="O1680" s="20" t="n">
        <v>1296000</v>
      </c>
    </row>
    <row r="1681">
      <c r="M1681" s="18" t="n"/>
      <c r="N1681" s="19" t="inlineStr">
        <is>
          <t>Silicon</t>
        </is>
      </c>
      <c r="O1681" s="20" t="n">
        <v>8640</v>
      </c>
    </row>
    <row r="1682">
      <c r="M1682" s="18" t="n"/>
      <c r="N1682" s="19" t="inlineStr">
        <is>
          <t>Felsic Magma</t>
        </is>
      </c>
      <c r="O1682" s="20" t="n">
        <v>1296000</v>
      </c>
    </row>
    <row r="1683">
      <c r="M1683" s="18" t="n"/>
      <c r="N1683" s="19" t="inlineStr">
        <is>
          <t>Construction Blocks</t>
        </is>
      </c>
      <c r="O1683" s="20" t="n">
        <v>1080</v>
      </c>
    </row>
    <row r="1684">
      <c r="M1684" s="18" t="n"/>
      <c r="N1684" s="19" t="inlineStr">
        <is>
          <t>Toxic Metals</t>
        </is>
      </c>
      <c r="O1684" s="20" t="n">
        <v>8640</v>
      </c>
    </row>
    <row r="1685">
      <c r="M1685" s="18" t="n"/>
      <c r="N1685" s="19" t="inlineStr">
        <is>
          <t>Heavy Metals</t>
        </is>
      </c>
      <c r="O1685" s="20" t="n">
        <v>1296000</v>
      </c>
    </row>
    <row r="1686">
      <c r="M1686" s="18" t="n"/>
      <c r="N1686" s="19" t="inlineStr">
        <is>
          <t>Reactive Metals</t>
        </is>
      </c>
      <c r="O1686" s="20" t="n">
        <v>8640</v>
      </c>
    </row>
    <row r="1687">
      <c r="M1687" s="18" t="n"/>
      <c r="N1687" s="19" t="inlineStr">
        <is>
          <t>Base Metals</t>
        </is>
      </c>
      <c r="O1687" s="20" t="n">
        <v>1296000</v>
      </c>
    </row>
    <row r="1688">
      <c r="M1688" s="13" t="n"/>
      <c r="N1688" s="10" t="inlineStr">
        <is>
          <t>Wetware Mainframe</t>
        </is>
      </c>
      <c r="O1688" s="10" t="n">
        <v>36</v>
      </c>
    </row>
    <row r="1689">
      <c r="M1689" s="18" t="n"/>
      <c r="N1689" s="19" t="inlineStr">
        <is>
          <t>Supercomputers</t>
        </is>
      </c>
      <c r="O1689" s="19" t="n">
        <v>216</v>
      </c>
    </row>
    <row r="1690">
      <c r="M1690" s="18" t="n"/>
      <c r="N1690" s="19" t="inlineStr">
        <is>
          <t>Water-Cooled CPU</t>
        </is>
      </c>
      <c r="O1690" s="19" t="n">
        <v>720</v>
      </c>
    </row>
    <row r="1691">
      <c r="M1691" s="18" t="n"/>
      <c r="N1691" s="19" t="inlineStr">
        <is>
          <t>Water</t>
        </is>
      </c>
      <c r="O1691" s="20" t="n">
        <v>5760</v>
      </c>
    </row>
    <row r="1692">
      <c r="M1692" s="18" t="n"/>
      <c r="N1692" s="19" t="inlineStr">
        <is>
          <t>Aqueous Liquids</t>
        </is>
      </c>
      <c r="O1692" s="20" t="n">
        <v>864000</v>
      </c>
    </row>
    <row r="1693">
      <c r="M1693" s="18" t="n"/>
      <c r="N1693" s="19" t="inlineStr">
        <is>
          <t>Reactive Metals</t>
        </is>
      </c>
      <c r="O1693" s="20" t="n">
        <v>5760</v>
      </c>
    </row>
    <row r="1694">
      <c r="M1694" s="18" t="n"/>
      <c r="N1694" s="19" t="inlineStr">
        <is>
          <t>Base Metals</t>
        </is>
      </c>
      <c r="O1694" s="20" t="n">
        <v>864000</v>
      </c>
    </row>
    <row r="1695">
      <c r="M1695" s="18" t="n"/>
      <c r="N1695" s="19" t="inlineStr">
        <is>
          <t>Coolant</t>
        </is>
      </c>
      <c r="O1695" s="19" t="n">
        <v>720</v>
      </c>
    </row>
    <row r="1696">
      <c r="M1696" s="18" t="n"/>
      <c r="N1696" s="19" t="inlineStr">
        <is>
          <t>Water</t>
        </is>
      </c>
      <c r="O1696" s="20" t="n">
        <v>5760</v>
      </c>
    </row>
    <row r="1697">
      <c r="M1697" s="18" t="n"/>
      <c r="N1697" s="19" t="inlineStr">
        <is>
          <t>Aqueous Liquids</t>
        </is>
      </c>
      <c r="O1697" s="20" t="n">
        <v>864000</v>
      </c>
    </row>
    <row r="1698">
      <c r="M1698" s="18" t="n"/>
      <c r="N1698" s="19" t="inlineStr">
        <is>
          <t>Electrolytes</t>
        </is>
      </c>
      <c r="O1698" s="20" t="n">
        <v>5760</v>
      </c>
    </row>
    <row r="1699">
      <c r="M1699" s="18" t="n"/>
      <c r="N1699" s="19" t="inlineStr">
        <is>
          <t>Ionic Solutions</t>
        </is>
      </c>
      <c r="O1699" s="20" t="n">
        <v>864000</v>
      </c>
    </row>
    <row r="1700">
      <c r="M1700" s="18" t="n"/>
      <c r="N1700" s="19" t="inlineStr">
        <is>
          <t>Consumer Electronics</t>
        </is>
      </c>
      <c r="O1700" s="19" t="n">
        <v>720</v>
      </c>
    </row>
    <row r="1701">
      <c r="M1701" s="18" t="n"/>
      <c r="N1701" s="19" t="inlineStr">
        <is>
          <t>Toxic Metals</t>
        </is>
      </c>
      <c r="O1701" s="20" t="n">
        <v>5760</v>
      </c>
    </row>
    <row r="1702">
      <c r="M1702" s="18" t="n"/>
      <c r="N1702" s="19" t="inlineStr">
        <is>
          <t>Heavy Metals</t>
        </is>
      </c>
      <c r="O1702" s="20" t="n">
        <v>864000</v>
      </c>
    </row>
    <row r="1703">
      <c r="M1703" s="18" t="n"/>
      <c r="N1703" s="19" t="inlineStr">
        <is>
          <t>Chiral Structures</t>
        </is>
      </c>
      <c r="O1703" s="20" t="n">
        <v>5760</v>
      </c>
    </row>
    <row r="1704">
      <c r="M1704" s="18" t="n"/>
      <c r="N1704" s="19" t="inlineStr">
        <is>
          <t>Non-CS Crystals</t>
        </is>
      </c>
      <c r="O1704" s="20" t="n">
        <v>864000</v>
      </c>
    </row>
    <row r="1705">
      <c r="M1705" s="18" t="n"/>
      <c r="N1705" s="19" t="inlineStr">
        <is>
          <t>Biotech Research Reports</t>
        </is>
      </c>
      <c r="O1705" s="19" t="n">
        <v>216</v>
      </c>
    </row>
    <row r="1706">
      <c r="M1706" s="18" t="n"/>
      <c r="N1706" s="19" t="inlineStr">
        <is>
          <t>Construction Blocks</t>
        </is>
      </c>
      <c r="O1706" s="19" t="n">
        <v>720</v>
      </c>
    </row>
    <row r="1707">
      <c r="M1707" s="18" t="n"/>
      <c r="N1707" s="19" t="inlineStr">
        <is>
          <t>Toxic Metals</t>
        </is>
      </c>
      <c r="O1707" s="20" t="n">
        <v>5760</v>
      </c>
    </row>
    <row r="1708">
      <c r="M1708" s="18" t="n"/>
      <c r="N1708" s="19" t="inlineStr">
        <is>
          <t>Heavy Metals</t>
        </is>
      </c>
      <c r="O1708" s="20" t="n">
        <v>864000</v>
      </c>
    </row>
    <row r="1709">
      <c r="M1709" s="18" t="n"/>
      <c r="N1709" s="19" t="inlineStr">
        <is>
          <t>Reactive Metals</t>
        </is>
      </c>
      <c r="O1709" s="20" t="n">
        <v>5760</v>
      </c>
    </row>
    <row r="1710">
      <c r="M1710" s="18" t="n"/>
      <c r="N1710" s="19" t="inlineStr">
        <is>
          <t>Base Metals</t>
        </is>
      </c>
      <c r="O1710" s="20" t="n">
        <v>864000</v>
      </c>
    </row>
    <row r="1711">
      <c r="M1711" s="18" t="n"/>
      <c r="N1711" s="19" t="inlineStr">
        <is>
          <t>Livestock</t>
        </is>
      </c>
      <c r="O1711" s="19" t="n">
        <v>720</v>
      </c>
    </row>
    <row r="1712">
      <c r="M1712" s="18" t="n"/>
      <c r="N1712" s="19" t="inlineStr">
        <is>
          <t>Proteins</t>
        </is>
      </c>
      <c r="O1712" s="20" t="n">
        <v>5760</v>
      </c>
    </row>
    <row r="1713">
      <c r="M1713" s="18" t="n"/>
      <c r="N1713" s="19" t="inlineStr">
        <is>
          <t>Complex Organisms</t>
        </is>
      </c>
      <c r="O1713" s="20" t="n">
        <v>864000</v>
      </c>
    </row>
    <row r="1714">
      <c r="M1714" s="18" t="n"/>
      <c r="N1714" s="19" t="inlineStr">
        <is>
          <t>Biofuels</t>
        </is>
      </c>
      <c r="O1714" s="20" t="n">
        <v>5760</v>
      </c>
    </row>
    <row r="1715">
      <c r="M1715" s="18" t="n"/>
      <c r="N1715" s="19" t="inlineStr">
        <is>
          <t>Carbon Compounds</t>
        </is>
      </c>
      <c r="O1715" s="20" t="n">
        <v>864000</v>
      </c>
    </row>
    <row r="1716">
      <c r="M1716" s="18" t="n"/>
      <c r="N1716" s="19" t="inlineStr">
        <is>
          <t>Nanites</t>
        </is>
      </c>
      <c r="O1716" s="19" t="n">
        <v>720</v>
      </c>
    </row>
    <row r="1717">
      <c r="M1717" s="18" t="n"/>
      <c r="N1717" s="19" t="inlineStr">
        <is>
          <t>Bacteria</t>
        </is>
      </c>
      <c r="O1717" s="20" t="n">
        <v>5760</v>
      </c>
    </row>
    <row r="1718">
      <c r="M1718" s="18" t="n"/>
      <c r="N1718" s="19" t="inlineStr">
        <is>
          <t>Microorganisms</t>
        </is>
      </c>
      <c r="O1718" s="20" t="n">
        <v>864000</v>
      </c>
    </row>
    <row r="1719">
      <c r="M1719" s="18" t="n"/>
      <c r="N1719" s="19" t="inlineStr">
        <is>
          <t>Reactive Metals</t>
        </is>
      </c>
      <c r="O1719" s="20" t="n">
        <v>5760</v>
      </c>
    </row>
    <row r="1720">
      <c r="M1720" s="18" t="n"/>
      <c r="N1720" s="19" t="inlineStr">
        <is>
          <t>Base Metals</t>
        </is>
      </c>
      <c r="O1720" s="20" t="n">
        <v>864000</v>
      </c>
    </row>
    <row r="1721">
      <c r="M1721" s="18" t="n"/>
      <c r="N1721" s="19" t="inlineStr">
        <is>
          <t>Cryoprotectant Solution</t>
        </is>
      </c>
      <c r="O1721" s="19" t="n">
        <v>216</v>
      </c>
    </row>
    <row r="1722">
      <c r="M1722" s="18" t="n"/>
      <c r="N1722" s="19" t="inlineStr">
        <is>
          <t>Test Cultures</t>
        </is>
      </c>
      <c r="O1722" s="19" t="n">
        <v>720</v>
      </c>
    </row>
    <row r="1723">
      <c r="M1723" s="18" t="n"/>
      <c r="N1723" s="19" t="inlineStr">
        <is>
          <t>Bacteria</t>
        </is>
      </c>
      <c r="O1723" s="20" t="n">
        <v>5760</v>
      </c>
    </row>
    <row r="1724">
      <c r="M1724" s="18" t="n"/>
      <c r="N1724" s="19" t="inlineStr">
        <is>
          <t>Microorganisms</t>
        </is>
      </c>
      <c r="O1724" s="20" t="n">
        <v>864000</v>
      </c>
    </row>
    <row r="1725">
      <c r="M1725" s="18" t="n"/>
      <c r="N1725" s="19" t="inlineStr">
        <is>
          <t>Water</t>
        </is>
      </c>
      <c r="O1725" s="20" t="n">
        <v>5760</v>
      </c>
    </row>
    <row r="1726">
      <c r="M1726" s="18" t="n"/>
      <c r="N1726" s="19" t="inlineStr">
        <is>
          <t>Aqueous Liquids</t>
        </is>
      </c>
      <c r="O1726" s="20" t="n">
        <v>864000</v>
      </c>
    </row>
    <row r="1727">
      <c r="M1727" s="18" t="n"/>
      <c r="N1727" s="19" t="inlineStr">
        <is>
          <t>Synthetic Oil</t>
        </is>
      </c>
      <c r="O1727" s="19" t="n">
        <v>720</v>
      </c>
    </row>
    <row r="1728">
      <c r="M1728" s="18" t="n"/>
      <c r="N1728" s="19" t="inlineStr">
        <is>
          <t>Oxygen</t>
        </is>
      </c>
      <c r="O1728" s="20" t="n">
        <v>5760</v>
      </c>
    </row>
    <row r="1729">
      <c r="M1729" s="18" t="n"/>
      <c r="N1729" s="19" t="inlineStr">
        <is>
          <t>Noble Gas</t>
        </is>
      </c>
      <c r="O1729" s="20" t="n">
        <v>864000</v>
      </c>
    </row>
    <row r="1730">
      <c r="M1730" s="18" t="n"/>
      <c r="N1730" s="19" t="inlineStr">
        <is>
          <t>Electrolytes</t>
        </is>
      </c>
      <c r="O1730" s="20" t="n">
        <v>5760</v>
      </c>
    </row>
    <row r="1731">
      <c r="M1731" s="18" t="n"/>
      <c r="N1731" s="19" t="inlineStr">
        <is>
          <t>Ionic Solutions</t>
        </is>
      </c>
      <c r="O1731" s="20" t="n">
        <v>864000</v>
      </c>
    </row>
    <row r="1732">
      <c r="M1732" s="18" t="n"/>
      <c r="N1732" s="19" t="inlineStr">
        <is>
          <t>Fertilizer</t>
        </is>
      </c>
      <c r="O1732" s="19" t="n">
        <v>720</v>
      </c>
    </row>
    <row r="1733">
      <c r="M1733" s="18" t="n"/>
      <c r="N1733" s="19" t="inlineStr">
        <is>
          <t>Bacteria</t>
        </is>
      </c>
      <c r="O1733" s="20" t="n">
        <v>5760</v>
      </c>
    </row>
    <row r="1734">
      <c r="M1734" s="18" t="n"/>
      <c r="N1734" s="19" t="inlineStr">
        <is>
          <t>Microorganisms</t>
        </is>
      </c>
      <c r="O1734" s="20" t="n">
        <v>864000</v>
      </c>
    </row>
    <row r="1735">
      <c r="M1735" s="18" t="n"/>
      <c r="N1735" s="19" t="inlineStr">
        <is>
          <t>Proteins</t>
        </is>
      </c>
      <c r="O1735" s="20" t="n">
        <v>5760</v>
      </c>
    </row>
    <row r="1736">
      <c r="M1736" s="18" t="n"/>
      <c r="N1736" s="19" t="inlineStr">
        <is>
          <t>Complex Organisms</t>
        </is>
      </c>
      <c r="O1736" s="20" t="n">
        <v>864000</v>
      </c>
    </row>
  </sheetData>
  <hyperlinks>
    <hyperlink xmlns:r="http://schemas.openxmlformats.org/officeDocument/2006/relationships" ref="R1" r:id="rId1"/>
    <hyperlink xmlns:r="http://schemas.openxmlformats.org/officeDocument/2006/relationships" ref="I3" r:id="rId2"/>
    <hyperlink xmlns:r="http://schemas.openxmlformats.org/officeDocument/2006/relationships" ref="I12" r:id="rId3"/>
  </hyperlinks>
  <pageMargins left="0.75" right="0.75" top="1" bottom="1" header="0.5" footer="0.5"/>
  <drawing xmlns:r="http://schemas.openxmlformats.org/officeDocument/2006/relationships" r:id="rId4"/>
</worksheet>
</file>

<file path=xl/worksheets/sheet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8" customWidth="1" style="24" min="1" max="1"/>
    <col width="20" customWidth="1" style="24" min="2" max="2"/>
    <col width="18" customWidth="1" style="24" min="3" max="3"/>
  </cols>
  <sheetData>
    <row r="1">
      <c r="A1" s="25" t="inlineStr">
        <is>
          <t>Tier</t>
        </is>
      </c>
      <c r="B1" s="25" t="inlineStr">
        <is>
          <t>Time per cycle (hrs)</t>
        </is>
      </c>
      <c r="C1" s="25" t="inlineStr">
        <is>
          <t>Output per cycle</t>
        </is>
      </c>
    </row>
    <row r="2">
      <c r="A2" s="0" t="inlineStr">
        <is>
          <t>Mineral</t>
        </is>
      </c>
      <c r="B2" s="0" t="n">
        <v>0.05</v>
      </c>
      <c r="C2" s="0" t="n">
        <v>6000</v>
      </c>
    </row>
    <row r="3">
      <c r="A3" s="0" t="inlineStr">
        <is>
          <t>Raw material</t>
        </is>
      </c>
      <c r="B3" s="0" t="n">
        <v>24</v>
      </c>
      <c r="C3" s="0" t="n">
        <v>500000</v>
      </c>
    </row>
    <row r="4">
      <c r="A4" s="0" t="inlineStr">
        <is>
          <t>P1</t>
        </is>
      </c>
      <c r="B4" s="0" t="n">
        <v>0.5</v>
      </c>
      <c r="C4" s="0" t="n">
        <v>20</v>
      </c>
    </row>
    <row r="5">
      <c r="A5" s="0" t="inlineStr">
        <is>
          <t>P2</t>
        </is>
      </c>
      <c r="B5" s="0" t="n">
        <v>1</v>
      </c>
      <c r="C5" s="0" t="n">
        <v>5</v>
      </c>
    </row>
    <row r="6">
      <c r="A6" s="0" t="inlineStr">
        <is>
          <t>P3</t>
        </is>
      </c>
      <c r="B6" s="0" t="n">
        <v>1</v>
      </c>
      <c r="C6" s="0" t="n">
        <v>3</v>
      </c>
    </row>
    <row r="7">
      <c r="A7" s="0" t="inlineStr">
        <is>
          <t>P4</t>
        </is>
      </c>
      <c r="B7" s="0" t="n">
        <v>1</v>
      </c>
      <c r="C7" s="0" t="n">
        <v>1</v>
      </c>
    </row>
    <row r="8">
      <c r="A8" s="0" t="inlineStr">
        <is>
          <t>Space station structure</t>
        </is>
      </c>
      <c r="B8" s="0" t="n">
        <v>13</v>
      </c>
      <c r="C8" s="0" t="n">
        <v>1</v>
      </c>
    </row>
    <row r="9">
      <c r="A9" s="0" t="inlineStr">
        <is>
          <t>Price per factory (from Reference sheet 'Structure pricing')</t>
        </is>
      </c>
    </row>
    <row r="10">
      <c r="A10" s="26" t="inlineStr">
        <is>
          <t>Tier</t>
        </is>
      </c>
      <c r="B10" s="26" t="inlineStr">
        <is>
          <t>Price per structure</t>
        </is>
      </c>
      <c r="C10" s="26" t="n"/>
    </row>
    <row r="11">
      <c r="A11" s="0" t="inlineStr">
        <is>
          <t>Mineral</t>
        </is>
      </c>
      <c r="B11" s="0" t="n">
        <v>100</v>
      </c>
    </row>
    <row r="12">
      <c r="A12" s="0" t="inlineStr">
        <is>
          <t>Raw material</t>
        </is>
      </c>
      <c r="B12" s="0" t="n">
        <v>5</v>
      </c>
    </row>
    <row r="13">
      <c r="A13" s="0" t="inlineStr">
        <is>
          <t>P1</t>
        </is>
      </c>
      <c r="B13" s="0" t="n">
        <v>3</v>
      </c>
    </row>
    <row r="14">
      <c r="A14" s="0" t="inlineStr">
        <is>
          <t>P2</t>
        </is>
      </c>
      <c r="B14" s="0" t="n">
        <v>5</v>
      </c>
    </row>
    <row r="15">
      <c r="A15" s="0" t="inlineStr">
        <is>
          <t>P3</t>
        </is>
      </c>
      <c r="B15" s="0" t="n">
        <v>8</v>
      </c>
    </row>
    <row r="16">
      <c r="A16" s="0" t="inlineStr">
        <is>
          <t>P4</t>
        </is>
      </c>
      <c r="B16" s="0" t="n">
        <v>12</v>
      </c>
    </row>
    <row r="17">
      <c r="A17" s="0" t="inlineStr">
        <is>
          <t>Space station structure</t>
        </is>
      </c>
      <c r="B17" s="0" t="n">
        <v>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9"/>
  <sheetViews>
    <sheetView workbookViewId="0">
      <selection activeCell="A1" sqref="A1"/>
    </sheetView>
  </sheetViews>
  <sheetFormatPr baseColWidth="8" defaultRowHeight="15"/>
  <cols>
    <col width="32" customWidth="1" style="24" min="1" max="1"/>
    <col width="22" customWidth="1" style="24" min="2" max="2"/>
    <col width="40" customWidth="1" style="24" min="3" max="3"/>
  </cols>
  <sheetData>
    <row r="1">
      <c r="A1" s="25" t="inlineStr">
        <is>
          <t>Item Name</t>
        </is>
      </c>
      <c r="B1" s="25" t="inlineStr">
        <is>
          <t>Tier</t>
        </is>
      </c>
      <c r="C1" s="25" t="inlineStr">
        <is>
          <t>Source</t>
        </is>
      </c>
    </row>
    <row r="2">
      <c r="A2" s="0" t="inlineStr">
        <is>
          <t>Aqueous Liquids</t>
        </is>
      </c>
      <c r="B2" s="0" t="inlineStr">
        <is>
          <t>Raw material</t>
        </is>
      </c>
      <c r="C2" s="0" t="inlineStr">
        <is>
          <t>Reference sheet H13 (Input prices - Cerlestes/raw)</t>
        </is>
      </c>
    </row>
    <row r="3">
      <c r="A3" s="0" t="inlineStr">
        <is>
          <t>Autotrophs</t>
        </is>
      </c>
      <c r="B3" s="0" t="inlineStr">
        <is>
          <t>Raw material</t>
        </is>
      </c>
      <c r="C3" s="0" t="inlineStr">
        <is>
          <t>Reference sheet H14 (Input prices - Cerlestes/raw)</t>
        </is>
      </c>
    </row>
    <row r="4">
      <c r="A4" s="0" t="inlineStr">
        <is>
          <t>Bacteria</t>
        </is>
      </c>
      <c r="B4" s="0" t="inlineStr">
        <is>
          <t>P1</t>
        </is>
      </c>
      <c r="C4" s="0" t="inlineStr">
        <is>
          <t>Reference sheet K57:L57 (Material reference)</t>
        </is>
      </c>
    </row>
    <row r="5">
      <c r="A5" s="0" t="inlineStr">
        <is>
          <t>Base Metals</t>
        </is>
      </c>
      <c r="B5" s="0" t="inlineStr">
        <is>
          <t>Raw material</t>
        </is>
      </c>
      <c r="C5" s="0" t="inlineStr">
        <is>
          <t>Reference sheet H15 (Input prices - Cerlestes/raw)</t>
        </is>
      </c>
    </row>
    <row r="6">
      <c r="A6" s="0" t="inlineStr">
        <is>
          <t>Biocells</t>
        </is>
      </c>
      <c r="B6" s="0" t="inlineStr">
        <is>
          <t>P2</t>
        </is>
      </c>
      <c r="C6" s="0" t="inlineStr">
        <is>
          <t>Reference sheet K33:L33 (Material reference)</t>
        </is>
      </c>
    </row>
    <row r="7">
      <c r="A7" s="0" t="inlineStr">
        <is>
          <t>Biofuels</t>
        </is>
      </c>
      <c r="B7" s="0" t="inlineStr">
        <is>
          <t>P1</t>
        </is>
      </c>
      <c r="C7" s="0" t="inlineStr">
        <is>
          <t>Reference sheet K58:L58 (Material reference)</t>
        </is>
      </c>
    </row>
    <row r="8">
      <c r="A8" s="0" t="inlineStr">
        <is>
          <t>Biomass</t>
        </is>
      </c>
      <c r="B8" s="0" t="inlineStr">
        <is>
          <t>P1</t>
        </is>
      </c>
      <c r="C8" s="0" t="inlineStr">
        <is>
          <t>Reference sheet K59:L59 (Material reference)</t>
        </is>
      </c>
    </row>
    <row r="9">
      <c r="A9" s="0" t="inlineStr">
        <is>
          <t>Biotech research reports</t>
        </is>
      </c>
      <c r="B9" s="0" t="inlineStr">
        <is>
          <t>P3</t>
        </is>
      </c>
      <c r="C9" s="0" t="inlineStr">
        <is>
          <t>Reference sheet K4:L4 (Material reference)</t>
        </is>
      </c>
    </row>
    <row r="10">
      <c r="A10" s="0" t="inlineStr">
        <is>
          <t>Broadcast Node</t>
        </is>
      </c>
      <c r="B10" s="0" t="inlineStr">
        <is>
          <t>P4</t>
        </is>
      </c>
      <c r="C10" s="0" t="inlineStr">
        <is>
          <t>Reference sheet K25:L25 (Material reference)</t>
        </is>
      </c>
    </row>
    <row r="11">
      <c r="A11" s="0" t="inlineStr">
        <is>
          <t>Camera Drones</t>
        </is>
      </c>
      <c r="B11" s="0" t="inlineStr">
        <is>
          <t>P3</t>
        </is>
      </c>
      <c r="C11" s="0" t="inlineStr">
        <is>
          <t>Reference sheet K5:L5 (Material reference)</t>
        </is>
      </c>
    </row>
    <row r="12">
      <c r="A12" s="0" t="inlineStr">
        <is>
          <t>Carbon Compounds</t>
        </is>
      </c>
      <c r="B12" s="0" t="inlineStr">
        <is>
          <t>Raw material</t>
        </is>
      </c>
      <c r="C12" s="0" t="inlineStr">
        <is>
          <t>Reference sheet H16 (Input prices - Cerlestes/raw)</t>
        </is>
      </c>
    </row>
    <row r="13">
      <c r="A13" s="0" t="inlineStr">
        <is>
          <t>Chiral Structures</t>
        </is>
      </c>
      <c r="B13" s="0" t="inlineStr">
        <is>
          <t>P1</t>
        </is>
      </c>
      <c r="C13" s="0" t="inlineStr">
        <is>
          <t>Reference sheet K60:L60 (Material reference)</t>
        </is>
      </c>
    </row>
    <row r="14">
      <c r="A14" s="0" t="inlineStr">
        <is>
          <t>Complex Organisms</t>
        </is>
      </c>
      <c r="B14" s="0" t="inlineStr">
        <is>
          <t>Raw material</t>
        </is>
      </c>
      <c r="C14" s="0" t="inlineStr">
        <is>
          <t>Reference sheet H17 (Input prices - Cerlestes/raw)</t>
        </is>
      </c>
    </row>
    <row r="15">
      <c r="A15" s="0" t="inlineStr">
        <is>
          <t>Condensates</t>
        </is>
      </c>
      <c r="B15" s="0" t="inlineStr">
        <is>
          <t>P3</t>
        </is>
      </c>
      <c r="C15" s="0" t="inlineStr">
        <is>
          <t>Reference sheet K6:L6 (Material reference)</t>
        </is>
      </c>
    </row>
    <row r="16">
      <c r="A16" s="0" t="inlineStr">
        <is>
          <t>Construction Blocks</t>
        </is>
      </c>
      <c r="B16" s="0" t="inlineStr">
        <is>
          <t>P2</t>
        </is>
      </c>
      <c r="C16" s="0" t="inlineStr">
        <is>
          <t>Reference sheet K34:L34 (Material reference)</t>
        </is>
      </c>
    </row>
    <row r="17">
      <c r="A17" s="0" t="inlineStr">
        <is>
          <t>Consumer Electronics</t>
        </is>
      </c>
      <c r="B17" s="0" t="inlineStr">
        <is>
          <t>P2</t>
        </is>
      </c>
      <c r="C17" s="0" t="inlineStr">
        <is>
          <t>Reference sheet K35:L35 (Material reference)</t>
        </is>
      </c>
    </row>
    <row r="18">
      <c r="A18" s="0" t="inlineStr">
        <is>
          <t>Coolant</t>
        </is>
      </c>
      <c r="B18" s="0" t="inlineStr">
        <is>
          <t>P2</t>
        </is>
      </c>
      <c r="C18" s="0" t="inlineStr">
        <is>
          <t>Reference sheet K36:L36 (Material reference)</t>
        </is>
      </c>
    </row>
    <row r="19">
      <c r="A19" s="0" t="inlineStr">
        <is>
          <t>Cryoprotectant Solution</t>
        </is>
      </c>
      <c r="B19" s="0" t="inlineStr">
        <is>
          <t>P3</t>
        </is>
      </c>
      <c r="C19" s="0" t="inlineStr">
        <is>
          <t>Reference sheet K7:L7 (Material reference)</t>
        </is>
      </c>
    </row>
    <row r="20">
      <c r="A20" s="0" t="inlineStr">
        <is>
          <t>Data Chips</t>
        </is>
      </c>
      <c r="B20" s="0" t="inlineStr">
        <is>
          <t>P3</t>
        </is>
      </c>
      <c r="C20" s="0" t="inlineStr">
        <is>
          <t>Reference sheet K8:L8 (Material reference)</t>
        </is>
      </c>
    </row>
    <row r="21">
      <c r="A21" s="0" t="inlineStr">
        <is>
          <t>Electrolytes</t>
        </is>
      </c>
      <c r="B21" s="0" t="inlineStr">
        <is>
          <t>P1</t>
        </is>
      </c>
      <c r="C21" s="0" t="inlineStr">
        <is>
          <t>Reference sheet K61:L61 (Material reference)</t>
        </is>
      </c>
    </row>
    <row r="22">
      <c r="A22" s="0" t="inlineStr">
        <is>
          <t>Enriched Uranium</t>
        </is>
      </c>
      <c r="B22" s="0" t="inlineStr">
        <is>
          <t>P2</t>
        </is>
      </c>
      <c r="C22" s="0" t="inlineStr">
        <is>
          <t>Reference sheet K37:L37 (Material reference)</t>
        </is>
      </c>
    </row>
    <row r="23">
      <c r="A23" s="0" t="inlineStr">
        <is>
          <t>Felsic Magma</t>
        </is>
      </c>
      <c r="B23" s="0" t="inlineStr">
        <is>
          <t>Raw material</t>
        </is>
      </c>
      <c r="C23" s="0" t="inlineStr">
        <is>
          <t>Reference sheet H18 (Input prices - Cerlestes/raw)</t>
        </is>
      </c>
    </row>
    <row r="24">
      <c r="A24" s="0" t="inlineStr">
        <is>
          <t>Fertilizer</t>
        </is>
      </c>
      <c r="B24" s="0" t="inlineStr">
        <is>
          <t>P2</t>
        </is>
      </c>
      <c r="C24" s="0" t="inlineStr">
        <is>
          <t>Reference sheet K38:L38 (Material reference)</t>
        </is>
      </c>
    </row>
    <row r="25">
      <c r="A25" s="0" t="inlineStr">
        <is>
          <t>Gel-Matrix Biopaste</t>
        </is>
      </c>
      <c r="B25" s="0" t="inlineStr">
        <is>
          <t>P3</t>
        </is>
      </c>
      <c r="C25" s="0" t="inlineStr">
        <is>
          <t>Reference sheet K9:L9 (Material reference)</t>
        </is>
      </c>
    </row>
    <row r="26">
      <c r="A26" s="0" t="inlineStr">
        <is>
          <t>Genetically Enhanced Livestock</t>
        </is>
      </c>
      <c r="B26" s="0" t="inlineStr">
        <is>
          <t>P2</t>
        </is>
      </c>
      <c r="C26" s="0" t="inlineStr">
        <is>
          <t>Reference sheet K39:L39 (Material reference)</t>
        </is>
      </c>
    </row>
    <row r="27">
      <c r="A27" s="0" t="inlineStr">
        <is>
          <t>Guidance Systems</t>
        </is>
      </c>
      <c r="B27" s="0" t="inlineStr">
        <is>
          <t>P3</t>
        </is>
      </c>
      <c r="C27" s="0" t="inlineStr">
        <is>
          <t>Reference sheet K10:L10 (Material reference)</t>
        </is>
      </c>
    </row>
    <row r="28">
      <c r="A28" s="0" t="inlineStr">
        <is>
          <t>Hazmat Detection Systems</t>
        </is>
      </c>
      <c r="B28" s="0" t="inlineStr">
        <is>
          <t>P3</t>
        </is>
      </c>
      <c r="C28" s="0" t="inlineStr">
        <is>
          <t>Reference sheet K11:L11 (Material reference)</t>
        </is>
      </c>
    </row>
    <row r="29">
      <c r="A29" s="0" t="inlineStr">
        <is>
          <t>Heavy Metals</t>
        </is>
      </c>
      <c r="B29" s="0" t="inlineStr">
        <is>
          <t>Raw material</t>
        </is>
      </c>
      <c r="C29" s="0" t="inlineStr">
        <is>
          <t>Reference sheet H19 (Input prices - Cerlestes/raw)</t>
        </is>
      </c>
    </row>
    <row r="30">
      <c r="A30" s="0" t="inlineStr">
        <is>
          <t>Hermetic Membranes</t>
        </is>
      </c>
      <c r="B30" s="0" t="inlineStr">
        <is>
          <t>P3</t>
        </is>
      </c>
      <c r="C30" s="0" t="inlineStr">
        <is>
          <t>Reference sheet K12:L12 (Material reference)</t>
        </is>
      </c>
    </row>
    <row r="31">
      <c r="A31" s="0" t="inlineStr">
        <is>
          <t>High-Tech Transmitters</t>
        </is>
      </c>
      <c r="B31" s="0" t="inlineStr">
        <is>
          <t>P3</t>
        </is>
      </c>
      <c r="C31" s="0" t="inlineStr">
        <is>
          <t>Reference sheet K13:L13 (Material reference)</t>
        </is>
      </c>
    </row>
    <row r="32">
      <c r="A32" s="0" t="inlineStr">
        <is>
          <t>Industrial Explosives</t>
        </is>
      </c>
      <c r="B32" s="0" t="inlineStr">
        <is>
          <t>P3</t>
        </is>
      </c>
      <c r="C32" s="0" t="inlineStr">
        <is>
          <t>Reference sheet K14:L14 (Material reference)</t>
        </is>
      </c>
    </row>
    <row r="33">
      <c r="A33" s="0" t="inlineStr">
        <is>
          <t>Industrial Fibers</t>
        </is>
      </c>
      <c r="B33" s="0" t="inlineStr">
        <is>
          <t>P1</t>
        </is>
      </c>
      <c r="C33" s="0" t="inlineStr">
        <is>
          <t>Reference sheet K62:L62 (Material reference)</t>
        </is>
      </c>
    </row>
    <row r="34">
      <c r="A34" s="0" t="inlineStr">
        <is>
          <t>Integrity Response Drones</t>
        </is>
      </c>
      <c r="B34" s="0" t="inlineStr">
        <is>
          <t>P4</t>
        </is>
      </c>
      <c r="C34" s="0" t="inlineStr">
        <is>
          <t>Reference sheet K26:L26 (Material reference)</t>
        </is>
      </c>
    </row>
    <row r="35">
      <c r="A35" s="0" t="inlineStr">
        <is>
          <t>Ionic Solutions</t>
        </is>
      </c>
      <c r="B35" s="0" t="inlineStr">
        <is>
          <t>Raw material</t>
        </is>
      </c>
      <c r="C35" s="0" t="inlineStr">
        <is>
          <t>Reference sheet H20 (Input prices - Cerlestes/raw)</t>
        </is>
      </c>
    </row>
    <row r="36">
      <c r="A36" s="0" t="inlineStr">
        <is>
          <t>Isogen</t>
        </is>
      </c>
      <c r="B36" s="0" t="inlineStr">
        <is>
          <t>Mineral</t>
        </is>
      </c>
      <c r="C36" s="0" t="inlineStr">
        <is>
          <t>Reference sheet H5 (Input prices - Minerals)</t>
        </is>
      </c>
    </row>
    <row r="37">
      <c r="A37" s="0" t="inlineStr">
        <is>
          <t>Livestock</t>
        </is>
      </c>
      <c r="B37" s="0" t="inlineStr">
        <is>
          <t>P2</t>
        </is>
      </c>
      <c r="C37" s="0" t="inlineStr">
        <is>
          <t>Reference sheet K40:L40 (Material reference)</t>
        </is>
      </c>
    </row>
    <row r="38">
      <c r="A38" s="0" t="inlineStr">
        <is>
          <t>Mechanical Parts</t>
        </is>
      </c>
      <c r="B38" s="0" t="inlineStr">
        <is>
          <t>P2</t>
        </is>
      </c>
      <c r="C38" s="0" t="inlineStr">
        <is>
          <t>Reference sheet K41:L41 (Material reference)</t>
        </is>
      </c>
    </row>
    <row r="39">
      <c r="A39" s="0" t="inlineStr">
        <is>
          <t>Megacyte</t>
        </is>
      </c>
      <c r="B39" s="0" t="inlineStr">
        <is>
          <t>Mineral</t>
        </is>
      </c>
      <c r="C39" s="0" t="inlineStr">
        <is>
          <t>Reference sheet H6 (Input prices - Minerals)</t>
        </is>
      </c>
    </row>
    <row r="40">
      <c r="A40" s="0" t="inlineStr">
        <is>
          <t>Mexallon</t>
        </is>
      </c>
      <c r="B40" s="0" t="inlineStr">
        <is>
          <t>Mineral</t>
        </is>
      </c>
      <c r="C40" s="0" t="inlineStr">
        <is>
          <t>Reference sheet H7 (Input prices - Minerals)</t>
        </is>
      </c>
    </row>
    <row r="41">
      <c r="A41" s="0" t="inlineStr">
        <is>
          <t>Microfiber Shielding</t>
        </is>
      </c>
      <c r="B41" s="0" t="inlineStr">
        <is>
          <t>P2</t>
        </is>
      </c>
      <c r="C41" s="0" t="inlineStr">
        <is>
          <t>Reference sheet K42:L42 (Material reference)</t>
        </is>
      </c>
    </row>
    <row r="42">
      <c r="A42" s="0" t="inlineStr">
        <is>
          <t>Microorganisms</t>
        </is>
      </c>
      <c r="B42" s="0" t="inlineStr">
        <is>
          <t>Raw material</t>
        </is>
      </c>
      <c r="C42" s="0" t="inlineStr">
        <is>
          <t>Reference sheet H21 (Input prices - Cerlestes/raw)</t>
        </is>
      </c>
    </row>
    <row r="43">
      <c r="A43" s="0" t="inlineStr">
        <is>
          <t>Miniature Electronics</t>
        </is>
      </c>
      <c r="B43" s="0" t="inlineStr">
        <is>
          <t>P2</t>
        </is>
      </c>
      <c r="C43" s="0" t="inlineStr">
        <is>
          <t>Reference sheet K43:L43 (Material reference)</t>
        </is>
      </c>
    </row>
    <row r="44">
      <c r="A44" s="0" t="inlineStr">
        <is>
          <t>Nanites</t>
        </is>
      </c>
      <c r="B44" s="0" t="inlineStr">
        <is>
          <t>P2</t>
        </is>
      </c>
      <c r="C44" s="0" t="inlineStr">
        <is>
          <t>Reference sheet K44:L44 (Material reference)</t>
        </is>
      </c>
    </row>
    <row r="45">
      <c r="A45" s="0" t="inlineStr">
        <is>
          <t>Nano-Factory</t>
        </is>
      </c>
      <c r="B45" s="0" t="inlineStr">
        <is>
          <t>P4</t>
        </is>
      </c>
      <c r="C45" s="0" t="inlineStr">
        <is>
          <t>Reference sheet K27:L27 (Material reference)</t>
        </is>
      </c>
    </row>
    <row r="46">
      <c r="A46" s="0" t="inlineStr">
        <is>
          <t>Neocoms</t>
        </is>
      </c>
      <c r="B46" s="0" t="inlineStr">
        <is>
          <t>P3</t>
        </is>
      </c>
      <c r="C46" s="0" t="inlineStr">
        <is>
          <t>Reference sheet K15:L15 (Material reference)</t>
        </is>
      </c>
    </row>
    <row r="47">
      <c r="A47" s="0" t="inlineStr">
        <is>
          <t>Noble Gas</t>
        </is>
      </c>
      <c r="B47" s="0" t="inlineStr">
        <is>
          <t>Raw material</t>
        </is>
      </c>
      <c r="C47" s="0" t="inlineStr">
        <is>
          <t>Reference sheet H22 (Input prices - Cerlestes/raw)</t>
        </is>
      </c>
    </row>
    <row r="48">
      <c r="A48" s="0" t="inlineStr">
        <is>
          <t>Noble Metals</t>
        </is>
      </c>
      <c r="B48" s="0" t="inlineStr">
        <is>
          <t>Raw material</t>
        </is>
      </c>
      <c r="C48" s="0" t="inlineStr">
        <is>
          <t>Reference sheet H23 (Input prices - Cerlestes/raw)</t>
        </is>
      </c>
    </row>
    <row r="49">
      <c r="A49" s="0" t="inlineStr">
        <is>
          <t>Nocxium</t>
        </is>
      </c>
      <c r="B49" s="0" t="inlineStr">
        <is>
          <t>Mineral</t>
        </is>
      </c>
      <c r="C49" s="0" t="inlineStr">
        <is>
          <t>Reference sheet H8 (Input prices - Minerals)</t>
        </is>
      </c>
    </row>
    <row r="50">
      <c r="A50" s="0" t="inlineStr">
        <is>
          <t>Non-CS Crystals</t>
        </is>
      </c>
      <c r="B50" s="0" t="inlineStr">
        <is>
          <t>Raw material</t>
        </is>
      </c>
      <c r="C50" s="0" t="inlineStr">
        <is>
          <t>Reference sheet H24 (Input prices - Cerlestes/raw)</t>
        </is>
      </c>
    </row>
    <row r="51">
      <c r="A51" s="0" t="inlineStr">
        <is>
          <t>Nuclear Reactors</t>
        </is>
      </c>
      <c r="B51" s="0" t="inlineStr">
        <is>
          <t>P3</t>
        </is>
      </c>
      <c r="C51" s="0" t="inlineStr">
        <is>
          <t>Reference sheet K16:L16 (Material reference)</t>
        </is>
      </c>
    </row>
    <row r="52">
      <c r="A52" s="0" t="inlineStr">
        <is>
          <t>Organic Mortar Applicators</t>
        </is>
      </c>
      <c r="B52" s="0" t="inlineStr">
        <is>
          <t>P4</t>
        </is>
      </c>
      <c r="C52" s="0" t="inlineStr">
        <is>
          <t>Reference sheet K28:L28 (Material reference)</t>
        </is>
      </c>
    </row>
    <row r="53">
      <c r="A53" s="0" t="inlineStr">
        <is>
          <t>Oxides</t>
        </is>
      </c>
      <c r="B53" s="0" t="inlineStr">
        <is>
          <t>P2</t>
        </is>
      </c>
      <c r="C53" s="0" t="inlineStr">
        <is>
          <t>Reference sheet K45:L45 (Material reference)</t>
        </is>
      </c>
    </row>
    <row r="54">
      <c r="A54" s="0" t="inlineStr">
        <is>
          <t>Oxidizing Compound</t>
        </is>
      </c>
      <c r="B54" s="0" t="inlineStr">
        <is>
          <t>P1</t>
        </is>
      </c>
      <c r="C54" s="0" t="inlineStr">
        <is>
          <t>Reference sheet K63:L63 (Material reference)</t>
        </is>
      </c>
    </row>
    <row r="55">
      <c r="A55" s="0" t="inlineStr">
        <is>
          <t>Oxygen</t>
        </is>
      </c>
      <c r="B55" s="0" t="inlineStr">
        <is>
          <t>P1</t>
        </is>
      </c>
      <c r="C55" s="0" t="inlineStr">
        <is>
          <t>Reference sheet K64:L64 (Material reference)</t>
        </is>
      </c>
    </row>
    <row r="56">
      <c r="A56" s="0" t="inlineStr">
        <is>
          <t>Planetary Vehicles</t>
        </is>
      </c>
      <c r="B56" s="0" t="inlineStr">
        <is>
          <t>P3</t>
        </is>
      </c>
      <c r="C56" s="0" t="inlineStr">
        <is>
          <t>Reference sheet K17:L17 (Material reference)</t>
        </is>
      </c>
    </row>
    <row r="57">
      <c r="A57" s="0" t="inlineStr">
        <is>
          <t>Planktic Colonies</t>
        </is>
      </c>
      <c r="B57" s="0" t="inlineStr">
        <is>
          <t>Raw material</t>
        </is>
      </c>
      <c r="C57" s="0" t="inlineStr">
        <is>
          <t>Reference sheet H25 (Input prices - Cerlestes/raw)</t>
        </is>
      </c>
    </row>
    <row r="58">
      <c r="A58" s="0" t="inlineStr">
        <is>
          <t>Plasmoids</t>
        </is>
      </c>
      <c r="B58" s="0" t="inlineStr">
        <is>
          <t>P1</t>
        </is>
      </c>
      <c r="C58" s="0" t="inlineStr">
        <is>
          <t>Reference sheet K65:L65 (Material reference)</t>
        </is>
      </c>
    </row>
    <row r="59">
      <c r="A59" s="0" t="inlineStr">
        <is>
          <t>Polyaramids</t>
        </is>
      </c>
      <c r="B59" s="0" t="inlineStr">
        <is>
          <t>P2</t>
        </is>
      </c>
      <c r="C59" s="0" t="inlineStr">
        <is>
          <t>Reference sheet K46:L46 (Material reference)</t>
        </is>
      </c>
    </row>
    <row r="60">
      <c r="A60" s="0" t="inlineStr">
        <is>
          <t>Polytextiles</t>
        </is>
      </c>
      <c r="B60" s="0" t="inlineStr">
        <is>
          <t>P2</t>
        </is>
      </c>
      <c r="C60" s="0" t="inlineStr">
        <is>
          <t>Reference sheet K47:L47 (Material reference)</t>
        </is>
      </c>
    </row>
    <row r="61">
      <c r="A61" s="0" t="inlineStr">
        <is>
          <t>Precious Metals</t>
        </is>
      </c>
      <c r="B61" s="0" t="inlineStr">
        <is>
          <t>P1</t>
        </is>
      </c>
      <c r="C61" s="0" t="inlineStr">
        <is>
          <t>Reference sheet K66:L66 (Material reference)</t>
        </is>
      </c>
    </row>
    <row r="62">
      <c r="A62" s="0" t="inlineStr">
        <is>
          <t>Proteins</t>
        </is>
      </c>
      <c r="B62" s="0" t="inlineStr">
        <is>
          <t>P1</t>
        </is>
      </c>
      <c r="C62" s="0" t="inlineStr">
        <is>
          <t>Reference sheet K67:L67 (Material reference)</t>
        </is>
      </c>
    </row>
    <row r="63">
      <c r="A63" s="0" t="inlineStr">
        <is>
          <t>Pyerite</t>
        </is>
      </c>
      <c r="B63" s="0" t="inlineStr">
        <is>
          <t>Mineral</t>
        </is>
      </c>
      <c r="C63" s="0" t="inlineStr">
        <is>
          <t>Reference sheet H9 (Input prices - Minerals)</t>
        </is>
      </c>
    </row>
    <row r="64">
      <c r="A64" s="0" t="inlineStr">
        <is>
          <t>Reactive Gas</t>
        </is>
      </c>
      <c r="B64" s="0" t="inlineStr">
        <is>
          <t>Raw material</t>
        </is>
      </c>
      <c r="C64" s="0" t="inlineStr">
        <is>
          <t>Reference sheet H26 (Input prices - Cerlestes/raw)</t>
        </is>
      </c>
    </row>
    <row r="65">
      <c r="A65" s="0" t="inlineStr">
        <is>
          <t>Reactive Metals</t>
        </is>
      </c>
      <c r="B65" s="0" t="inlineStr">
        <is>
          <t>P1</t>
        </is>
      </c>
      <c r="C65" s="0" t="inlineStr">
        <is>
          <t>Reference sheet K68:L68 (Material reference)</t>
        </is>
      </c>
    </row>
    <row r="66">
      <c r="A66" s="0" t="inlineStr">
        <is>
          <t>Recursive Computing Module</t>
        </is>
      </c>
      <c r="B66" s="0" t="inlineStr">
        <is>
          <t>P4</t>
        </is>
      </c>
      <c r="C66" s="0" t="inlineStr">
        <is>
          <t>Reference sheet K29:L29 (Material reference)</t>
        </is>
      </c>
    </row>
    <row r="67">
      <c r="A67" s="0" t="inlineStr">
        <is>
          <t>Robotics</t>
        </is>
      </c>
      <c r="B67" s="0" t="inlineStr">
        <is>
          <t>P3</t>
        </is>
      </c>
      <c r="C67" s="0" t="inlineStr">
        <is>
          <t>Reference sheet K18:L18 (Material reference)</t>
        </is>
      </c>
    </row>
    <row r="68">
      <c r="A68" s="0" t="inlineStr">
        <is>
          <t>Rocket Fuel</t>
        </is>
      </c>
      <c r="B68" s="0" t="inlineStr">
        <is>
          <t>P2</t>
        </is>
      </c>
      <c r="C68" s="0" t="inlineStr">
        <is>
          <t>Reference sheet K48:L48 (Material reference)</t>
        </is>
      </c>
    </row>
    <row r="69">
      <c r="A69" s="0" t="inlineStr">
        <is>
          <t>Self-Harmonizing Power Core</t>
        </is>
      </c>
      <c r="B69" s="0" t="inlineStr">
        <is>
          <t>P4</t>
        </is>
      </c>
      <c r="C69" s="0" t="inlineStr">
        <is>
          <t>Reference sheet K30:L30 (Material reference)</t>
        </is>
      </c>
    </row>
    <row r="70">
      <c r="A70" s="0" t="inlineStr">
        <is>
          <t>Silicate Glass</t>
        </is>
      </c>
      <c r="B70" s="0" t="inlineStr">
        <is>
          <t>P2</t>
        </is>
      </c>
      <c r="C70" s="0" t="inlineStr">
        <is>
          <t>Reference sheet K49:L49 (Material reference)</t>
        </is>
      </c>
    </row>
    <row r="71">
      <c r="A71" s="0" t="inlineStr">
        <is>
          <t>Silicon</t>
        </is>
      </c>
      <c r="B71" s="0" t="inlineStr">
        <is>
          <t>P1</t>
        </is>
      </c>
      <c r="C71" s="0" t="inlineStr">
        <is>
          <t>Reference sheet K69:L69 (Material reference)</t>
        </is>
      </c>
    </row>
    <row r="72">
      <c r="A72" s="0" t="inlineStr">
        <is>
          <t>Smartfab Units</t>
        </is>
      </c>
      <c r="B72" s="0" t="inlineStr">
        <is>
          <t>P3</t>
        </is>
      </c>
      <c r="C72" s="0" t="inlineStr">
        <is>
          <t>Reference sheet K19:L19 (Material reference)</t>
        </is>
      </c>
    </row>
    <row r="73">
      <c r="A73" s="0" t="inlineStr">
        <is>
          <t>Sterile Conduits</t>
        </is>
      </c>
      <c r="B73" s="0" t="inlineStr">
        <is>
          <t>P4</t>
        </is>
      </c>
      <c r="C73" s="0" t="inlineStr">
        <is>
          <t>Reference sheet K31:L31 (Material reference)</t>
        </is>
      </c>
    </row>
    <row r="74">
      <c r="A74" s="0" t="inlineStr">
        <is>
          <t>Structure Construction Parts</t>
        </is>
      </c>
      <c r="B74" s="0" t="inlineStr">
        <is>
          <t>Space station structure</t>
        </is>
      </c>
      <c r="C74" s="0" t="inlineStr">
        <is>
          <t>Reference sheet K86:L86 (Material reference)</t>
        </is>
      </c>
    </row>
    <row r="75">
      <c r="A75" s="0" t="inlineStr">
        <is>
          <t>Structure Docking Bay</t>
        </is>
      </c>
      <c r="B75" s="0" t="inlineStr">
        <is>
          <t>Space station structure</t>
        </is>
      </c>
      <c r="C75" s="0" t="inlineStr">
        <is>
          <t>Reference sheet K79:L79 (Material reference)</t>
        </is>
      </c>
    </row>
    <row r="76">
      <c r="A76" s="0" t="inlineStr">
        <is>
          <t>Structure Hangar Array</t>
        </is>
      </c>
      <c r="B76" s="0" t="inlineStr">
        <is>
          <t>Space station structure</t>
        </is>
      </c>
      <c r="C76" s="0" t="inlineStr">
        <is>
          <t>Reference sheet K80:L80 (Material reference)</t>
        </is>
      </c>
    </row>
    <row r="77">
      <c r="A77" s="0" t="inlineStr">
        <is>
          <t>Structure Market Network</t>
        </is>
      </c>
      <c r="B77" s="0" t="inlineStr">
        <is>
          <t>Space station structure</t>
        </is>
      </c>
      <c r="C77" s="0" t="inlineStr">
        <is>
          <t>Reference sheet K81:L81 (Material reference)</t>
        </is>
      </c>
    </row>
    <row r="78">
      <c r="A78" s="0" t="inlineStr">
        <is>
          <t>Structure Medical Center</t>
        </is>
      </c>
      <c r="B78" s="0" t="inlineStr">
        <is>
          <t>Space station structure</t>
        </is>
      </c>
      <c r="C78" s="0" t="inlineStr">
        <is>
          <t>Reference sheet K82:L82 (Material reference)</t>
        </is>
      </c>
    </row>
    <row r="79">
      <c r="A79" s="0" t="inlineStr">
        <is>
          <t>Structure Office Center</t>
        </is>
      </c>
      <c r="B79" s="0" t="inlineStr">
        <is>
          <t>Space station structure</t>
        </is>
      </c>
      <c r="C79" s="0" t="inlineStr">
        <is>
          <t>Reference sheet K83:L83 (Material reference)</t>
        </is>
      </c>
    </row>
    <row r="80">
      <c r="A80" s="0" t="inlineStr">
        <is>
          <t>Structure Repair Facility</t>
        </is>
      </c>
      <c r="B80" s="0" t="inlineStr">
        <is>
          <t>Space station structure</t>
        </is>
      </c>
      <c r="C80" s="0" t="inlineStr">
        <is>
          <t>Reference sheet K84:L84 (Material reference)</t>
        </is>
      </c>
    </row>
    <row r="81">
      <c r="A81" s="0" t="inlineStr">
        <is>
          <t>Structure Storage Bay</t>
        </is>
      </c>
      <c r="B81" s="0" t="inlineStr">
        <is>
          <t>Space station structure</t>
        </is>
      </c>
      <c r="C81" s="0" t="inlineStr">
        <is>
          <t>Reference sheet K85:L85 (Material reference)</t>
        </is>
      </c>
    </row>
    <row r="82">
      <c r="A82" s="0" t="inlineStr">
        <is>
          <t>Supercomputers</t>
        </is>
      </c>
      <c r="B82" s="0" t="inlineStr">
        <is>
          <t>P3</t>
        </is>
      </c>
      <c r="C82" s="0" t="inlineStr">
        <is>
          <t>Reference sheet K20:L20 (Material reference)</t>
        </is>
      </c>
    </row>
    <row r="83">
      <c r="A83" s="0" t="inlineStr">
        <is>
          <t>Superconductors</t>
        </is>
      </c>
      <c r="B83" s="0" t="inlineStr">
        <is>
          <t>P2</t>
        </is>
      </c>
      <c r="C83" s="0" t="inlineStr">
        <is>
          <t>Reference sheet K50:L50 (Material reference)</t>
        </is>
      </c>
    </row>
    <row r="84">
      <c r="A84" s="0" t="inlineStr">
        <is>
          <t>Supertensile Plastics</t>
        </is>
      </c>
      <c r="B84" s="0" t="inlineStr">
        <is>
          <t>P2</t>
        </is>
      </c>
      <c r="C84" s="0" t="inlineStr">
        <is>
          <t>Reference sheet K51:L51 (Material reference)</t>
        </is>
      </c>
    </row>
    <row r="85">
      <c r="A85" s="0" t="inlineStr">
        <is>
          <t>Suspended Plasma</t>
        </is>
      </c>
      <c r="B85" s="0" t="inlineStr">
        <is>
          <t>Raw material</t>
        </is>
      </c>
      <c r="C85" s="0" t="inlineStr">
        <is>
          <t>Reference sheet H27 (Input prices - Cerlestes/raw)</t>
        </is>
      </c>
    </row>
    <row r="86">
      <c r="A86" s="0" t="inlineStr">
        <is>
          <t>Synthetic Oil</t>
        </is>
      </c>
      <c r="B86" s="0" t="inlineStr">
        <is>
          <t>P2</t>
        </is>
      </c>
      <c r="C86" s="0" t="inlineStr">
        <is>
          <t>Reference sheet K52:L52 (Material reference)</t>
        </is>
      </c>
    </row>
    <row r="87">
      <c r="A87" s="0" t="inlineStr">
        <is>
          <t>Synthetic Synapses</t>
        </is>
      </c>
      <c r="B87" s="0" t="inlineStr">
        <is>
          <t>P3</t>
        </is>
      </c>
      <c r="C87" s="0" t="inlineStr">
        <is>
          <t>Reference sheet K21:L21 (Material reference)</t>
        </is>
      </c>
    </row>
    <row r="88">
      <c r="A88" s="0" t="inlineStr">
        <is>
          <t>Test Cultures</t>
        </is>
      </c>
      <c r="B88" s="0" t="inlineStr">
        <is>
          <t>P2</t>
        </is>
      </c>
      <c r="C88" s="0" t="inlineStr">
        <is>
          <t>Reference sheet K53:L53 (Material reference)</t>
        </is>
      </c>
    </row>
    <row r="89">
      <c r="A89" s="0" t="inlineStr">
        <is>
          <t>Toxic Metals</t>
        </is>
      </c>
      <c r="B89" s="0" t="inlineStr">
        <is>
          <t>P1</t>
        </is>
      </c>
      <c r="C89" s="0" t="inlineStr">
        <is>
          <t>Reference sheet K70:L70 (Material reference)</t>
        </is>
      </c>
    </row>
    <row r="90">
      <c r="A90" s="0" t="inlineStr">
        <is>
          <t>Transcranial Microcontrollers</t>
        </is>
      </c>
      <c r="B90" s="0" t="inlineStr">
        <is>
          <t>P3</t>
        </is>
      </c>
      <c r="C90" s="0" t="inlineStr">
        <is>
          <t>Reference sheet K22:L22 (Material reference)</t>
        </is>
      </c>
    </row>
    <row r="91">
      <c r="A91" s="0" t="inlineStr">
        <is>
          <t>Transmitter</t>
        </is>
      </c>
      <c r="B91" s="0" t="inlineStr">
        <is>
          <t>P2</t>
        </is>
      </c>
      <c r="C91" s="0" t="inlineStr">
        <is>
          <t>Reference sheet K54:L54 (Material reference)</t>
        </is>
      </c>
    </row>
    <row r="92">
      <c r="A92" s="0" t="inlineStr">
        <is>
          <t>Tritanium</t>
        </is>
      </c>
      <c r="B92" s="0" t="inlineStr">
        <is>
          <t>Mineral</t>
        </is>
      </c>
      <c r="C92" s="0" t="inlineStr">
        <is>
          <t>Reference sheet H10 (Input prices - Minerals)</t>
        </is>
      </c>
    </row>
    <row r="93">
      <c r="A93" s="0" t="inlineStr">
        <is>
          <t>Ukomi Superconductors</t>
        </is>
      </c>
      <c r="B93" s="0" t="inlineStr">
        <is>
          <t>P3</t>
        </is>
      </c>
      <c r="C93" s="0" t="inlineStr">
        <is>
          <t>Reference sheet K23:L23 (Material reference)</t>
        </is>
      </c>
    </row>
    <row r="94">
      <c r="A94" s="0" t="inlineStr">
        <is>
          <t>Vaccines</t>
        </is>
      </c>
      <c r="B94" s="0" t="inlineStr">
        <is>
          <t>P3</t>
        </is>
      </c>
      <c r="C94" s="0" t="inlineStr">
        <is>
          <t>Reference sheet K24:L24 (Material reference)</t>
        </is>
      </c>
    </row>
    <row r="95">
      <c r="A95" s="0" t="inlineStr">
        <is>
          <t>Viral Agent</t>
        </is>
      </c>
      <c r="B95" s="0" t="inlineStr">
        <is>
          <t>P2</t>
        </is>
      </c>
      <c r="C95" s="0" t="inlineStr">
        <is>
          <t>Reference sheet K55:L55 (Material reference)</t>
        </is>
      </c>
    </row>
    <row r="96">
      <c r="A96" s="0" t="inlineStr">
        <is>
          <t>Water</t>
        </is>
      </c>
      <c r="B96" s="0" t="inlineStr">
        <is>
          <t>P1</t>
        </is>
      </c>
      <c r="C96" s="0" t="inlineStr">
        <is>
          <t>Reference sheet K71:L71 (Material reference)</t>
        </is>
      </c>
    </row>
    <row r="97">
      <c r="A97" s="0" t="inlineStr">
        <is>
          <t>Water-Cooled CPU</t>
        </is>
      </c>
      <c r="B97" s="0" t="inlineStr">
        <is>
          <t>P2</t>
        </is>
      </c>
      <c r="C97" s="0" t="inlineStr">
        <is>
          <t>Reference sheet K56:L56 (Material reference)</t>
        </is>
      </c>
    </row>
    <row r="98">
      <c r="A98" s="0" t="inlineStr">
        <is>
          <t>Wetware Mainframe</t>
        </is>
      </c>
      <c r="B98" s="0" t="inlineStr">
        <is>
          <t>P4</t>
        </is>
      </c>
      <c r="C98" s="0" t="inlineStr">
        <is>
          <t>Reference sheet K32:L32 (Material reference)</t>
        </is>
      </c>
    </row>
    <row r="99">
      <c r="A99" s="0" t="inlineStr">
        <is>
          <t>Zydrine</t>
        </is>
      </c>
      <c r="B99" s="0" t="inlineStr">
        <is>
          <t>Mineral</t>
        </is>
      </c>
      <c r="C99" s="0" t="inlineStr">
        <is>
          <t>Reference sheet H11 (Input prices - Minerals)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34"/>
  <sheetViews>
    <sheetView workbookViewId="0">
      <selection activeCell="A1" sqref="A1"/>
    </sheetView>
  </sheetViews>
  <sheetFormatPr baseColWidth="8" defaultRowHeight="15"/>
  <cols>
    <col width="16" customWidth="1" style="24" min="1" max="1"/>
    <col width="26" customWidth="1" style="24" min="2" max="2"/>
    <col width="30" customWidth="1" style="24" min="3" max="3"/>
    <col width="16" customWidth="1" style="24" min="4" max="4"/>
    <col width="14" customWidth="1" style="24" min="5" max="5"/>
    <col width="18" customWidth="1" style="24" min="6" max="6"/>
    <col width="16" customWidth="1" style="24" min="7" max="7"/>
    <col width="16" customWidth="1" style="24" min="8" max="8"/>
    <col width="12" customWidth="1" style="24" min="9" max="9"/>
  </cols>
  <sheetData>
    <row r="1">
      <c r="A1" s="25" t="inlineStr">
        <is>
          <t>Ref.Row</t>
        </is>
      </c>
      <c r="B1" s="25" t="inlineStr">
        <is>
          <t>Astrahus Component</t>
        </is>
      </c>
      <c r="C1" s="25" t="inlineStr">
        <is>
          <t>Item Name</t>
        </is>
      </c>
      <c r="D1" s="25" t="inlineStr">
        <is>
          <t>Quantity Required</t>
        </is>
      </c>
      <c r="E1" s="25" t="inlineStr">
        <is>
          <t>Tier (VLOOKUP)</t>
        </is>
      </c>
      <c r="F1" s="25" t="inlineStr">
        <is>
          <t>Time/cycle hrs (VLOOKUP)</t>
        </is>
      </c>
      <c r="G1" s="25" t="inlineStr">
        <is>
          <t>Output/cycle (VLOOKUP)</t>
        </is>
      </c>
      <c r="H1" s="25" t="inlineStr">
        <is>
          <t>Cycles Needed (CEILING)</t>
        </is>
      </c>
      <c r="I1" s="25" t="inlineStr">
        <is>
          <t>Total Hours</t>
        </is>
      </c>
    </row>
    <row r="2">
      <c r="A2" s="0" t="inlineStr">
        <is>
          <t>'Reference sheet'!N4</t>
        </is>
      </c>
      <c r="B2" s="0" t="inlineStr">
        <is>
          <t>Structure Construction Parts</t>
        </is>
      </c>
      <c r="C2" s="0" t="inlineStr">
        <is>
          <t>Structure Construction Parts</t>
        </is>
      </c>
      <c r="D2" s="0" t="n">
        <v>1</v>
      </c>
      <c r="E2" s="0">
        <f>VLOOKUP(C2,'Item Tier Lookup'!$A:$B,2,FALSE)</f>
        <v/>
      </c>
      <c r="F2" s="0">
        <f>VLOOKUP(E2,'Tier Params'!$A:$B,2,FALSE)</f>
        <v/>
      </c>
      <c r="G2" s="0">
        <f>VLOOKUP(E2,'Tier Params'!$A:$C,3,FALSE)</f>
        <v/>
      </c>
      <c r="H2" s="0">
        <f>CEILING(D2/G2,1)</f>
        <v/>
      </c>
      <c r="I2" s="0">
        <f>H2*F2</f>
        <v/>
      </c>
    </row>
    <row r="3">
      <c r="A3" s="0" t="inlineStr">
        <is>
          <t>'Reference sheet'!N5</t>
        </is>
      </c>
      <c r="B3" s="0" t="inlineStr">
        <is>
          <t>Structure Construction Parts</t>
        </is>
      </c>
      <c r="C3" s="0" t="inlineStr">
        <is>
          <t>Tritanium</t>
        </is>
      </c>
      <c r="D3" s="0" t="n">
        <v>450000</v>
      </c>
      <c r="E3" s="0">
        <f>VLOOKUP(C3,'Item Tier Lookup'!$A:$B,2,FALSE)</f>
        <v/>
      </c>
      <c r="F3" s="0">
        <f>VLOOKUP(E3,'Tier Params'!$A:$B,2,FALSE)</f>
        <v/>
      </c>
      <c r="G3" s="0">
        <f>VLOOKUP(E3,'Tier Params'!$A:$C,3,FALSE)</f>
        <v/>
      </c>
      <c r="H3" s="0">
        <f>CEILING(D3/G3,1)</f>
        <v/>
      </c>
      <c r="I3" s="0">
        <f>H3*F3</f>
        <v/>
      </c>
    </row>
    <row r="4">
      <c r="A4" s="0" t="inlineStr">
        <is>
          <t>'Reference sheet'!N6</t>
        </is>
      </c>
      <c r="B4" s="0" t="inlineStr">
        <is>
          <t>Structure Construction Parts</t>
        </is>
      </c>
      <c r="C4" s="0" t="inlineStr">
        <is>
          <t>Pyerite</t>
        </is>
      </c>
      <c r="D4" s="0" t="n">
        <v>90000</v>
      </c>
      <c r="E4" s="0">
        <f>VLOOKUP(C4,'Item Tier Lookup'!$A:$B,2,FALSE)</f>
        <v/>
      </c>
      <c r="F4" s="0">
        <f>VLOOKUP(E4,'Tier Params'!$A:$B,2,FALSE)</f>
        <v/>
      </c>
      <c r="G4" s="0">
        <f>VLOOKUP(E4,'Tier Params'!$A:$C,3,FALSE)</f>
        <v/>
      </c>
      <c r="H4" s="0">
        <f>CEILING(D4/G4,1)</f>
        <v/>
      </c>
      <c r="I4" s="0">
        <f>H4*F4</f>
        <v/>
      </c>
    </row>
    <row r="5">
      <c r="A5" s="0" t="inlineStr">
        <is>
          <t>'Reference sheet'!N7</t>
        </is>
      </c>
      <c r="B5" s="0" t="inlineStr">
        <is>
          <t>Structure Construction Parts</t>
        </is>
      </c>
      <c r="C5" s="0" t="inlineStr">
        <is>
          <t>Mexallon</t>
        </is>
      </c>
      <c r="D5" s="0" t="n">
        <v>31500</v>
      </c>
      <c r="E5" s="0">
        <f>VLOOKUP(C5,'Item Tier Lookup'!$A:$B,2,FALSE)</f>
        <v/>
      </c>
      <c r="F5" s="0">
        <f>VLOOKUP(E5,'Tier Params'!$A:$B,2,FALSE)</f>
        <v/>
      </c>
      <c r="G5" s="0">
        <f>VLOOKUP(E5,'Tier Params'!$A:$C,3,FALSE)</f>
        <v/>
      </c>
      <c r="H5" s="0">
        <f>CEILING(D5/G5,1)</f>
        <v/>
      </c>
      <c r="I5" s="0">
        <f>H5*F5</f>
        <v/>
      </c>
    </row>
    <row r="6">
      <c r="A6" s="0" t="inlineStr">
        <is>
          <t>'Reference sheet'!N8</t>
        </is>
      </c>
      <c r="B6" s="0" t="inlineStr">
        <is>
          <t>Structure Construction Parts</t>
        </is>
      </c>
      <c r="C6" s="0" t="inlineStr">
        <is>
          <t>Isogen</t>
        </is>
      </c>
      <c r="D6" s="0" t="n">
        <v>3600</v>
      </c>
      <c r="E6" s="0">
        <f>VLOOKUP(C6,'Item Tier Lookup'!$A:$B,2,FALSE)</f>
        <v/>
      </c>
      <c r="F6" s="0">
        <f>VLOOKUP(E6,'Tier Params'!$A:$B,2,FALSE)</f>
        <v/>
      </c>
      <c r="G6" s="0">
        <f>VLOOKUP(E6,'Tier Params'!$A:$C,3,FALSE)</f>
        <v/>
      </c>
      <c r="H6" s="0">
        <f>CEILING(D6/G6,1)</f>
        <v/>
      </c>
      <c r="I6" s="0">
        <f>H6*F6</f>
        <v/>
      </c>
    </row>
    <row r="7">
      <c r="A7" s="0" t="inlineStr">
        <is>
          <t>'Reference sheet'!N9</t>
        </is>
      </c>
      <c r="B7" s="0" t="inlineStr">
        <is>
          <t>Structure Construction Parts</t>
        </is>
      </c>
      <c r="C7" s="0" t="inlineStr">
        <is>
          <t>Nocxium</t>
        </is>
      </c>
      <c r="D7" s="0" t="n">
        <v>675</v>
      </c>
      <c r="E7" s="0">
        <f>VLOOKUP(C7,'Item Tier Lookup'!$A:$B,2,FALSE)</f>
        <v/>
      </c>
      <c r="F7" s="0">
        <f>VLOOKUP(E7,'Tier Params'!$A:$B,2,FALSE)</f>
        <v/>
      </c>
      <c r="G7" s="0">
        <f>VLOOKUP(E7,'Tier Params'!$A:$C,3,FALSE)</f>
        <v/>
      </c>
      <c r="H7" s="0">
        <f>CEILING(D7/G7,1)</f>
        <v/>
      </c>
      <c r="I7" s="0">
        <f>H7*F7</f>
        <v/>
      </c>
    </row>
    <row r="8">
      <c r="A8" s="0" t="inlineStr">
        <is>
          <t>'Reference sheet'!N10</t>
        </is>
      </c>
      <c r="B8" s="0" t="inlineStr">
        <is>
          <t>Structure Construction Parts</t>
        </is>
      </c>
      <c r="C8" s="0" t="inlineStr">
        <is>
          <t>Zydrine</t>
        </is>
      </c>
      <c r="D8" s="0" t="n">
        <v>315</v>
      </c>
      <c r="E8" s="0">
        <f>VLOOKUP(C8,'Item Tier Lookup'!$A:$B,2,FALSE)</f>
        <v/>
      </c>
      <c r="F8" s="0">
        <f>VLOOKUP(E8,'Tier Params'!$A:$B,2,FALSE)</f>
        <v/>
      </c>
      <c r="G8" s="0">
        <f>VLOOKUP(E8,'Tier Params'!$A:$C,3,FALSE)</f>
        <v/>
      </c>
      <c r="H8" s="0">
        <f>CEILING(D8/G8,1)</f>
        <v/>
      </c>
      <c r="I8" s="0">
        <f>H8*F8</f>
        <v/>
      </c>
    </row>
    <row r="9">
      <c r="A9" s="0" t="inlineStr">
        <is>
          <t>'Reference sheet'!N11</t>
        </is>
      </c>
      <c r="B9" s="0" t="inlineStr">
        <is>
          <t>Structure Construction Parts</t>
        </is>
      </c>
      <c r="C9" s="0" t="inlineStr">
        <is>
          <t>Megacyte</t>
        </is>
      </c>
      <c r="D9" s="0" t="n">
        <v>135</v>
      </c>
      <c r="E9" s="0">
        <f>VLOOKUP(C9,'Item Tier Lookup'!$A:$B,2,FALSE)</f>
        <v/>
      </c>
      <c r="F9" s="0">
        <f>VLOOKUP(E9,'Tier Params'!$A:$B,2,FALSE)</f>
        <v/>
      </c>
      <c r="G9" s="0">
        <f>VLOOKUP(E9,'Tier Params'!$A:$C,3,FALSE)</f>
        <v/>
      </c>
      <c r="H9" s="0">
        <f>CEILING(D9/G9,1)</f>
        <v/>
      </c>
      <c r="I9" s="0">
        <f>H9*F9</f>
        <v/>
      </c>
    </row>
    <row r="10">
      <c r="A10" s="0" t="inlineStr">
        <is>
          <t>'Reference sheet'!N12</t>
        </is>
      </c>
      <c r="B10" s="0" t="inlineStr">
        <is>
          <t>Structure Construction Parts</t>
        </is>
      </c>
      <c r="C10" s="0" t="inlineStr">
        <is>
          <t>Integrity Response Drones</t>
        </is>
      </c>
      <c r="D10" s="0" t="n">
        <v>3</v>
      </c>
      <c r="E10" s="0">
        <f>VLOOKUP(C10,'Item Tier Lookup'!$A:$B,2,FALSE)</f>
        <v/>
      </c>
      <c r="F10" s="0">
        <f>VLOOKUP(E10,'Tier Params'!$A:$B,2,FALSE)</f>
        <v/>
      </c>
      <c r="G10" s="0">
        <f>VLOOKUP(E10,'Tier Params'!$A:$C,3,FALSE)</f>
        <v/>
      </c>
      <c r="H10" s="0">
        <f>CEILING(D10/G10,1)</f>
        <v/>
      </c>
      <c r="I10" s="0">
        <f>H10*F10</f>
        <v/>
      </c>
    </row>
    <row r="11">
      <c r="A11" s="0" t="inlineStr">
        <is>
          <t>'Reference sheet'!N13</t>
        </is>
      </c>
      <c r="B11" s="0" t="inlineStr">
        <is>
          <t>Structure Construction Parts</t>
        </is>
      </c>
      <c r="C11" s="0" t="inlineStr">
        <is>
          <t>Gel-Matrix Biopaste</t>
        </is>
      </c>
      <c r="D11" s="0" t="n">
        <v>18</v>
      </c>
      <c r="E11" s="0">
        <f>VLOOKUP(C11,'Item Tier Lookup'!$A:$B,2,FALSE)</f>
        <v/>
      </c>
      <c r="F11" s="0">
        <f>VLOOKUP(E11,'Tier Params'!$A:$B,2,FALSE)</f>
        <v/>
      </c>
      <c r="G11" s="0">
        <f>VLOOKUP(E11,'Tier Params'!$A:$C,3,FALSE)</f>
        <v/>
      </c>
      <c r="H11" s="0">
        <f>CEILING(D11/G11,1)</f>
        <v/>
      </c>
      <c r="I11" s="0">
        <f>H11*F11</f>
        <v/>
      </c>
    </row>
    <row r="12">
      <c r="A12" s="0" t="inlineStr">
        <is>
          <t>'Reference sheet'!N14</t>
        </is>
      </c>
      <c r="B12" s="0" t="inlineStr">
        <is>
          <t>Structure Construction Parts</t>
        </is>
      </c>
      <c r="C12" s="0" t="inlineStr">
        <is>
          <t>Biocells</t>
        </is>
      </c>
      <c r="D12" s="0" t="n">
        <v>60</v>
      </c>
      <c r="E12" s="0">
        <f>VLOOKUP(C12,'Item Tier Lookup'!$A:$B,2,FALSE)</f>
        <v/>
      </c>
      <c r="F12" s="0">
        <f>VLOOKUP(E12,'Tier Params'!$A:$B,2,FALSE)</f>
        <v/>
      </c>
      <c r="G12" s="0">
        <f>VLOOKUP(E12,'Tier Params'!$A:$C,3,FALSE)</f>
        <v/>
      </c>
      <c r="H12" s="0">
        <f>CEILING(D12/G12,1)</f>
        <v/>
      </c>
      <c r="I12" s="0">
        <f>H12*F12</f>
        <v/>
      </c>
    </row>
    <row r="13">
      <c r="A13" s="0" t="inlineStr">
        <is>
          <t>'Reference sheet'!N15</t>
        </is>
      </c>
      <c r="B13" s="0" t="inlineStr">
        <is>
          <t>Structure Construction Parts</t>
        </is>
      </c>
      <c r="C13" s="0" t="inlineStr">
        <is>
          <t>Biofuels</t>
        </is>
      </c>
      <c r="D13" s="0" t="n">
        <v>480</v>
      </c>
      <c r="E13" s="0">
        <f>VLOOKUP(C13,'Item Tier Lookup'!$A:$B,2,FALSE)</f>
        <v/>
      </c>
      <c r="F13" s="0">
        <f>VLOOKUP(E13,'Tier Params'!$A:$B,2,FALSE)</f>
        <v/>
      </c>
      <c r="G13" s="0">
        <f>VLOOKUP(E13,'Tier Params'!$A:$C,3,FALSE)</f>
        <v/>
      </c>
      <c r="H13" s="0">
        <f>CEILING(D13/G13,1)</f>
        <v/>
      </c>
      <c r="I13" s="0">
        <f>H13*F13</f>
        <v/>
      </c>
    </row>
    <row r="14">
      <c r="A14" s="0" t="inlineStr">
        <is>
          <t>'Reference sheet'!N16</t>
        </is>
      </c>
      <c r="B14" s="0" t="inlineStr">
        <is>
          <t>Structure Construction Parts</t>
        </is>
      </c>
      <c r="C14" s="0" t="inlineStr">
        <is>
          <t>Carbon Compounds</t>
        </is>
      </c>
      <c r="D14" s="0" t="n">
        <v>72000</v>
      </c>
      <c r="E14" s="0">
        <f>VLOOKUP(C14,'Item Tier Lookup'!$A:$B,2,FALSE)</f>
        <v/>
      </c>
      <c r="F14" s="0">
        <f>VLOOKUP(E14,'Tier Params'!$A:$B,2,FALSE)</f>
        <v/>
      </c>
      <c r="G14" s="0">
        <f>VLOOKUP(E14,'Tier Params'!$A:$C,3,FALSE)</f>
        <v/>
      </c>
      <c r="H14" s="0">
        <f>CEILING(D14/G14,1)</f>
        <v/>
      </c>
      <c r="I14" s="0">
        <f>H14*F14</f>
        <v/>
      </c>
    </row>
    <row r="15">
      <c r="A15" s="0" t="inlineStr">
        <is>
          <t>'Reference sheet'!N17</t>
        </is>
      </c>
      <c r="B15" s="0" t="inlineStr">
        <is>
          <t>Structure Construction Parts</t>
        </is>
      </c>
      <c r="C15" s="0" t="inlineStr">
        <is>
          <t>Precious Metals</t>
        </is>
      </c>
      <c r="D15" s="0" t="n">
        <v>480</v>
      </c>
      <c r="E15" s="0">
        <f>VLOOKUP(C15,'Item Tier Lookup'!$A:$B,2,FALSE)</f>
        <v/>
      </c>
      <c r="F15" s="0">
        <f>VLOOKUP(E15,'Tier Params'!$A:$B,2,FALSE)</f>
        <v/>
      </c>
      <c r="G15" s="0">
        <f>VLOOKUP(E15,'Tier Params'!$A:$C,3,FALSE)</f>
        <v/>
      </c>
      <c r="H15" s="0">
        <f>CEILING(D15/G15,1)</f>
        <v/>
      </c>
      <c r="I15" s="0">
        <f>H15*F15</f>
        <v/>
      </c>
    </row>
    <row r="16">
      <c r="A16" s="0" t="inlineStr">
        <is>
          <t>'Reference sheet'!N18</t>
        </is>
      </c>
      <c r="B16" s="0" t="inlineStr">
        <is>
          <t>Structure Construction Parts</t>
        </is>
      </c>
      <c r="C16" s="0" t="inlineStr">
        <is>
          <t>Noble Metals</t>
        </is>
      </c>
      <c r="D16" s="0" t="n">
        <v>72000</v>
      </c>
      <c r="E16" s="0">
        <f>VLOOKUP(C16,'Item Tier Lookup'!$A:$B,2,FALSE)</f>
        <v/>
      </c>
      <c r="F16" s="0">
        <f>VLOOKUP(E16,'Tier Params'!$A:$B,2,FALSE)</f>
        <v/>
      </c>
      <c r="G16" s="0">
        <f>VLOOKUP(E16,'Tier Params'!$A:$C,3,FALSE)</f>
        <v/>
      </c>
      <c r="H16" s="0">
        <f>CEILING(D16/G16,1)</f>
        <v/>
      </c>
      <c r="I16" s="0">
        <f>H16*F16</f>
        <v/>
      </c>
    </row>
    <row r="17">
      <c r="A17" s="0" t="inlineStr">
        <is>
          <t>'Reference sheet'!N19</t>
        </is>
      </c>
      <c r="B17" s="0" t="inlineStr">
        <is>
          <t>Structure Construction Parts</t>
        </is>
      </c>
      <c r="C17" s="0" t="inlineStr">
        <is>
          <t>Oxides</t>
        </is>
      </c>
      <c r="D17" s="0" t="n">
        <v>60</v>
      </c>
      <c r="E17" s="0">
        <f>VLOOKUP(C17,'Item Tier Lookup'!$A:$B,2,FALSE)</f>
        <v/>
      </c>
      <c r="F17" s="0">
        <f>VLOOKUP(E17,'Tier Params'!$A:$B,2,FALSE)</f>
        <v/>
      </c>
      <c r="G17" s="0">
        <f>VLOOKUP(E17,'Tier Params'!$A:$C,3,FALSE)</f>
        <v/>
      </c>
      <c r="H17" s="0">
        <f>CEILING(D17/G17,1)</f>
        <v/>
      </c>
      <c r="I17" s="0">
        <f>H17*F17</f>
        <v/>
      </c>
    </row>
    <row r="18">
      <c r="A18" s="0" t="inlineStr">
        <is>
          <t>'Reference sheet'!N20</t>
        </is>
      </c>
      <c r="B18" s="0" t="inlineStr">
        <is>
          <t>Structure Construction Parts</t>
        </is>
      </c>
      <c r="C18" s="0" t="inlineStr">
        <is>
          <t>Oxidizing Compound</t>
        </is>
      </c>
      <c r="D18" s="0" t="n">
        <v>480</v>
      </c>
      <c r="E18" s="0">
        <f>VLOOKUP(C18,'Item Tier Lookup'!$A:$B,2,FALSE)</f>
        <v/>
      </c>
      <c r="F18" s="0">
        <f>VLOOKUP(E18,'Tier Params'!$A:$B,2,FALSE)</f>
        <v/>
      </c>
      <c r="G18" s="0">
        <f>VLOOKUP(E18,'Tier Params'!$A:$C,3,FALSE)</f>
        <v/>
      </c>
      <c r="H18" s="0">
        <f>CEILING(D18/G18,1)</f>
        <v/>
      </c>
      <c r="I18" s="0">
        <f>H18*F18</f>
        <v/>
      </c>
    </row>
    <row r="19">
      <c r="A19" s="0" t="inlineStr">
        <is>
          <t>'Reference sheet'!N21</t>
        </is>
      </c>
      <c r="B19" s="0" t="inlineStr">
        <is>
          <t>Structure Construction Parts</t>
        </is>
      </c>
      <c r="C19" s="0" t="inlineStr">
        <is>
          <t>Reactive Gas</t>
        </is>
      </c>
      <c r="D19" s="0" t="n">
        <v>72000</v>
      </c>
      <c r="E19" s="0">
        <f>VLOOKUP(C19,'Item Tier Lookup'!$A:$B,2,FALSE)</f>
        <v/>
      </c>
      <c r="F19" s="0">
        <f>VLOOKUP(E19,'Tier Params'!$A:$B,2,FALSE)</f>
        <v/>
      </c>
      <c r="G19" s="0">
        <f>VLOOKUP(E19,'Tier Params'!$A:$C,3,FALSE)</f>
        <v/>
      </c>
      <c r="H19" s="0">
        <f>CEILING(D19/G19,1)</f>
        <v/>
      </c>
      <c r="I19" s="0">
        <f>H19*F19</f>
        <v/>
      </c>
    </row>
    <row r="20">
      <c r="A20" s="0" t="inlineStr">
        <is>
          <t>'Reference sheet'!N22</t>
        </is>
      </c>
      <c r="B20" s="0" t="inlineStr">
        <is>
          <t>Structure Construction Parts</t>
        </is>
      </c>
      <c r="C20" s="0" t="inlineStr">
        <is>
          <t>Oxygen</t>
        </is>
      </c>
      <c r="D20" s="0" t="n">
        <v>480</v>
      </c>
      <c r="E20" s="0">
        <f>VLOOKUP(C20,'Item Tier Lookup'!$A:$B,2,FALSE)</f>
        <v/>
      </c>
      <c r="F20" s="0">
        <f>VLOOKUP(E20,'Tier Params'!$A:$B,2,FALSE)</f>
        <v/>
      </c>
      <c r="G20" s="0">
        <f>VLOOKUP(E20,'Tier Params'!$A:$C,3,FALSE)</f>
        <v/>
      </c>
      <c r="H20" s="0">
        <f>CEILING(D20/G20,1)</f>
        <v/>
      </c>
      <c r="I20" s="0">
        <f>H20*F20</f>
        <v/>
      </c>
    </row>
    <row r="21">
      <c r="A21" s="0" t="inlineStr">
        <is>
          <t>'Reference sheet'!N23</t>
        </is>
      </c>
      <c r="B21" s="0" t="inlineStr">
        <is>
          <t>Structure Construction Parts</t>
        </is>
      </c>
      <c r="C21" s="0" t="inlineStr">
        <is>
          <t>Noble Gas</t>
        </is>
      </c>
      <c r="D21" s="0" t="n">
        <v>72000</v>
      </c>
      <c r="E21" s="0">
        <f>VLOOKUP(C21,'Item Tier Lookup'!$A:$B,2,FALSE)</f>
        <v/>
      </c>
      <c r="F21" s="0">
        <f>VLOOKUP(E21,'Tier Params'!$A:$B,2,FALSE)</f>
        <v/>
      </c>
      <c r="G21" s="0">
        <f>VLOOKUP(E21,'Tier Params'!$A:$C,3,FALSE)</f>
        <v/>
      </c>
      <c r="H21" s="0">
        <f>CEILING(D21/G21,1)</f>
        <v/>
      </c>
      <c r="I21" s="0">
        <f>H21*F21</f>
        <v/>
      </c>
    </row>
    <row r="22">
      <c r="A22" s="0" t="inlineStr">
        <is>
          <t>'Reference sheet'!N24</t>
        </is>
      </c>
      <c r="B22" s="0" t="inlineStr">
        <is>
          <t>Structure Construction Parts</t>
        </is>
      </c>
      <c r="C22" s="0" t="inlineStr">
        <is>
          <t>Superconductors</t>
        </is>
      </c>
      <c r="D22" s="0" t="n">
        <v>60</v>
      </c>
      <c r="E22" s="0">
        <f>VLOOKUP(C22,'Item Tier Lookup'!$A:$B,2,FALSE)</f>
        <v/>
      </c>
      <c r="F22" s="0">
        <f>VLOOKUP(E22,'Tier Params'!$A:$B,2,FALSE)</f>
        <v/>
      </c>
      <c r="G22" s="0">
        <f>VLOOKUP(E22,'Tier Params'!$A:$C,3,FALSE)</f>
        <v/>
      </c>
      <c r="H22" s="0">
        <f>CEILING(D22/G22,1)</f>
        <v/>
      </c>
      <c r="I22" s="0">
        <f>H22*F22</f>
        <v/>
      </c>
    </row>
    <row r="23">
      <c r="A23" s="0" t="inlineStr">
        <is>
          <t>'Reference sheet'!N25</t>
        </is>
      </c>
      <c r="B23" s="0" t="inlineStr">
        <is>
          <t>Structure Construction Parts</t>
        </is>
      </c>
      <c r="C23" s="0" t="inlineStr">
        <is>
          <t>Plasmoids</t>
        </is>
      </c>
      <c r="D23" s="0" t="n">
        <v>480</v>
      </c>
      <c r="E23" s="0">
        <f>VLOOKUP(C23,'Item Tier Lookup'!$A:$B,2,FALSE)</f>
        <v/>
      </c>
      <c r="F23" s="0">
        <f>VLOOKUP(E23,'Tier Params'!$A:$B,2,FALSE)</f>
        <v/>
      </c>
      <c r="G23" s="0">
        <f>VLOOKUP(E23,'Tier Params'!$A:$C,3,FALSE)</f>
        <v/>
      </c>
      <c r="H23" s="0">
        <f>CEILING(D23/G23,1)</f>
        <v/>
      </c>
      <c r="I23" s="0">
        <f>H23*F23</f>
        <v/>
      </c>
    </row>
    <row r="24">
      <c r="A24" s="0" t="inlineStr">
        <is>
          <t>'Reference sheet'!N26</t>
        </is>
      </c>
      <c r="B24" s="0" t="inlineStr">
        <is>
          <t>Structure Construction Parts</t>
        </is>
      </c>
      <c r="C24" s="0" t="inlineStr">
        <is>
          <t>Suspended Plasma</t>
        </is>
      </c>
      <c r="D24" s="0" t="n">
        <v>72000</v>
      </c>
      <c r="E24" s="0">
        <f>VLOOKUP(C24,'Item Tier Lookup'!$A:$B,2,FALSE)</f>
        <v/>
      </c>
      <c r="F24" s="0">
        <f>VLOOKUP(E24,'Tier Params'!$A:$B,2,FALSE)</f>
        <v/>
      </c>
      <c r="G24" s="0">
        <f>VLOOKUP(E24,'Tier Params'!$A:$C,3,FALSE)</f>
        <v/>
      </c>
      <c r="H24" s="0">
        <f>CEILING(D24/G24,1)</f>
        <v/>
      </c>
      <c r="I24" s="0">
        <f>H24*F24</f>
        <v/>
      </c>
    </row>
    <row r="25">
      <c r="A25" s="0" t="inlineStr">
        <is>
          <t>'Reference sheet'!N27</t>
        </is>
      </c>
      <c r="B25" s="0" t="inlineStr">
        <is>
          <t>Structure Construction Parts</t>
        </is>
      </c>
      <c r="C25" s="0" t="inlineStr">
        <is>
          <t>Water</t>
        </is>
      </c>
      <c r="D25" s="0" t="n">
        <v>480</v>
      </c>
      <c r="E25" s="0">
        <f>VLOOKUP(C25,'Item Tier Lookup'!$A:$B,2,FALSE)</f>
        <v/>
      </c>
      <c r="F25" s="0">
        <f>VLOOKUP(E25,'Tier Params'!$A:$B,2,FALSE)</f>
        <v/>
      </c>
      <c r="G25" s="0">
        <f>VLOOKUP(E25,'Tier Params'!$A:$C,3,FALSE)</f>
        <v/>
      </c>
      <c r="H25" s="0">
        <f>CEILING(D25/G25,1)</f>
        <v/>
      </c>
      <c r="I25" s="0">
        <f>H25*F25</f>
        <v/>
      </c>
    </row>
    <row r="26">
      <c r="A26" s="0" t="inlineStr">
        <is>
          <t>'Reference sheet'!N28</t>
        </is>
      </c>
      <c r="B26" s="0" t="inlineStr">
        <is>
          <t>Structure Construction Parts</t>
        </is>
      </c>
      <c r="C26" s="0" t="inlineStr">
        <is>
          <t>Aqueous Liquids</t>
        </is>
      </c>
      <c r="D26" s="0" t="n">
        <v>72000</v>
      </c>
      <c r="E26" s="0">
        <f>VLOOKUP(C26,'Item Tier Lookup'!$A:$B,2,FALSE)</f>
        <v/>
      </c>
      <c r="F26" s="0">
        <f>VLOOKUP(E26,'Tier Params'!$A:$B,2,FALSE)</f>
        <v/>
      </c>
      <c r="G26" s="0">
        <f>VLOOKUP(E26,'Tier Params'!$A:$C,3,FALSE)</f>
        <v/>
      </c>
      <c r="H26" s="0">
        <f>CEILING(D26/G26,1)</f>
        <v/>
      </c>
      <c r="I26" s="0">
        <f>H26*F26</f>
        <v/>
      </c>
    </row>
    <row r="27">
      <c r="A27" s="0" t="inlineStr">
        <is>
          <t>'Reference sheet'!N29</t>
        </is>
      </c>
      <c r="B27" s="0" t="inlineStr">
        <is>
          <t>Structure Construction Parts</t>
        </is>
      </c>
      <c r="C27" s="0" t="inlineStr">
        <is>
          <t>Hazmat Detection Systems</t>
        </is>
      </c>
      <c r="D27" s="0" t="n">
        <v>18</v>
      </c>
      <c r="E27" s="0">
        <f>VLOOKUP(C27,'Item Tier Lookup'!$A:$B,2,FALSE)</f>
        <v/>
      </c>
      <c r="F27" s="0">
        <f>VLOOKUP(E27,'Tier Params'!$A:$B,2,FALSE)</f>
        <v/>
      </c>
      <c r="G27" s="0">
        <f>VLOOKUP(E27,'Tier Params'!$A:$C,3,FALSE)</f>
        <v/>
      </c>
      <c r="H27" s="0">
        <f>CEILING(D27/G27,1)</f>
        <v/>
      </c>
      <c r="I27" s="0">
        <f>H27*F27</f>
        <v/>
      </c>
    </row>
    <row r="28">
      <c r="A28" s="0" t="inlineStr">
        <is>
          <t>'Reference sheet'!N30</t>
        </is>
      </c>
      <c r="B28" s="0" t="inlineStr">
        <is>
          <t>Structure Construction Parts</t>
        </is>
      </c>
      <c r="C28" s="0" t="inlineStr">
        <is>
          <t>Transmitter</t>
        </is>
      </c>
      <c r="D28" s="0" t="n">
        <v>60</v>
      </c>
      <c r="E28" s="0">
        <f>VLOOKUP(C28,'Item Tier Lookup'!$A:$B,2,FALSE)</f>
        <v/>
      </c>
      <c r="F28" s="0">
        <f>VLOOKUP(E28,'Tier Params'!$A:$B,2,FALSE)</f>
        <v/>
      </c>
      <c r="G28" s="0">
        <f>VLOOKUP(E28,'Tier Params'!$A:$C,3,FALSE)</f>
        <v/>
      </c>
      <c r="H28" s="0">
        <f>CEILING(D28/G28,1)</f>
        <v/>
      </c>
      <c r="I28" s="0">
        <f>H28*F28</f>
        <v/>
      </c>
    </row>
    <row r="29">
      <c r="A29" s="0" t="inlineStr">
        <is>
          <t>'Reference sheet'!N31</t>
        </is>
      </c>
      <c r="B29" s="0" t="inlineStr">
        <is>
          <t>Structure Construction Parts</t>
        </is>
      </c>
      <c r="C29" s="0" t="inlineStr">
        <is>
          <t>Chiral Structures</t>
        </is>
      </c>
      <c r="D29" s="0" t="n">
        <v>480</v>
      </c>
      <c r="E29" s="0">
        <f>VLOOKUP(C29,'Item Tier Lookup'!$A:$B,2,FALSE)</f>
        <v/>
      </c>
      <c r="F29" s="0">
        <f>VLOOKUP(E29,'Tier Params'!$A:$B,2,FALSE)</f>
        <v/>
      </c>
      <c r="G29" s="0">
        <f>VLOOKUP(E29,'Tier Params'!$A:$C,3,FALSE)</f>
        <v/>
      </c>
      <c r="H29" s="0">
        <f>CEILING(D29/G29,1)</f>
        <v/>
      </c>
      <c r="I29" s="0">
        <f>H29*F29</f>
        <v/>
      </c>
    </row>
    <row r="30">
      <c r="A30" s="0" t="inlineStr">
        <is>
          <t>'Reference sheet'!N32</t>
        </is>
      </c>
      <c r="B30" s="0" t="inlineStr">
        <is>
          <t>Structure Construction Parts</t>
        </is>
      </c>
      <c r="C30" s="0" t="inlineStr">
        <is>
          <t>Non-CS Crystals</t>
        </is>
      </c>
      <c r="D30" s="0" t="n">
        <v>72000</v>
      </c>
      <c r="E30" s="0">
        <f>VLOOKUP(C30,'Item Tier Lookup'!$A:$B,2,FALSE)</f>
        <v/>
      </c>
      <c r="F30" s="0">
        <f>VLOOKUP(E30,'Tier Params'!$A:$B,2,FALSE)</f>
        <v/>
      </c>
      <c r="G30" s="0">
        <f>VLOOKUP(E30,'Tier Params'!$A:$C,3,FALSE)</f>
        <v/>
      </c>
      <c r="H30" s="0">
        <f>CEILING(D30/G30,1)</f>
        <v/>
      </c>
      <c r="I30" s="0">
        <f>H30*F30</f>
        <v/>
      </c>
    </row>
    <row r="31">
      <c r="A31" s="0" t="inlineStr">
        <is>
          <t>'Reference sheet'!N33</t>
        </is>
      </c>
      <c r="B31" s="0" t="inlineStr">
        <is>
          <t>Structure Construction Parts</t>
        </is>
      </c>
      <c r="C31" s="0" t="inlineStr">
        <is>
          <t>Plasmoids</t>
        </is>
      </c>
      <c r="D31" s="0" t="n">
        <v>480</v>
      </c>
      <c r="E31" s="0">
        <f>VLOOKUP(C31,'Item Tier Lookup'!$A:$B,2,FALSE)</f>
        <v/>
      </c>
      <c r="F31" s="0">
        <f>VLOOKUP(E31,'Tier Params'!$A:$B,2,FALSE)</f>
        <v/>
      </c>
      <c r="G31" s="0">
        <f>VLOOKUP(E31,'Tier Params'!$A:$C,3,FALSE)</f>
        <v/>
      </c>
      <c r="H31" s="0">
        <f>CEILING(D31/G31,1)</f>
        <v/>
      </c>
      <c r="I31" s="0">
        <f>H31*F31</f>
        <v/>
      </c>
    </row>
    <row r="32">
      <c r="A32" s="0" t="inlineStr">
        <is>
          <t>'Reference sheet'!N34</t>
        </is>
      </c>
      <c r="B32" s="0" t="inlineStr">
        <is>
          <t>Structure Construction Parts</t>
        </is>
      </c>
      <c r="C32" s="0" t="inlineStr">
        <is>
          <t>Suspended Plasma</t>
        </is>
      </c>
      <c r="D32" s="0" t="n">
        <v>72000</v>
      </c>
      <c r="E32" s="0">
        <f>VLOOKUP(C32,'Item Tier Lookup'!$A:$B,2,FALSE)</f>
        <v/>
      </c>
      <c r="F32" s="0">
        <f>VLOOKUP(E32,'Tier Params'!$A:$B,2,FALSE)</f>
        <v/>
      </c>
      <c r="G32" s="0">
        <f>VLOOKUP(E32,'Tier Params'!$A:$C,3,FALSE)</f>
        <v/>
      </c>
      <c r="H32" s="0">
        <f>CEILING(D32/G32,1)</f>
        <v/>
      </c>
      <c r="I32" s="0">
        <f>H32*F32</f>
        <v/>
      </c>
    </row>
    <row r="33">
      <c r="A33" s="0" t="inlineStr">
        <is>
          <t>'Reference sheet'!N35</t>
        </is>
      </c>
      <c r="B33" s="0" t="inlineStr">
        <is>
          <t>Structure Construction Parts</t>
        </is>
      </c>
      <c r="C33" s="0" t="inlineStr">
        <is>
          <t>Polytextiles</t>
        </is>
      </c>
      <c r="D33" s="0" t="n">
        <v>60</v>
      </c>
      <c r="E33" s="0">
        <f>VLOOKUP(C33,'Item Tier Lookup'!$A:$B,2,FALSE)</f>
        <v/>
      </c>
      <c r="F33" s="0">
        <f>VLOOKUP(E33,'Tier Params'!$A:$B,2,FALSE)</f>
        <v/>
      </c>
      <c r="G33" s="0">
        <f>VLOOKUP(E33,'Tier Params'!$A:$C,3,FALSE)</f>
        <v/>
      </c>
      <c r="H33" s="0">
        <f>CEILING(D33/G33,1)</f>
        <v/>
      </c>
      <c r="I33" s="0">
        <f>H33*F33</f>
        <v/>
      </c>
    </row>
    <row r="34">
      <c r="A34" s="0" t="inlineStr">
        <is>
          <t>'Reference sheet'!N36</t>
        </is>
      </c>
      <c r="B34" s="0" t="inlineStr">
        <is>
          <t>Structure Construction Parts</t>
        </is>
      </c>
      <c r="C34" s="0" t="inlineStr">
        <is>
          <t>Biofuels</t>
        </is>
      </c>
      <c r="D34" s="0" t="n">
        <v>480</v>
      </c>
      <c r="E34" s="0">
        <f>VLOOKUP(C34,'Item Tier Lookup'!$A:$B,2,FALSE)</f>
        <v/>
      </c>
      <c r="F34" s="0">
        <f>VLOOKUP(E34,'Tier Params'!$A:$B,2,FALSE)</f>
        <v/>
      </c>
      <c r="G34" s="0">
        <f>VLOOKUP(E34,'Tier Params'!$A:$C,3,FALSE)</f>
        <v/>
      </c>
      <c r="H34" s="0">
        <f>CEILING(D34/G34,1)</f>
        <v/>
      </c>
      <c r="I34" s="0">
        <f>H34*F34</f>
        <v/>
      </c>
    </row>
    <row r="35">
      <c r="A35" s="0" t="inlineStr">
        <is>
          <t>'Reference sheet'!N37</t>
        </is>
      </c>
      <c r="B35" s="0" t="inlineStr">
        <is>
          <t>Structure Construction Parts</t>
        </is>
      </c>
      <c r="C35" s="0" t="inlineStr">
        <is>
          <t>Carbon Compounds</t>
        </is>
      </c>
      <c r="D35" s="0" t="n">
        <v>72000</v>
      </c>
      <c r="E35" s="0">
        <f>VLOOKUP(C35,'Item Tier Lookup'!$A:$B,2,FALSE)</f>
        <v/>
      </c>
      <c r="F35" s="0">
        <f>VLOOKUP(E35,'Tier Params'!$A:$B,2,FALSE)</f>
        <v/>
      </c>
      <c r="G35" s="0">
        <f>VLOOKUP(E35,'Tier Params'!$A:$C,3,FALSE)</f>
        <v/>
      </c>
      <c r="H35" s="0">
        <f>CEILING(D35/G35,1)</f>
        <v/>
      </c>
      <c r="I35" s="0">
        <f>H35*F35</f>
        <v/>
      </c>
    </row>
    <row r="36">
      <c r="A36" s="0" t="inlineStr">
        <is>
          <t>'Reference sheet'!N38</t>
        </is>
      </c>
      <c r="B36" s="0" t="inlineStr">
        <is>
          <t>Structure Construction Parts</t>
        </is>
      </c>
      <c r="C36" s="0" t="inlineStr">
        <is>
          <t>Industrial Fibers</t>
        </is>
      </c>
      <c r="D36" s="0" t="n">
        <v>480</v>
      </c>
      <c r="E36" s="0">
        <f>VLOOKUP(C36,'Item Tier Lookup'!$A:$B,2,FALSE)</f>
        <v/>
      </c>
      <c r="F36" s="0">
        <f>VLOOKUP(E36,'Tier Params'!$A:$B,2,FALSE)</f>
        <v/>
      </c>
      <c r="G36" s="0">
        <f>VLOOKUP(E36,'Tier Params'!$A:$C,3,FALSE)</f>
        <v/>
      </c>
      <c r="H36" s="0">
        <f>CEILING(D36/G36,1)</f>
        <v/>
      </c>
      <c r="I36" s="0">
        <f>H36*F36</f>
        <v/>
      </c>
    </row>
    <row r="37">
      <c r="A37" s="0" t="inlineStr">
        <is>
          <t>'Reference sheet'!N39</t>
        </is>
      </c>
      <c r="B37" s="0" t="inlineStr">
        <is>
          <t>Structure Construction Parts</t>
        </is>
      </c>
      <c r="C37" s="0" t="inlineStr">
        <is>
          <t>Autotrophs</t>
        </is>
      </c>
      <c r="D37" s="0" t="n">
        <v>72000</v>
      </c>
      <c r="E37" s="0">
        <f>VLOOKUP(C37,'Item Tier Lookup'!$A:$B,2,FALSE)</f>
        <v/>
      </c>
      <c r="F37" s="0">
        <f>VLOOKUP(E37,'Tier Params'!$A:$B,2,FALSE)</f>
        <v/>
      </c>
      <c r="G37" s="0">
        <f>VLOOKUP(E37,'Tier Params'!$A:$C,3,FALSE)</f>
        <v/>
      </c>
      <c r="H37" s="0">
        <f>CEILING(D37/G37,1)</f>
        <v/>
      </c>
      <c r="I37" s="0">
        <f>H37*F37</f>
        <v/>
      </c>
    </row>
    <row r="38">
      <c r="A38" s="0" t="inlineStr">
        <is>
          <t>'Reference sheet'!N40</t>
        </is>
      </c>
      <c r="B38" s="0" t="inlineStr">
        <is>
          <t>Structure Construction Parts</t>
        </is>
      </c>
      <c r="C38" s="0" t="inlineStr">
        <is>
          <t>Viral Agent</t>
        </is>
      </c>
      <c r="D38" s="0" t="n">
        <v>60</v>
      </c>
      <c r="E38" s="0">
        <f>VLOOKUP(C38,'Item Tier Lookup'!$A:$B,2,FALSE)</f>
        <v/>
      </c>
      <c r="F38" s="0">
        <f>VLOOKUP(E38,'Tier Params'!$A:$B,2,FALSE)</f>
        <v/>
      </c>
      <c r="G38" s="0">
        <f>VLOOKUP(E38,'Tier Params'!$A:$C,3,FALSE)</f>
        <v/>
      </c>
      <c r="H38" s="0">
        <f>CEILING(D38/G38,1)</f>
        <v/>
      </c>
      <c r="I38" s="0">
        <f>H38*F38</f>
        <v/>
      </c>
    </row>
    <row r="39">
      <c r="A39" s="0" t="inlineStr">
        <is>
          <t>'Reference sheet'!N41</t>
        </is>
      </c>
      <c r="B39" s="0" t="inlineStr">
        <is>
          <t>Structure Construction Parts</t>
        </is>
      </c>
      <c r="C39" s="0" t="inlineStr">
        <is>
          <t>Bacteria</t>
        </is>
      </c>
      <c r="D39" s="0" t="n">
        <v>480</v>
      </c>
      <c r="E39" s="0">
        <f>VLOOKUP(C39,'Item Tier Lookup'!$A:$B,2,FALSE)</f>
        <v/>
      </c>
      <c r="F39" s="0">
        <f>VLOOKUP(E39,'Tier Params'!$A:$B,2,FALSE)</f>
        <v/>
      </c>
      <c r="G39" s="0">
        <f>VLOOKUP(E39,'Tier Params'!$A:$C,3,FALSE)</f>
        <v/>
      </c>
      <c r="H39" s="0">
        <f>CEILING(D39/G39,1)</f>
        <v/>
      </c>
      <c r="I39" s="0">
        <f>H39*F39</f>
        <v/>
      </c>
    </row>
    <row r="40">
      <c r="A40" s="0" t="inlineStr">
        <is>
          <t>'Reference sheet'!N42</t>
        </is>
      </c>
      <c r="B40" s="0" t="inlineStr">
        <is>
          <t>Structure Construction Parts</t>
        </is>
      </c>
      <c r="C40" s="0" t="inlineStr">
        <is>
          <t>Microorganisms</t>
        </is>
      </c>
      <c r="D40" s="0" t="n">
        <v>72000</v>
      </c>
      <c r="E40" s="0">
        <f>VLOOKUP(C40,'Item Tier Lookup'!$A:$B,2,FALSE)</f>
        <v/>
      </c>
      <c r="F40" s="0">
        <f>VLOOKUP(E40,'Tier Params'!$A:$B,2,FALSE)</f>
        <v/>
      </c>
      <c r="G40" s="0">
        <f>VLOOKUP(E40,'Tier Params'!$A:$C,3,FALSE)</f>
        <v/>
      </c>
      <c r="H40" s="0">
        <f>CEILING(D40/G40,1)</f>
        <v/>
      </c>
      <c r="I40" s="0">
        <f>H40*F40</f>
        <v/>
      </c>
    </row>
    <row r="41">
      <c r="A41" s="0" t="inlineStr">
        <is>
          <t>'Reference sheet'!N43</t>
        </is>
      </c>
      <c r="B41" s="0" t="inlineStr">
        <is>
          <t>Structure Construction Parts</t>
        </is>
      </c>
      <c r="C41" s="0" t="inlineStr">
        <is>
          <t>Biomass</t>
        </is>
      </c>
      <c r="D41" s="0" t="n">
        <v>480</v>
      </c>
      <c r="E41" s="0">
        <f>VLOOKUP(C41,'Item Tier Lookup'!$A:$B,2,FALSE)</f>
        <v/>
      </c>
      <c r="F41" s="0">
        <f>VLOOKUP(E41,'Tier Params'!$A:$B,2,FALSE)</f>
        <v/>
      </c>
      <c r="G41" s="0">
        <f>VLOOKUP(E41,'Tier Params'!$A:$C,3,FALSE)</f>
        <v/>
      </c>
      <c r="H41" s="0">
        <f>CEILING(D41/G41,1)</f>
        <v/>
      </c>
      <c r="I41" s="0">
        <f>H41*F41</f>
        <v/>
      </c>
    </row>
    <row r="42">
      <c r="A42" s="0" t="inlineStr">
        <is>
          <t>'Reference sheet'!N44</t>
        </is>
      </c>
      <c r="B42" s="0" t="inlineStr">
        <is>
          <t>Structure Construction Parts</t>
        </is>
      </c>
      <c r="C42" s="0" t="inlineStr">
        <is>
          <t>Planktic Colonies</t>
        </is>
      </c>
      <c r="D42" s="0" t="n">
        <v>72000</v>
      </c>
      <c r="E42" s="0">
        <f>VLOOKUP(C42,'Item Tier Lookup'!$A:$B,2,FALSE)</f>
        <v/>
      </c>
      <c r="F42" s="0">
        <f>VLOOKUP(E42,'Tier Params'!$A:$B,2,FALSE)</f>
        <v/>
      </c>
      <c r="G42" s="0">
        <f>VLOOKUP(E42,'Tier Params'!$A:$C,3,FALSE)</f>
        <v/>
      </c>
      <c r="H42" s="0">
        <f>CEILING(D42/G42,1)</f>
        <v/>
      </c>
      <c r="I42" s="0">
        <f>H42*F42</f>
        <v/>
      </c>
    </row>
    <row r="43">
      <c r="A43" s="0" t="inlineStr">
        <is>
          <t>'Reference sheet'!N45</t>
        </is>
      </c>
      <c r="B43" s="0" t="inlineStr">
        <is>
          <t>Structure Construction Parts</t>
        </is>
      </c>
      <c r="C43" s="0" t="inlineStr">
        <is>
          <t>Planetary Vehicles</t>
        </is>
      </c>
      <c r="D43" s="0" t="n">
        <v>18</v>
      </c>
      <c r="E43" s="0">
        <f>VLOOKUP(C43,'Item Tier Lookup'!$A:$B,2,FALSE)</f>
        <v/>
      </c>
      <c r="F43" s="0">
        <f>VLOOKUP(E43,'Tier Params'!$A:$B,2,FALSE)</f>
        <v/>
      </c>
      <c r="G43" s="0">
        <f>VLOOKUP(E43,'Tier Params'!$A:$C,3,FALSE)</f>
        <v/>
      </c>
      <c r="H43" s="0">
        <f>CEILING(D43/G43,1)</f>
        <v/>
      </c>
      <c r="I43" s="0">
        <f>H43*F43</f>
        <v/>
      </c>
    </row>
    <row r="44">
      <c r="A44" s="0" t="inlineStr">
        <is>
          <t>'Reference sheet'!N46</t>
        </is>
      </c>
      <c r="B44" s="0" t="inlineStr">
        <is>
          <t>Structure Construction Parts</t>
        </is>
      </c>
      <c r="C44" s="0" t="inlineStr">
        <is>
          <t>Supertensile Plastics</t>
        </is>
      </c>
      <c r="D44" s="0" t="n">
        <v>60</v>
      </c>
      <c r="E44" s="0">
        <f>VLOOKUP(C44,'Item Tier Lookup'!$A:$B,2,FALSE)</f>
        <v/>
      </c>
      <c r="F44" s="0">
        <f>VLOOKUP(E44,'Tier Params'!$A:$B,2,FALSE)</f>
        <v/>
      </c>
      <c r="G44" s="0">
        <f>VLOOKUP(E44,'Tier Params'!$A:$C,3,FALSE)</f>
        <v/>
      </c>
      <c r="H44" s="0">
        <f>CEILING(D44/G44,1)</f>
        <v/>
      </c>
      <c r="I44" s="0">
        <f>H44*F44</f>
        <v/>
      </c>
    </row>
    <row r="45">
      <c r="A45" s="0" t="inlineStr">
        <is>
          <t>'Reference sheet'!N47</t>
        </is>
      </c>
      <c r="B45" s="0" t="inlineStr">
        <is>
          <t>Structure Construction Parts</t>
        </is>
      </c>
      <c r="C45" s="0" t="inlineStr">
        <is>
          <t>Oxygen</t>
        </is>
      </c>
      <c r="D45" s="0" t="n">
        <v>480</v>
      </c>
      <c r="E45" s="0">
        <f>VLOOKUP(C45,'Item Tier Lookup'!$A:$B,2,FALSE)</f>
        <v/>
      </c>
      <c r="F45" s="0">
        <f>VLOOKUP(E45,'Tier Params'!$A:$B,2,FALSE)</f>
        <v/>
      </c>
      <c r="G45" s="0">
        <f>VLOOKUP(E45,'Tier Params'!$A:$C,3,FALSE)</f>
        <v/>
      </c>
      <c r="H45" s="0">
        <f>CEILING(D45/G45,1)</f>
        <v/>
      </c>
      <c r="I45" s="0">
        <f>H45*F45</f>
        <v/>
      </c>
    </row>
    <row r="46">
      <c r="A46" s="0" t="inlineStr">
        <is>
          <t>'Reference sheet'!N48</t>
        </is>
      </c>
      <c r="B46" s="0" t="inlineStr">
        <is>
          <t>Structure Construction Parts</t>
        </is>
      </c>
      <c r="C46" s="0" t="inlineStr">
        <is>
          <t>Noble Gas</t>
        </is>
      </c>
      <c r="D46" s="0" t="n">
        <v>72000</v>
      </c>
      <c r="E46" s="0">
        <f>VLOOKUP(C46,'Item Tier Lookup'!$A:$B,2,FALSE)</f>
        <v/>
      </c>
      <c r="F46" s="0">
        <f>VLOOKUP(E46,'Tier Params'!$A:$B,2,FALSE)</f>
        <v/>
      </c>
      <c r="G46" s="0">
        <f>VLOOKUP(E46,'Tier Params'!$A:$C,3,FALSE)</f>
        <v/>
      </c>
      <c r="H46" s="0">
        <f>CEILING(D46/G46,1)</f>
        <v/>
      </c>
      <c r="I46" s="0">
        <f>H46*F46</f>
        <v/>
      </c>
    </row>
    <row r="47">
      <c r="A47" s="0" t="inlineStr">
        <is>
          <t>'Reference sheet'!N49</t>
        </is>
      </c>
      <c r="B47" s="0" t="inlineStr">
        <is>
          <t>Structure Construction Parts</t>
        </is>
      </c>
      <c r="C47" s="0" t="inlineStr">
        <is>
          <t>Biomass</t>
        </is>
      </c>
      <c r="D47" s="0" t="n">
        <v>480</v>
      </c>
      <c r="E47" s="0">
        <f>VLOOKUP(C47,'Item Tier Lookup'!$A:$B,2,FALSE)</f>
        <v/>
      </c>
      <c r="F47" s="0">
        <f>VLOOKUP(E47,'Tier Params'!$A:$B,2,FALSE)</f>
        <v/>
      </c>
      <c r="G47" s="0">
        <f>VLOOKUP(E47,'Tier Params'!$A:$C,3,FALSE)</f>
        <v/>
      </c>
      <c r="H47" s="0">
        <f>CEILING(D47/G47,1)</f>
        <v/>
      </c>
      <c r="I47" s="0">
        <f>H47*F47</f>
        <v/>
      </c>
    </row>
    <row r="48">
      <c r="A48" s="0" t="inlineStr">
        <is>
          <t>'Reference sheet'!N50</t>
        </is>
      </c>
      <c r="B48" s="0" t="inlineStr">
        <is>
          <t>Structure Construction Parts</t>
        </is>
      </c>
      <c r="C48" s="0" t="inlineStr">
        <is>
          <t>Planktic Colonies</t>
        </is>
      </c>
      <c r="D48" s="0" t="n">
        <v>72000</v>
      </c>
      <c r="E48" s="0">
        <f>VLOOKUP(C48,'Item Tier Lookup'!$A:$B,2,FALSE)</f>
        <v/>
      </c>
      <c r="F48" s="0">
        <f>VLOOKUP(E48,'Tier Params'!$A:$B,2,FALSE)</f>
        <v/>
      </c>
      <c r="G48" s="0">
        <f>VLOOKUP(E48,'Tier Params'!$A:$C,3,FALSE)</f>
        <v/>
      </c>
      <c r="H48" s="0">
        <f>CEILING(D48/G48,1)</f>
        <v/>
      </c>
      <c r="I48" s="0">
        <f>H48*F48</f>
        <v/>
      </c>
    </row>
    <row r="49">
      <c r="A49" s="0" t="inlineStr">
        <is>
          <t>'Reference sheet'!N51</t>
        </is>
      </c>
      <c r="B49" s="0" t="inlineStr">
        <is>
          <t>Structure Construction Parts</t>
        </is>
      </c>
      <c r="C49" s="0" t="inlineStr">
        <is>
          <t>Mechanical Parts</t>
        </is>
      </c>
      <c r="D49" s="0" t="n">
        <v>60</v>
      </c>
      <c r="E49" s="0">
        <f>VLOOKUP(C49,'Item Tier Lookup'!$A:$B,2,FALSE)</f>
        <v/>
      </c>
      <c r="F49" s="0">
        <f>VLOOKUP(E49,'Tier Params'!$A:$B,2,FALSE)</f>
        <v/>
      </c>
      <c r="G49" s="0">
        <f>VLOOKUP(E49,'Tier Params'!$A:$C,3,FALSE)</f>
        <v/>
      </c>
      <c r="H49" s="0">
        <f>CEILING(D49/G49,1)</f>
        <v/>
      </c>
      <c r="I49" s="0">
        <f>H49*F49</f>
        <v/>
      </c>
    </row>
    <row r="50">
      <c r="A50" s="0" t="inlineStr">
        <is>
          <t>'Reference sheet'!N52</t>
        </is>
      </c>
      <c r="B50" s="0" t="inlineStr">
        <is>
          <t>Structure Construction Parts</t>
        </is>
      </c>
      <c r="C50" s="0" t="inlineStr">
        <is>
          <t>Reactive Metals</t>
        </is>
      </c>
      <c r="D50" s="0" t="n">
        <v>480</v>
      </c>
      <c r="E50" s="0">
        <f>VLOOKUP(C50,'Item Tier Lookup'!$A:$B,2,FALSE)</f>
        <v/>
      </c>
      <c r="F50" s="0">
        <f>VLOOKUP(E50,'Tier Params'!$A:$B,2,FALSE)</f>
        <v/>
      </c>
      <c r="G50" s="0">
        <f>VLOOKUP(E50,'Tier Params'!$A:$C,3,FALSE)</f>
        <v/>
      </c>
      <c r="H50" s="0">
        <f>CEILING(D50/G50,1)</f>
        <v/>
      </c>
      <c r="I50" s="0">
        <f>H50*F50</f>
        <v/>
      </c>
    </row>
    <row r="51">
      <c r="A51" s="0" t="inlineStr">
        <is>
          <t>'Reference sheet'!N53</t>
        </is>
      </c>
      <c r="B51" s="0" t="inlineStr">
        <is>
          <t>Structure Construction Parts</t>
        </is>
      </c>
      <c r="C51" s="0" t="inlineStr">
        <is>
          <t>Base Metals</t>
        </is>
      </c>
      <c r="D51" s="0" t="n">
        <v>72000</v>
      </c>
      <c r="E51" s="0">
        <f>VLOOKUP(C51,'Item Tier Lookup'!$A:$B,2,FALSE)</f>
        <v/>
      </c>
      <c r="F51" s="0">
        <f>VLOOKUP(E51,'Tier Params'!$A:$B,2,FALSE)</f>
        <v/>
      </c>
      <c r="G51" s="0">
        <f>VLOOKUP(E51,'Tier Params'!$A:$C,3,FALSE)</f>
        <v/>
      </c>
      <c r="H51" s="0">
        <f>CEILING(D51/G51,1)</f>
        <v/>
      </c>
      <c r="I51" s="0">
        <f>H51*F51</f>
        <v/>
      </c>
    </row>
    <row r="52">
      <c r="A52" s="0" t="inlineStr">
        <is>
          <t>'Reference sheet'!N54</t>
        </is>
      </c>
      <c r="B52" s="0" t="inlineStr">
        <is>
          <t>Structure Construction Parts</t>
        </is>
      </c>
      <c r="C52" s="0" t="inlineStr">
        <is>
          <t>Precious Metals</t>
        </is>
      </c>
      <c r="D52" s="0" t="n">
        <v>480</v>
      </c>
      <c r="E52" s="0">
        <f>VLOOKUP(C52,'Item Tier Lookup'!$A:$B,2,FALSE)</f>
        <v/>
      </c>
      <c r="F52" s="0">
        <f>VLOOKUP(E52,'Tier Params'!$A:$B,2,FALSE)</f>
        <v/>
      </c>
      <c r="G52" s="0">
        <f>VLOOKUP(E52,'Tier Params'!$A:$C,3,FALSE)</f>
        <v/>
      </c>
      <c r="H52" s="0">
        <f>CEILING(D52/G52,1)</f>
        <v/>
      </c>
      <c r="I52" s="0">
        <f>H52*F52</f>
        <v/>
      </c>
    </row>
    <row r="53">
      <c r="A53" s="0" t="inlineStr">
        <is>
          <t>'Reference sheet'!N55</t>
        </is>
      </c>
      <c r="B53" s="0" t="inlineStr">
        <is>
          <t>Structure Construction Parts</t>
        </is>
      </c>
      <c r="C53" s="0" t="inlineStr">
        <is>
          <t>Noble Metals</t>
        </is>
      </c>
      <c r="D53" s="0" t="n">
        <v>72000</v>
      </c>
      <c r="E53" s="0">
        <f>VLOOKUP(C53,'Item Tier Lookup'!$A:$B,2,FALSE)</f>
        <v/>
      </c>
      <c r="F53" s="0">
        <f>VLOOKUP(E53,'Tier Params'!$A:$B,2,FALSE)</f>
        <v/>
      </c>
      <c r="G53" s="0">
        <f>VLOOKUP(E53,'Tier Params'!$A:$C,3,FALSE)</f>
        <v/>
      </c>
      <c r="H53" s="0">
        <f>CEILING(D53/G53,1)</f>
        <v/>
      </c>
      <c r="I53" s="0">
        <f>H53*F53</f>
        <v/>
      </c>
    </row>
    <row r="54">
      <c r="A54" s="0" t="inlineStr">
        <is>
          <t>'Reference sheet'!N56</t>
        </is>
      </c>
      <c r="B54" s="0" t="inlineStr">
        <is>
          <t>Structure Construction Parts</t>
        </is>
      </c>
      <c r="C54" s="0" t="inlineStr">
        <is>
          <t>Miniature Electronics</t>
        </is>
      </c>
      <c r="D54" s="0" t="n">
        <v>60</v>
      </c>
      <c r="E54" s="0">
        <f>VLOOKUP(C54,'Item Tier Lookup'!$A:$B,2,FALSE)</f>
        <v/>
      </c>
      <c r="F54" s="0">
        <f>VLOOKUP(E54,'Tier Params'!$A:$B,2,FALSE)</f>
        <v/>
      </c>
      <c r="G54" s="0">
        <f>VLOOKUP(E54,'Tier Params'!$A:$C,3,FALSE)</f>
        <v/>
      </c>
      <c r="H54" s="0">
        <f>CEILING(D54/G54,1)</f>
        <v/>
      </c>
      <c r="I54" s="0">
        <f>H54*F54</f>
        <v/>
      </c>
    </row>
    <row r="55">
      <c r="A55" s="0" t="inlineStr">
        <is>
          <t>'Reference sheet'!N57</t>
        </is>
      </c>
      <c r="B55" s="0" t="inlineStr">
        <is>
          <t>Structure Construction Parts</t>
        </is>
      </c>
      <c r="C55" s="0" t="inlineStr">
        <is>
          <t>Chiral Structures</t>
        </is>
      </c>
      <c r="D55" s="0" t="n">
        <v>480</v>
      </c>
      <c r="E55" s="0">
        <f>VLOOKUP(C55,'Item Tier Lookup'!$A:$B,2,FALSE)</f>
        <v/>
      </c>
      <c r="F55" s="0">
        <f>VLOOKUP(E55,'Tier Params'!$A:$B,2,FALSE)</f>
        <v/>
      </c>
      <c r="G55" s="0">
        <f>VLOOKUP(E55,'Tier Params'!$A:$C,3,FALSE)</f>
        <v/>
      </c>
      <c r="H55" s="0">
        <f>CEILING(D55/G55,1)</f>
        <v/>
      </c>
      <c r="I55" s="0">
        <f>H55*F55</f>
        <v/>
      </c>
    </row>
    <row r="56">
      <c r="A56" s="0" t="inlineStr">
        <is>
          <t>'Reference sheet'!N58</t>
        </is>
      </c>
      <c r="B56" s="0" t="inlineStr">
        <is>
          <t>Structure Construction Parts</t>
        </is>
      </c>
      <c r="C56" s="0" t="inlineStr">
        <is>
          <t>Non-CS Crystals</t>
        </is>
      </c>
      <c r="D56" s="0" t="n">
        <v>72000</v>
      </c>
      <c r="E56" s="0">
        <f>VLOOKUP(C56,'Item Tier Lookup'!$A:$B,2,FALSE)</f>
        <v/>
      </c>
      <c r="F56" s="0">
        <f>VLOOKUP(E56,'Tier Params'!$A:$B,2,FALSE)</f>
        <v/>
      </c>
      <c r="G56" s="0">
        <f>VLOOKUP(E56,'Tier Params'!$A:$C,3,FALSE)</f>
        <v/>
      </c>
      <c r="H56" s="0">
        <f>CEILING(D56/G56,1)</f>
        <v/>
      </c>
      <c r="I56" s="0">
        <f>H56*F56</f>
        <v/>
      </c>
    </row>
    <row r="57">
      <c r="A57" s="0" t="inlineStr">
        <is>
          <t>'Reference sheet'!N59</t>
        </is>
      </c>
      <c r="B57" s="0" t="inlineStr">
        <is>
          <t>Structure Construction Parts</t>
        </is>
      </c>
      <c r="C57" s="0" t="inlineStr">
        <is>
          <t>Silicon</t>
        </is>
      </c>
      <c r="D57" s="0" t="n">
        <v>480</v>
      </c>
      <c r="E57" s="0">
        <f>VLOOKUP(C57,'Item Tier Lookup'!$A:$B,2,FALSE)</f>
        <v/>
      </c>
      <c r="F57" s="0">
        <f>VLOOKUP(E57,'Tier Params'!$A:$B,2,FALSE)</f>
        <v/>
      </c>
      <c r="G57" s="0">
        <f>VLOOKUP(E57,'Tier Params'!$A:$C,3,FALSE)</f>
        <v/>
      </c>
      <c r="H57" s="0">
        <f>CEILING(D57/G57,1)</f>
        <v/>
      </c>
      <c r="I57" s="0">
        <f>H57*F57</f>
        <v/>
      </c>
    </row>
    <row r="58">
      <c r="A58" s="0" t="inlineStr">
        <is>
          <t>'Reference sheet'!N60</t>
        </is>
      </c>
      <c r="B58" s="0" t="inlineStr">
        <is>
          <t>Structure Construction Parts</t>
        </is>
      </c>
      <c r="C58" s="0" t="inlineStr">
        <is>
          <t>Felsic Magma</t>
        </is>
      </c>
      <c r="D58" s="0" t="n">
        <v>72000</v>
      </c>
      <c r="E58" s="0">
        <f>VLOOKUP(C58,'Item Tier Lookup'!$A:$B,2,FALSE)</f>
        <v/>
      </c>
      <c r="F58" s="0">
        <f>VLOOKUP(E58,'Tier Params'!$A:$B,2,FALSE)</f>
        <v/>
      </c>
      <c r="G58" s="0">
        <f>VLOOKUP(E58,'Tier Params'!$A:$C,3,FALSE)</f>
        <v/>
      </c>
      <c r="H58" s="0">
        <f>CEILING(D58/G58,1)</f>
        <v/>
      </c>
      <c r="I58" s="0">
        <f>H58*F58</f>
        <v/>
      </c>
    </row>
    <row r="59">
      <c r="A59" s="0" t="inlineStr">
        <is>
          <t>'Reference sheet'!N61</t>
        </is>
      </c>
      <c r="B59" s="0" t="inlineStr">
        <is>
          <t>Structure Construction Parts</t>
        </is>
      </c>
      <c r="C59" s="0" t="inlineStr">
        <is>
          <t>Nano-Factory</t>
        </is>
      </c>
      <c r="D59" s="0" t="n">
        <v>5</v>
      </c>
      <c r="E59" s="0">
        <f>VLOOKUP(C59,'Item Tier Lookup'!$A:$B,2,FALSE)</f>
        <v/>
      </c>
      <c r="F59" s="0">
        <f>VLOOKUP(E59,'Tier Params'!$A:$B,2,FALSE)</f>
        <v/>
      </c>
      <c r="G59" s="0">
        <f>VLOOKUP(E59,'Tier Params'!$A:$C,3,FALSE)</f>
        <v/>
      </c>
      <c r="H59" s="0">
        <f>CEILING(D59/G59,1)</f>
        <v/>
      </c>
      <c r="I59" s="0">
        <f>H59*F59</f>
        <v/>
      </c>
    </row>
    <row r="60">
      <c r="A60" s="0" t="inlineStr">
        <is>
          <t>'Reference sheet'!N62</t>
        </is>
      </c>
      <c r="B60" s="0" t="inlineStr">
        <is>
          <t>Structure Construction Parts</t>
        </is>
      </c>
      <c r="C60" s="0" t="inlineStr">
        <is>
          <t>Industrial Explosives</t>
        </is>
      </c>
      <c r="D60" s="0" t="n">
        <v>30</v>
      </c>
      <c r="E60" s="0">
        <f>VLOOKUP(C60,'Item Tier Lookup'!$A:$B,2,FALSE)</f>
        <v/>
      </c>
      <c r="F60" s="0">
        <f>VLOOKUP(E60,'Tier Params'!$A:$B,2,FALSE)</f>
        <v/>
      </c>
      <c r="G60" s="0">
        <f>VLOOKUP(E60,'Tier Params'!$A:$C,3,FALSE)</f>
        <v/>
      </c>
      <c r="H60" s="0">
        <f>CEILING(D60/G60,1)</f>
        <v/>
      </c>
      <c r="I60" s="0">
        <f>H60*F60</f>
        <v/>
      </c>
    </row>
    <row r="61">
      <c r="A61" s="0" t="inlineStr">
        <is>
          <t>'Reference sheet'!N63</t>
        </is>
      </c>
      <c r="B61" s="0" t="inlineStr">
        <is>
          <t>Structure Construction Parts</t>
        </is>
      </c>
      <c r="C61" s="0" t="inlineStr">
        <is>
          <t>Fertilizer</t>
        </is>
      </c>
      <c r="D61" s="0" t="n">
        <v>100</v>
      </c>
      <c r="E61" s="0">
        <f>VLOOKUP(C61,'Item Tier Lookup'!$A:$B,2,FALSE)</f>
        <v/>
      </c>
      <c r="F61" s="0">
        <f>VLOOKUP(E61,'Tier Params'!$A:$B,2,FALSE)</f>
        <v/>
      </c>
      <c r="G61" s="0">
        <f>VLOOKUP(E61,'Tier Params'!$A:$C,3,FALSE)</f>
        <v/>
      </c>
      <c r="H61" s="0">
        <f>CEILING(D61/G61,1)</f>
        <v/>
      </c>
      <c r="I61" s="0">
        <f>H61*F61</f>
        <v/>
      </c>
    </row>
    <row r="62">
      <c r="A62" s="0" t="inlineStr">
        <is>
          <t>'Reference sheet'!N64</t>
        </is>
      </c>
      <c r="B62" s="0" t="inlineStr">
        <is>
          <t>Structure Construction Parts</t>
        </is>
      </c>
      <c r="C62" s="0" t="inlineStr">
        <is>
          <t>Bacteria</t>
        </is>
      </c>
      <c r="D62" s="0" t="n">
        <v>800</v>
      </c>
      <c r="E62" s="0">
        <f>VLOOKUP(C62,'Item Tier Lookup'!$A:$B,2,FALSE)</f>
        <v/>
      </c>
      <c r="F62" s="0">
        <f>VLOOKUP(E62,'Tier Params'!$A:$B,2,FALSE)</f>
        <v/>
      </c>
      <c r="G62" s="0">
        <f>VLOOKUP(E62,'Tier Params'!$A:$C,3,FALSE)</f>
        <v/>
      </c>
      <c r="H62" s="0">
        <f>CEILING(D62/G62,1)</f>
        <v/>
      </c>
      <c r="I62" s="0">
        <f>H62*F62</f>
        <v/>
      </c>
    </row>
    <row r="63">
      <c r="A63" s="0" t="inlineStr">
        <is>
          <t>'Reference sheet'!N65</t>
        </is>
      </c>
      <c r="B63" s="0" t="inlineStr">
        <is>
          <t>Structure Construction Parts</t>
        </is>
      </c>
      <c r="C63" s="0" t="inlineStr">
        <is>
          <t>Microorganisms</t>
        </is>
      </c>
      <c r="D63" s="0" t="n">
        <v>120000</v>
      </c>
      <c r="E63" s="0">
        <f>VLOOKUP(C63,'Item Tier Lookup'!$A:$B,2,FALSE)</f>
        <v/>
      </c>
      <c r="F63" s="0">
        <f>VLOOKUP(E63,'Tier Params'!$A:$B,2,FALSE)</f>
        <v/>
      </c>
      <c r="G63" s="0">
        <f>VLOOKUP(E63,'Tier Params'!$A:$C,3,FALSE)</f>
        <v/>
      </c>
      <c r="H63" s="0">
        <f>CEILING(D63/G63,1)</f>
        <v/>
      </c>
      <c r="I63" s="0">
        <f>H63*F63</f>
        <v/>
      </c>
    </row>
    <row r="64">
      <c r="A64" s="0" t="inlineStr">
        <is>
          <t>'Reference sheet'!N66</t>
        </is>
      </c>
      <c r="B64" s="0" t="inlineStr">
        <is>
          <t>Structure Construction Parts</t>
        </is>
      </c>
      <c r="C64" s="0" t="inlineStr">
        <is>
          <t>Proteins</t>
        </is>
      </c>
      <c r="D64" s="0" t="n">
        <v>800</v>
      </c>
      <c r="E64" s="0">
        <f>VLOOKUP(C64,'Item Tier Lookup'!$A:$B,2,FALSE)</f>
        <v/>
      </c>
      <c r="F64" s="0">
        <f>VLOOKUP(E64,'Tier Params'!$A:$B,2,FALSE)</f>
        <v/>
      </c>
      <c r="G64" s="0">
        <f>VLOOKUP(E64,'Tier Params'!$A:$C,3,FALSE)</f>
        <v/>
      </c>
      <c r="H64" s="0">
        <f>CEILING(D64/G64,1)</f>
        <v/>
      </c>
      <c r="I64" s="0">
        <f>H64*F64</f>
        <v/>
      </c>
    </row>
    <row r="65">
      <c r="A65" s="0" t="inlineStr">
        <is>
          <t>'Reference sheet'!N67</t>
        </is>
      </c>
      <c r="B65" s="0" t="inlineStr">
        <is>
          <t>Structure Construction Parts</t>
        </is>
      </c>
      <c r="C65" s="0" t="inlineStr">
        <is>
          <t>Complex Organisms</t>
        </is>
      </c>
      <c r="D65" s="0" t="n">
        <v>120000</v>
      </c>
      <c r="E65" s="0">
        <f>VLOOKUP(C65,'Item Tier Lookup'!$A:$B,2,FALSE)</f>
        <v/>
      </c>
      <c r="F65" s="0">
        <f>VLOOKUP(E65,'Tier Params'!$A:$B,2,FALSE)</f>
        <v/>
      </c>
      <c r="G65" s="0">
        <f>VLOOKUP(E65,'Tier Params'!$A:$C,3,FALSE)</f>
        <v/>
      </c>
      <c r="H65" s="0">
        <f>CEILING(D65/G65,1)</f>
        <v/>
      </c>
      <c r="I65" s="0">
        <f>H65*F65</f>
        <v/>
      </c>
    </row>
    <row r="66">
      <c r="A66" s="0" t="inlineStr">
        <is>
          <t>'Reference sheet'!N68</t>
        </is>
      </c>
      <c r="B66" s="0" t="inlineStr">
        <is>
          <t>Structure Construction Parts</t>
        </is>
      </c>
      <c r="C66" s="0" t="inlineStr">
        <is>
          <t>Polytextiles</t>
        </is>
      </c>
      <c r="D66" s="0" t="n">
        <v>100</v>
      </c>
      <c r="E66" s="0">
        <f>VLOOKUP(C66,'Item Tier Lookup'!$A:$B,2,FALSE)</f>
        <v/>
      </c>
      <c r="F66" s="0">
        <f>VLOOKUP(E66,'Tier Params'!$A:$B,2,FALSE)</f>
        <v/>
      </c>
      <c r="G66" s="0">
        <f>VLOOKUP(E66,'Tier Params'!$A:$C,3,FALSE)</f>
        <v/>
      </c>
      <c r="H66" s="0">
        <f>CEILING(D66/G66,1)</f>
        <v/>
      </c>
      <c r="I66" s="0">
        <f>H66*F66</f>
        <v/>
      </c>
    </row>
    <row r="67">
      <c r="A67" s="0" t="inlineStr">
        <is>
          <t>'Reference sheet'!N69</t>
        </is>
      </c>
      <c r="B67" s="0" t="inlineStr">
        <is>
          <t>Structure Construction Parts</t>
        </is>
      </c>
      <c r="C67" s="0" t="inlineStr">
        <is>
          <t>Biofuels</t>
        </is>
      </c>
      <c r="D67" s="0" t="n">
        <v>800</v>
      </c>
      <c r="E67" s="0">
        <f>VLOOKUP(C67,'Item Tier Lookup'!$A:$B,2,FALSE)</f>
        <v/>
      </c>
      <c r="F67" s="0">
        <f>VLOOKUP(E67,'Tier Params'!$A:$B,2,FALSE)</f>
        <v/>
      </c>
      <c r="G67" s="0">
        <f>VLOOKUP(E67,'Tier Params'!$A:$C,3,FALSE)</f>
        <v/>
      </c>
      <c r="H67" s="0">
        <f>CEILING(D67/G67,1)</f>
        <v/>
      </c>
      <c r="I67" s="0">
        <f>H67*F67</f>
        <v/>
      </c>
    </row>
    <row r="68">
      <c r="A68" s="0" t="inlineStr">
        <is>
          <t>'Reference sheet'!N70</t>
        </is>
      </c>
      <c r="B68" s="0" t="inlineStr">
        <is>
          <t>Structure Construction Parts</t>
        </is>
      </c>
      <c r="C68" s="0" t="inlineStr">
        <is>
          <t>Carbon Compounds</t>
        </is>
      </c>
      <c r="D68" s="0" t="n">
        <v>120000</v>
      </c>
      <c r="E68" s="0">
        <f>VLOOKUP(C68,'Item Tier Lookup'!$A:$B,2,FALSE)</f>
        <v/>
      </c>
      <c r="F68" s="0">
        <f>VLOOKUP(E68,'Tier Params'!$A:$B,2,FALSE)</f>
        <v/>
      </c>
      <c r="G68" s="0">
        <f>VLOOKUP(E68,'Tier Params'!$A:$C,3,FALSE)</f>
        <v/>
      </c>
      <c r="H68" s="0">
        <f>CEILING(D68/G68,1)</f>
        <v/>
      </c>
      <c r="I68" s="0">
        <f>H68*F68</f>
        <v/>
      </c>
    </row>
    <row r="69">
      <c r="A69" s="0" t="inlineStr">
        <is>
          <t>'Reference sheet'!N71</t>
        </is>
      </c>
      <c r="B69" s="0" t="inlineStr">
        <is>
          <t>Structure Construction Parts</t>
        </is>
      </c>
      <c r="C69" s="0" t="inlineStr">
        <is>
          <t>Industrial Fibers</t>
        </is>
      </c>
      <c r="D69" s="0" t="n">
        <v>800</v>
      </c>
      <c r="E69" s="0">
        <f>VLOOKUP(C69,'Item Tier Lookup'!$A:$B,2,FALSE)</f>
        <v/>
      </c>
      <c r="F69" s="0">
        <f>VLOOKUP(E69,'Tier Params'!$A:$B,2,FALSE)</f>
        <v/>
      </c>
      <c r="G69" s="0">
        <f>VLOOKUP(E69,'Tier Params'!$A:$C,3,FALSE)</f>
        <v/>
      </c>
      <c r="H69" s="0">
        <f>CEILING(D69/G69,1)</f>
        <v/>
      </c>
      <c r="I69" s="0">
        <f>H69*F69</f>
        <v/>
      </c>
    </row>
    <row r="70">
      <c r="A70" s="0" t="inlineStr">
        <is>
          <t>'Reference sheet'!N72</t>
        </is>
      </c>
      <c r="B70" s="0" t="inlineStr">
        <is>
          <t>Structure Construction Parts</t>
        </is>
      </c>
      <c r="C70" s="0" t="inlineStr">
        <is>
          <t>Autotrophs</t>
        </is>
      </c>
      <c r="D70" s="0" t="n">
        <v>120000</v>
      </c>
      <c r="E70" s="0">
        <f>VLOOKUP(C70,'Item Tier Lookup'!$A:$B,2,FALSE)</f>
        <v/>
      </c>
      <c r="F70" s="0">
        <f>VLOOKUP(E70,'Tier Params'!$A:$B,2,FALSE)</f>
        <v/>
      </c>
      <c r="G70" s="0">
        <f>VLOOKUP(E70,'Tier Params'!$A:$C,3,FALSE)</f>
        <v/>
      </c>
      <c r="H70" s="0">
        <f>CEILING(D70/G70,1)</f>
        <v/>
      </c>
      <c r="I70" s="0">
        <f>H70*F70</f>
        <v/>
      </c>
    </row>
    <row r="71">
      <c r="A71" s="0" t="inlineStr">
        <is>
          <t>'Reference sheet'!N73</t>
        </is>
      </c>
      <c r="B71" s="0" t="inlineStr">
        <is>
          <t>Structure Construction Parts</t>
        </is>
      </c>
      <c r="C71" s="0" t="inlineStr">
        <is>
          <t>Ukomi Superconductors</t>
        </is>
      </c>
      <c r="D71" s="0" t="n">
        <v>30</v>
      </c>
      <c r="E71" s="0">
        <f>VLOOKUP(C71,'Item Tier Lookup'!$A:$B,2,FALSE)</f>
        <v/>
      </c>
      <c r="F71" s="0">
        <f>VLOOKUP(E71,'Tier Params'!$A:$B,2,FALSE)</f>
        <v/>
      </c>
      <c r="G71" s="0">
        <f>VLOOKUP(E71,'Tier Params'!$A:$C,3,FALSE)</f>
        <v/>
      </c>
      <c r="H71" s="0">
        <f>CEILING(D71/G71,1)</f>
        <v/>
      </c>
      <c r="I71" s="0">
        <f>H71*F71</f>
        <v/>
      </c>
    </row>
    <row r="72">
      <c r="A72" s="0" t="inlineStr">
        <is>
          <t>'Reference sheet'!N74</t>
        </is>
      </c>
      <c r="B72" s="0" t="inlineStr">
        <is>
          <t>Structure Construction Parts</t>
        </is>
      </c>
      <c r="C72" s="0" t="inlineStr">
        <is>
          <t>Synthetic Oil</t>
        </is>
      </c>
      <c r="D72" s="0" t="n">
        <v>100</v>
      </c>
      <c r="E72" s="0">
        <f>VLOOKUP(C72,'Item Tier Lookup'!$A:$B,2,FALSE)</f>
        <v/>
      </c>
      <c r="F72" s="0">
        <f>VLOOKUP(E72,'Tier Params'!$A:$B,2,FALSE)</f>
        <v/>
      </c>
      <c r="G72" s="0">
        <f>VLOOKUP(E72,'Tier Params'!$A:$C,3,FALSE)</f>
        <v/>
      </c>
      <c r="H72" s="0">
        <f>CEILING(D72/G72,1)</f>
        <v/>
      </c>
      <c r="I72" s="0">
        <f>H72*F72</f>
        <v/>
      </c>
    </row>
    <row r="73">
      <c r="A73" s="0" t="inlineStr">
        <is>
          <t>'Reference sheet'!N75</t>
        </is>
      </c>
      <c r="B73" s="0" t="inlineStr">
        <is>
          <t>Structure Construction Parts</t>
        </is>
      </c>
      <c r="C73" s="0" t="inlineStr">
        <is>
          <t>Oxygen</t>
        </is>
      </c>
      <c r="D73" s="0" t="n">
        <v>800</v>
      </c>
      <c r="E73" s="0">
        <f>VLOOKUP(C73,'Item Tier Lookup'!$A:$B,2,FALSE)</f>
        <v/>
      </c>
      <c r="F73" s="0">
        <f>VLOOKUP(E73,'Tier Params'!$A:$B,2,FALSE)</f>
        <v/>
      </c>
      <c r="G73" s="0">
        <f>VLOOKUP(E73,'Tier Params'!$A:$C,3,FALSE)</f>
        <v/>
      </c>
      <c r="H73" s="0">
        <f>CEILING(D73/G73,1)</f>
        <v/>
      </c>
      <c r="I73" s="0">
        <f>H73*F73</f>
        <v/>
      </c>
    </row>
    <row r="74">
      <c r="A74" s="0" t="inlineStr">
        <is>
          <t>'Reference sheet'!N76</t>
        </is>
      </c>
      <c r="B74" s="0" t="inlineStr">
        <is>
          <t>Structure Construction Parts</t>
        </is>
      </c>
      <c r="C74" s="0" t="inlineStr">
        <is>
          <t>Noble Gas</t>
        </is>
      </c>
      <c r="D74" s="0" t="n">
        <v>120000</v>
      </c>
      <c r="E74" s="0">
        <f>VLOOKUP(C74,'Item Tier Lookup'!$A:$B,2,FALSE)</f>
        <v/>
      </c>
      <c r="F74" s="0">
        <f>VLOOKUP(E74,'Tier Params'!$A:$B,2,FALSE)</f>
        <v/>
      </c>
      <c r="G74" s="0">
        <f>VLOOKUP(E74,'Tier Params'!$A:$C,3,FALSE)</f>
        <v/>
      </c>
      <c r="H74" s="0">
        <f>CEILING(D74/G74,1)</f>
        <v/>
      </c>
      <c r="I74" s="0">
        <f>H74*F74</f>
        <v/>
      </c>
    </row>
    <row r="75">
      <c r="A75" s="0" t="inlineStr">
        <is>
          <t>'Reference sheet'!N77</t>
        </is>
      </c>
      <c r="B75" s="0" t="inlineStr">
        <is>
          <t>Structure Construction Parts</t>
        </is>
      </c>
      <c r="C75" s="0" t="inlineStr">
        <is>
          <t>Electrolytes</t>
        </is>
      </c>
      <c r="D75" s="0" t="n">
        <v>800</v>
      </c>
      <c r="E75" s="0">
        <f>VLOOKUP(C75,'Item Tier Lookup'!$A:$B,2,FALSE)</f>
        <v/>
      </c>
      <c r="F75" s="0">
        <f>VLOOKUP(E75,'Tier Params'!$A:$B,2,FALSE)</f>
        <v/>
      </c>
      <c r="G75" s="0">
        <f>VLOOKUP(E75,'Tier Params'!$A:$C,3,FALSE)</f>
        <v/>
      </c>
      <c r="H75" s="0">
        <f>CEILING(D75/G75,1)</f>
        <v/>
      </c>
      <c r="I75" s="0">
        <f>H75*F75</f>
        <v/>
      </c>
    </row>
    <row r="76">
      <c r="A76" s="0" t="inlineStr">
        <is>
          <t>'Reference sheet'!N78</t>
        </is>
      </c>
      <c r="B76" s="0" t="inlineStr">
        <is>
          <t>Structure Construction Parts</t>
        </is>
      </c>
      <c r="C76" s="0" t="inlineStr">
        <is>
          <t>Ionic Solutions</t>
        </is>
      </c>
      <c r="D76" s="0" t="n">
        <v>120000</v>
      </c>
      <c r="E76" s="0">
        <f>VLOOKUP(C76,'Item Tier Lookup'!$A:$B,2,FALSE)</f>
        <v/>
      </c>
      <c r="F76" s="0">
        <f>VLOOKUP(E76,'Tier Params'!$A:$B,2,FALSE)</f>
        <v/>
      </c>
      <c r="G76" s="0">
        <f>VLOOKUP(E76,'Tier Params'!$A:$C,3,FALSE)</f>
        <v/>
      </c>
      <c r="H76" s="0">
        <f>CEILING(D76/G76,1)</f>
        <v/>
      </c>
      <c r="I76" s="0">
        <f>H76*F76</f>
        <v/>
      </c>
    </row>
    <row r="77">
      <c r="A77" s="0" t="inlineStr">
        <is>
          <t>'Reference sheet'!N79</t>
        </is>
      </c>
      <c r="B77" s="0" t="inlineStr">
        <is>
          <t>Structure Construction Parts</t>
        </is>
      </c>
      <c r="C77" s="0" t="inlineStr">
        <is>
          <t>Superconductors</t>
        </is>
      </c>
      <c r="D77" s="0" t="n">
        <v>100</v>
      </c>
      <c r="E77" s="0">
        <f>VLOOKUP(C77,'Item Tier Lookup'!$A:$B,2,FALSE)</f>
        <v/>
      </c>
      <c r="F77" s="0">
        <f>VLOOKUP(E77,'Tier Params'!$A:$B,2,FALSE)</f>
        <v/>
      </c>
      <c r="G77" s="0">
        <f>VLOOKUP(E77,'Tier Params'!$A:$C,3,FALSE)</f>
        <v/>
      </c>
      <c r="H77" s="0">
        <f>CEILING(D77/G77,1)</f>
        <v/>
      </c>
      <c r="I77" s="0">
        <f>H77*F77</f>
        <v/>
      </c>
    </row>
    <row r="78">
      <c r="A78" s="0" t="inlineStr">
        <is>
          <t>'Reference sheet'!N80</t>
        </is>
      </c>
      <c r="B78" s="0" t="inlineStr">
        <is>
          <t>Structure Construction Parts</t>
        </is>
      </c>
      <c r="C78" s="0" t="inlineStr">
        <is>
          <t>Plasmoids</t>
        </is>
      </c>
      <c r="D78" s="0" t="n">
        <v>800</v>
      </c>
      <c r="E78" s="0">
        <f>VLOOKUP(C78,'Item Tier Lookup'!$A:$B,2,FALSE)</f>
        <v/>
      </c>
      <c r="F78" s="0">
        <f>VLOOKUP(E78,'Tier Params'!$A:$B,2,FALSE)</f>
        <v/>
      </c>
      <c r="G78" s="0">
        <f>VLOOKUP(E78,'Tier Params'!$A:$C,3,FALSE)</f>
        <v/>
      </c>
      <c r="H78" s="0">
        <f>CEILING(D78/G78,1)</f>
        <v/>
      </c>
      <c r="I78" s="0">
        <f>H78*F78</f>
        <v/>
      </c>
    </row>
    <row r="79">
      <c r="A79" s="0" t="inlineStr">
        <is>
          <t>'Reference sheet'!N81</t>
        </is>
      </c>
      <c r="B79" s="0" t="inlineStr">
        <is>
          <t>Structure Construction Parts</t>
        </is>
      </c>
      <c r="C79" s="0" t="inlineStr">
        <is>
          <t>Suspended Plasma</t>
        </is>
      </c>
      <c r="D79" s="0" t="n">
        <v>120000</v>
      </c>
      <c r="E79" s="0">
        <f>VLOOKUP(C79,'Item Tier Lookup'!$A:$B,2,FALSE)</f>
        <v/>
      </c>
      <c r="F79" s="0">
        <f>VLOOKUP(E79,'Tier Params'!$A:$B,2,FALSE)</f>
        <v/>
      </c>
      <c r="G79" s="0">
        <f>VLOOKUP(E79,'Tier Params'!$A:$C,3,FALSE)</f>
        <v/>
      </c>
      <c r="H79" s="0">
        <f>CEILING(D79/G79,1)</f>
        <v/>
      </c>
      <c r="I79" s="0">
        <f>H79*F79</f>
        <v/>
      </c>
    </row>
    <row r="80">
      <c r="A80" s="0" t="inlineStr">
        <is>
          <t>'Reference sheet'!N82</t>
        </is>
      </c>
      <c r="B80" s="0" t="inlineStr">
        <is>
          <t>Structure Construction Parts</t>
        </is>
      </c>
      <c r="C80" s="0" t="inlineStr">
        <is>
          <t>Water</t>
        </is>
      </c>
      <c r="D80" s="0" t="n">
        <v>800</v>
      </c>
      <c r="E80" s="0">
        <f>VLOOKUP(C80,'Item Tier Lookup'!$A:$B,2,FALSE)</f>
        <v/>
      </c>
      <c r="F80" s="0">
        <f>VLOOKUP(E80,'Tier Params'!$A:$B,2,FALSE)</f>
        <v/>
      </c>
      <c r="G80" s="0">
        <f>VLOOKUP(E80,'Tier Params'!$A:$C,3,FALSE)</f>
        <v/>
      </c>
      <c r="H80" s="0">
        <f>CEILING(D80/G80,1)</f>
        <v/>
      </c>
      <c r="I80" s="0">
        <f>H80*F80</f>
        <v/>
      </c>
    </row>
    <row r="81">
      <c r="A81" s="0" t="inlineStr">
        <is>
          <t>'Reference sheet'!N83</t>
        </is>
      </c>
      <c r="B81" s="0" t="inlineStr">
        <is>
          <t>Structure Construction Parts</t>
        </is>
      </c>
      <c r="C81" s="0" t="inlineStr">
        <is>
          <t>Aqueous Liquids</t>
        </is>
      </c>
      <c r="D81" s="0" t="n">
        <v>120000</v>
      </c>
      <c r="E81" s="0">
        <f>VLOOKUP(C81,'Item Tier Lookup'!$A:$B,2,FALSE)</f>
        <v/>
      </c>
      <c r="F81" s="0">
        <f>VLOOKUP(E81,'Tier Params'!$A:$B,2,FALSE)</f>
        <v/>
      </c>
      <c r="G81" s="0">
        <f>VLOOKUP(E81,'Tier Params'!$A:$C,3,FALSE)</f>
        <v/>
      </c>
      <c r="H81" s="0">
        <f>CEILING(D81/G81,1)</f>
        <v/>
      </c>
      <c r="I81" s="0">
        <f>H81*F81</f>
        <v/>
      </c>
    </row>
    <row r="82">
      <c r="A82" s="0" t="inlineStr">
        <is>
          <t>'Reference sheet'!N84</t>
        </is>
      </c>
      <c r="B82" s="0" t="inlineStr">
        <is>
          <t>Structure Construction Parts</t>
        </is>
      </c>
      <c r="C82" s="0" t="inlineStr">
        <is>
          <t>Reactive Metals</t>
        </is>
      </c>
      <c r="D82" s="0" t="n">
        <v>200</v>
      </c>
      <c r="E82" s="0">
        <f>VLOOKUP(C82,'Item Tier Lookup'!$A:$B,2,FALSE)</f>
        <v/>
      </c>
      <c r="F82" s="0">
        <f>VLOOKUP(E82,'Tier Params'!$A:$B,2,FALSE)</f>
        <v/>
      </c>
      <c r="G82" s="0">
        <f>VLOOKUP(E82,'Tier Params'!$A:$C,3,FALSE)</f>
        <v/>
      </c>
      <c r="H82" s="0">
        <f>CEILING(D82/G82,1)</f>
        <v/>
      </c>
      <c r="I82" s="0">
        <f>H82*F82</f>
        <v/>
      </c>
    </row>
    <row r="83">
      <c r="A83" s="0" t="inlineStr">
        <is>
          <t>'Reference sheet'!N85</t>
        </is>
      </c>
      <c r="B83" s="0" t="inlineStr">
        <is>
          <t>Structure Construction Parts</t>
        </is>
      </c>
      <c r="C83" s="0" t="inlineStr">
        <is>
          <t>Base Metals</t>
        </is>
      </c>
      <c r="D83" s="0" t="n">
        <v>30000</v>
      </c>
      <c r="E83" s="0">
        <f>VLOOKUP(C83,'Item Tier Lookup'!$A:$B,2,FALSE)</f>
        <v/>
      </c>
      <c r="F83" s="0">
        <f>VLOOKUP(E83,'Tier Params'!$A:$B,2,FALSE)</f>
        <v/>
      </c>
      <c r="G83" s="0">
        <f>VLOOKUP(E83,'Tier Params'!$A:$C,3,FALSE)</f>
        <v/>
      </c>
      <c r="H83" s="0">
        <f>CEILING(D83/G83,1)</f>
        <v/>
      </c>
      <c r="I83" s="0">
        <f>H83*F83</f>
        <v/>
      </c>
    </row>
    <row r="84">
      <c r="A84" s="0" t="inlineStr">
        <is>
          <t>'Reference sheet'!N86</t>
        </is>
      </c>
      <c r="B84" s="0" t="inlineStr">
        <is>
          <t>Structure Construction Parts</t>
        </is>
      </c>
      <c r="C84" s="0" t="inlineStr">
        <is>
          <t>Organic Mortar Applicators</t>
        </is>
      </c>
      <c r="D84" s="0" t="n">
        <v>5</v>
      </c>
      <c r="E84" s="0">
        <f>VLOOKUP(C84,'Item Tier Lookup'!$A:$B,2,FALSE)</f>
        <v/>
      </c>
      <c r="F84" s="0">
        <f>VLOOKUP(E84,'Tier Params'!$A:$B,2,FALSE)</f>
        <v/>
      </c>
      <c r="G84" s="0">
        <f>VLOOKUP(E84,'Tier Params'!$A:$C,3,FALSE)</f>
        <v/>
      </c>
      <c r="H84" s="0">
        <f>CEILING(D84/G84,1)</f>
        <v/>
      </c>
      <c r="I84" s="0">
        <f>H84*F84</f>
        <v/>
      </c>
    </row>
    <row r="85">
      <c r="A85" s="0" t="inlineStr">
        <is>
          <t>'Reference sheet'!N87</t>
        </is>
      </c>
      <c r="B85" s="0" t="inlineStr">
        <is>
          <t>Structure Construction Parts</t>
        </is>
      </c>
      <c r="C85" s="0" t="inlineStr">
        <is>
          <t>Condensates</t>
        </is>
      </c>
      <c r="D85" s="0" t="n">
        <v>30</v>
      </c>
      <c r="E85" s="0">
        <f>VLOOKUP(C85,'Item Tier Lookup'!$A:$B,2,FALSE)</f>
        <v/>
      </c>
      <c r="F85" s="0">
        <f>VLOOKUP(E85,'Tier Params'!$A:$B,2,FALSE)</f>
        <v/>
      </c>
      <c r="G85" s="0">
        <f>VLOOKUP(E85,'Tier Params'!$A:$C,3,FALSE)</f>
        <v/>
      </c>
      <c r="H85" s="0">
        <f>CEILING(D85/G85,1)</f>
        <v/>
      </c>
      <c r="I85" s="0">
        <f>H85*F85</f>
        <v/>
      </c>
    </row>
    <row r="86">
      <c r="A86" s="0" t="inlineStr">
        <is>
          <t>'Reference sheet'!N88</t>
        </is>
      </c>
      <c r="B86" s="0" t="inlineStr">
        <is>
          <t>Structure Construction Parts</t>
        </is>
      </c>
      <c r="C86" s="0" t="inlineStr">
        <is>
          <t>Coolant</t>
        </is>
      </c>
      <c r="D86" s="0" t="n">
        <v>100</v>
      </c>
      <c r="E86" s="0">
        <f>VLOOKUP(C86,'Item Tier Lookup'!$A:$B,2,FALSE)</f>
        <v/>
      </c>
      <c r="F86" s="0">
        <f>VLOOKUP(E86,'Tier Params'!$A:$B,2,FALSE)</f>
        <v/>
      </c>
      <c r="G86" s="0">
        <f>VLOOKUP(E86,'Tier Params'!$A:$C,3,FALSE)</f>
        <v/>
      </c>
      <c r="H86" s="0">
        <f>CEILING(D86/G86,1)</f>
        <v/>
      </c>
      <c r="I86" s="0">
        <f>H86*F86</f>
        <v/>
      </c>
    </row>
    <row r="87">
      <c r="A87" s="0" t="inlineStr">
        <is>
          <t>'Reference sheet'!N89</t>
        </is>
      </c>
      <c r="B87" s="0" t="inlineStr">
        <is>
          <t>Structure Construction Parts</t>
        </is>
      </c>
      <c r="C87" s="0" t="inlineStr">
        <is>
          <t>Water</t>
        </is>
      </c>
      <c r="D87" s="0" t="n">
        <v>800</v>
      </c>
      <c r="E87" s="0">
        <f>VLOOKUP(C87,'Item Tier Lookup'!$A:$B,2,FALSE)</f>
        <v/>
      </c>
      <c r="F87" s="0">
        <f>VLOOKUP(E87,'Tier Params'!$A:$B,2,FALSE)</f>
        <v/>
      </c>
      <c r="G87" s="0">
        <f>VLOOKUP(E87,'Tier Params'!$A:$C,3,FALSE)</f>
        <v/>
      </c>
      <c r="H87" s="0">
        <f>CEILING(D87/G87,1)</f>
        <v/>
      </c>
      <c r="I87" s="0">
        <f>H87*F87</f>
        <v/>
      </c>
    </row>
    <row r="88">
      <c r="A88" s="0" t="inlineStr">
        <is>
          <t>'Reference sheet'!N90</t>
        </is>
      </c>
      <c r="B88" s="0" t="inlineStr">
        <is>
          <t>Structure Construction Parts</t>
        </is>
      </c>
      <c r="C88" s="0" t="inlineStr">
        <is>
          <t>Aqueous Liquids</t>
        </is>
      </c>
      <c r="D88" s="0" t="n">
        <v>120000</v>
      </c>
      <c r="E88" s="0">
        <f>VLOOKUP(C88,'Item Tier Lookup'!$A:$B,2,FALSE)</f>
        <v/>
      </c>
      <c r="F88" s="0">
        <f>VLOOKUP(E88,'Tier Params'!$A:$B,2,FALSE)</f>
        <v/>
      </c>
      <c r="G88" s="0">
        <f>VLOOKUP(E88,'Tier Params'!$A:$C,3,FALSE)</f>
        <v/>
      </c>
      <c r="H88" s="0">
        <f>CEILING(D88/G88,1)</f>
        <v/>
      </c>
      <c r="I88" s="0">
        <f>H88*F88</f>
        <v/>
      </c>
    </row>
    <row r="89">
      <c r="A89" s="0" t="inlineStr">
        <is>
          <t>'Reference sheet'!N91</t>
        </is>
      </c>
      <c r="B89" s="0" t="inlineStr">
        <is>
          <t>Structure Construction Parts</t>
        </is>
      </c>
      <c r="C89" s="0" t="inlineStr">
        <is>
          <t>Electrolytes</t>
        </is>
      </c>
      <c r="D89" s="0" t="n">
        <v>800</v>
      </c>
      <c r="E89" s="0">
        <f>VLOOKUP(C89,'Item Tier Lookup'!$A:$B,2,FALSE)</f>
        <v/>
      </c>
      <c r="F89" s="0">
        <f>VLOOKUP(E89,'Tier Params'!$A:$B,2,FALSE)</f>
        <v/>
      </c>
      <c r="G89" s="0">
        <f>VLOOKUP(E89,'Tier Params'!$A:$C,3,FALSE)</f>
        <v/>
      </c>
      <c r="H89" s="0">
        <f>CEILING(D89/G89,1)</f>
        <v/>
      </c>
      <c r="I89" s="0">
        <f>H89*F89</f>
        <v/>
      </c>
    </row>
    <row r="90">
      <c r="A90" s="0" t="inlineStr">
        <is>
          <t>'Reference sheet'!N92</t>
        </is>
      </c>
      <c r="B90" s="0" t="inlineStr">
        <is>
          <t>Structure Construction Parts</t>
        </is>
      </c>
      <c r="C90" s="0" t="inlineStr">
        <is>
          <t>Ionic Solutions</t>
        </is>
      </c>
      <c r="D90" s="0" t="n">
        <v>120000</v>
      </c>
      <c r="E90" s="0">
        <f>VLOOKUP(C90,'Item Tier Lookup'!$A:$B,2,FALSE)</f>
        <v/>
      </c>
      <c r="F90" s="0">
        <f>VLOOKUP(E90,'Tier Params'!$A:$B,2,FALSE)</f>
        <v/>
      </c>
      <c r="G90" s="0">
        <f>VLOOKUP(E90,'Tier Params'!$A:$C,3,FALSE)</f>
        <v/>
      </c>
      <c r="H90" s="0">
        <f>CEILING(D90/G90,1)</f>
        <v/>
      </c>
      <c r="I90" s="0">
        <f>H90*F90</f>
        <v/>
      </c>
    </row>
    <row r="91">
      <c r="A91" s="0" t="inlineStr">
        <is>
          <t>'Reference sheet'!N93</t>
        </is>
      </c>
      <c r="B91" s="0" t="inlineStr">
        <is>
          <t>Structure Construction Parts</t>
        </is>
      </c>
      <c r="C91" s="0" t="inlineStr">
        <is>
          <t>Oxides</t>
        </is>
      </c>
      <c r="D91" s="0" t="n">
        <v>100</v>
      </c>
      <c r="E91" s="0">
        <f>VLOOKUP(C91,'Item Tier Lookup'!$A:$B,2,FALSE)</f>
        <v/>
      </c>
      <c r="F91" s="0">
        <f>VLOOKUP(E91,'Tier Params'!$A:$B,2,FALSE)</f>
        <v/>
      </c>
      <c r="G91" s="0">
        <f>VLOOKUP(E91,'Tier Params'!$A:$C,3,FALSE)</f>
        <v/>
      </c>
      <c r="H91" s="0">
        <f>CEILING(D91/G91,1)</f>
        <v/>
      </c>
      <c r="I91" s="0">
        <f>H91*F91</f>
        <v/>
      </c>
    </row>
    <row r="92">
      <c r="A92" s="0" t="inlineStr">
        <is>
          <t>'Reference sheet'!N94</t>
        </is>
      </c>
      <c r="B92" s="0" t="inlineStr">
        <is>
          <t>Structure Construction Parts</t>
        </is>
      </c>
      <c r="C92" s="0" t="inlineStr">
        <is>
          <t>Oxidizing Compound</t>
        </is>
      </c>
      <c r="D92" s="0" t="n">
        <v>800</v>
      </c>
      <c r="E92" s="0">
        <f>VLOOKUP(C92,'Item Tier Lookup'!$A:$B,2,FALSE)</f>
        <v/>
      </c>
      <c r="F92" s="0">
        <f>VLOOKUP(E92,'Tier Params'!$A:$B,2,FALSE)</f>
        <v/>
      </c>
      <c r="G92" s="0">
        <f>VLOOKUP(E92,'Tier Params'!$A:$C,3,FALSE)</f>
        <v/>
      </c>
      <c r="H92" s="0">
        <f>CEILING(D92/G92,1)</f>
        <v/>
      </c>
      <c r="I92" s="0">
        <f>H92*F92</f>
        <v/>
      </c>
    </row>
    <row r="93">
      <c r="A93" s="0" t="inlineStr">
        <is>
          <t>'Reference sheet'!N95</t>
        </is>
      </c>
      <c r="B93" s="0" t="inlineStr">
        <is>
          <t>Structure Construction Parts</t>
        </is>
      </c>
      <c r="C93" s="0" t="inlineStr">
        <is>
          <t>Reactive Gas</t>
        </is>
      </c>
      <c r="D93" s="0" t="n">
        <v>120000</v>
      </c>
      <c r="E93" s="0">
        <f>VLOOKUP(C93,'Item Tier Lookup'!$A:$B,2,FALSE)</f>
        <v/>
      </c>
      <c r="F93" s="0">
        <f>VLOOKUP(E93,'Tier Params'!$A:$B,2,FALSE)</f>
        <v/>
      </c>
      <c r="G93" s="0">
        <f>VLOOKUP(E93,'Tier Params'!$A:$C,3,FALSE)</f>
        <v/>
      </c>
      <c r="H93" s="0">
        <f>CEILING(D93/G93,1)</f>
        <v/>
      </c>
      <c r="I93" s="0">
        <f>H93*F93</f>
        <v/>
      </c>
    </row>
    <row r="94">
      <c r="A94" s="0" t="inlineStr">
        <is>
          <t>'Reference sheet'!N96</t>
        </is>
      </c>
      <c r="B94" s="0" t="inlineStr">
        <is>
          <t>Structure Construction Parts</t>
        </is>
      </c>
      <c r="C94" s="0" t="inlineStr">
        <is>
          <t>Oxygen</t>
        </is>
      </c>
      <c r="D94" s="0" t="n">
        <v>800</v>
      </c>
      <c r="E94" s="0">
        <f>VLOOKUP(C94,'Item Tier Lookup'!$A:$B,2,FALSE)</f>
        <v/>
      </c>
      <c r="F94" s="0">
        <f>VLOOKUP(E94,'Tier Params'!$A:$B,2,FALSE)</f>
        <v/>
      </c>
      <c r="G94" s="0">
        <f>VLOOKUP(E94,'Tier Params'!$A:$C,3,FALSE)</f>
        <v/>
      </c>
      <c r="H94" s="0">
        <f>CEILING(D94/G94,1)</f>
        <v/>
      </c>
      <c r="I94" s="0">
        <f>H94*F94</f>
        <v/>
      </c>
    </row>
    <row r="95">
      <c r="A95" s="0" t="inlineStr">
        <is>
          <t>'Reference sheet'!N97</t>
        </is>
      </c>
      <c r="B95" s="0" t="inlineStr">
        <is>
          <t>Structure Construction Parts</t>
        </is>
      </c>
      <c r="C95" s="0" t="inlineStr">
        <is>
          <t>Noble Gas</t>
        </is>
      </c>
      <c r="D95" s="0" t="n">
        <v>120000</v>
      </c>
      <c r="E95" s="0">
        <f>VLOOKUP(C95,'Item Tier Lookup'!$A:$B,2,FALSE)</f>
        <v/>
      </c>
      <c r="F95" s="0">
        <f>VLOOKUP(E95,'Tier Params'!$A:$B,2,FALSE)</f>
        <v/>
      </c>
      <c r="G95" s="0">
        <f>VLOOKUP(E95,'Tier Params'!$A:$C,3,FALSE)</f>
        <v/>
      </c>
      <c r="H95" s="0">
        <f>CEILING(D95/G95,1)</f>
        <v/>
      </c>
      <c r="I95" s="0">
        <f>H95*F95</f>
        <v/>
      </c>
    </row>
    <row r="96">
      <c r="A96" s="0" t="inlineStr">
        <is>
          <t>'Reference sheet'!N98</t>
        </is>
      </c>
      <c r="B96" s="0" t="inlineStr">
        <is>
          <t>Structure Construction Parts</t>
        </is>
      </c>
      <c r="C96" s="0" t="inlineStr">
        <is>
          <t>Bacteria</t>
        </is>
      </c>
      <c r="D96" s="0" t="n">
        <v>200</v>
      </c>
      <c r="E96" s="0">
        <f>VLOOKUP(C96,'Item Tier Lookup'!$A:$B,2,FALSE)</f>
        <v/>
      </c>
      <c r="F96" s="0">
        <f>VLOOKUP(E96,'Tier Params'!$A:$B,2,FALSE)</f>
        <v/>
      </c>
      <c r="G96" s="0">
        <f>VLOOKUP(E96,'Tier Params'!$A:$C,3,FALSE)</f>
        <v/>
      </c>
      <c r="H96" s="0">
        <f>CEILING(D96/G96,1)</f>
        <v/>
      </c>
      <c r="I96" s="0">
        <f>H96*F96</f>
        <v/>
      </c>
    </row>
    <row r="97">
      <c r="A97" s="0" t="inlineStr">
        <is>
          <t>'Reference sheet'!N99</t>
        </is>
      </c>
      <c r="B97" s="0" t="inlineStr">
        <is>
          <t>Structure Construction Parts</t>
        </is>
      </c>
      <c r="C97" s="0" t="inlineStr">
        <is>
          <t>Microorganisms</t>
        </is>
      </c>
      <c r="D97" s="0" t="n">
        <v>30000</v>
      </c>
      <c r="E97" s="0">
        <f>VLOOKUP(C97,'Item Tier Lookup'!$A:$B,2,FALSE)</f>
        <v/>
      </c>
      <c r="F97" s="0">
        <f>VLOOKUP(E97,'Tier Params'!$A:$B,2,FALSE)</f>
        <v/>
      </c>
      <c r="G97" s="0">
        <f>VLOOKUP(E97,'Tier Params'!$A:$C,3,FALSE)</f>
        <v/>
      </c>
      <c r="H97" s="0">
        <f>CEILING(D97/G97,1)</f>
        <v/>
      </c>
      <c r="I97" s="0">
        <f>H97*F97</f>
        <v/>
      </c>
    </row>
    <row r="98">
      <c r="A98" s="0" t="inlineStr">
        <is>
          <t>'Reference sheet'!N100</t>
        </is>
      </c>
      <c r="B98" s="0" t="inlineStr">
        <is>
          <t>Structure Construction Parts</t>
        </is>
      </c>
      <c r="C98" s="0" t="inlineStr">
        <is>
          <t>Robotics</t>
        </is>
      </c>
      <c r="D98" s="0" t="n">
        <v>30</v>
      </c>
      <c r="E98" s="0">
        <f>VLOOKUP(C98,'Item Tier Lookup'!$A:$B,2,FALSE)</f>
        <v/>
      </c>
      <c r="F98" s="0">
        <f>VLOOKUP(E98,'Tier Params'!$A:$B,2,FALSE)</f>
        <v/>
      </c>
      <c r="G98" s="0">
        <f>VLOOKUP(E98,'Tier Params'!$A:$C,3,FALSE)</f>
        <v/>
      </c>
      <c r="H98" s="0">
        <f>CEILING(D98/G98,1)</f>
        <v/>
      </c>
      <c r="I98" s="0">
        <f>H98*F98</f>
        <v/>
      </c>
    </row>
    <row r="99">
      <c r="A99" s="0" t="inlineStr">
        <is>
          <t>'Reference sheet'!N101</t>
        </is>
      </c>
      <c r="B99" s="0" t="inlineStr">
        <is>
          <t>Structure Construction Parts</t>
        </is>
      </c>
      <c r="C99" s="0" t="inlineStr">
        <is>
          <t>Mechanical Parts</t>
        </is>
      </c>
      <c r="D99" s="0" t="n">
        <v>100</v>
      </c>
      <c r="E99" s="0">
        <f>VLOOKUP(C99,'Item Tier Lookup'!$A:$B,2,FALSE)</f>
        <v/>
      </c>
      <c r="F99" s="0">
        <f>VLOOKUP(E99,'Tier Params'!$A:$B,2,FALSE)</f>
        <v/>
      </c>
      <c r="G99" s="0">
        <f>VLOOKUP(E99,'Tier Params'!$A:$C,3,FALSE)</f>
        <v/>
      </c>
      <c r="H99" s="0">
        <f>CEILING(D99/G99,1)</f>
        <v/>
      </c>
      <c r="I99" s="0">
        <f>H99*F99</f>
        <v/>
      </c>
    </row>
    <row r="100">
      <c r="A100" s="0" t="inlineStr">
        <is>
          <t>'Reference sheet'!N102</t>
        </is>
      </c>
      <c r="B100" s="0" t="inlineStr">
        <is>
          <t>Structure Construction Parts</t>
        </is>
      </c>
      <c r="C100" s="0" t="inlineStr">
        <is>
          <t>Reactive Metals</t>
        </is>
      </c>
      <c r="D100" s="0" t="n">
        <v>800</v>
      </c>
      <c r="E100" s="0">
        <f>VLOOKUP(C100,'Item Tier Lookup'!$A:$B,2,FALSE)</f>
        <v/>
      </c>
      <c r="F100" s="0">
        <f>VLOOKUP(E100,'Tier Params'!$A:$B,2,FALSE)</f>
        <v/>
      </c>
      <c r="G100" s="0">
        <f>VLOOKUP(E100,'Tier Params'!$A:$C,3,FALSE)</f>
        <v/>
      </c>
      <c r="H100" s="0">
        <f>CEILING(D100/G100,1)</f>
        <v/>
      </c>
      <c r="I100" s="0">
        <f>H100*F100</f>
        <v/>
      </c>
    </row>
    <row r="101">
      <c r="A101" s="0" t="inlineStr">
        <is>
          <t>'Reference sheet'!N103</t>
        </is>
      </c>
      <c r="B101" s="0" t="inlineStr">
        <is>
          <t>Structure Construction Parts</t>
        </is>
      </c>
      <c r="C101" s="0" t="inlineStr">
        <is>
          <t>Base Metals</t>
        </is>
      </c>
      <c r="D101" s="0" t="n">
        <v>120000</v>
      </c>
      <c r="E101" s="0">
        <f>VLOOKUP(C101,'Item Tier Lookup'!$A:$B,2,FALSE)</f>
        <v/>
      </c>
      <c r="F101" s="0">
        <f>VLOOKUP(E101,'Tier Params'!$A:$B,2,FALSE)</f>
        <v/>
      </c>
      <c r="G101" s="0">
        <f>VLOOKUP(E101,'Tier Params'!$A:$C,3,FALSE)</f>
        <v/>
      </c>
      <c r="H101" s="0">
        <f>CEILING(D101/G101,1)</f>
        <v/>
      </c>
      <c r="I101" s="0">
        <f>H101*F101</f>
        <v/>
      </c>
    </row>
    <row r="102">
      <c r="A102" s="0" t="inlineStr">
        <is>
          <t>'Reference sheet'!N104</t>
        </is>
      </c>
      <c r="B102" s="0" t="inlineStr">
        <is>
          <t>Structure Construction Parts</t>
        </is>
      </c>
      <c r="C102" s="0" t="inlineStr">
        <is>
          <t>Precious Metals</t>
        </is>
      </c>
      <c r="D102" s="0" t="n">
        <v>800</v>
      </c>
      <c r="E102" s="0">
        <f>VLOOKUP(C102,'Item Tier Lookup'!$A:$B,2,FALSE)</f>
        <v/>
      </c>
      <c r="F102" s="0">
        <f>VLOOKUP(E102,'Tier Params'!$A:$B,2,FALSE)</f>
        <v/>
      </c>
      <c r="G102" s="0">
        <f>VLOOKUP(E102,'Tier Params'!$A:$C,3,FALSE)</f>
        <v/>
      </c>
      <c r="H102" s="0">
        <f>CEILING(D102/G102,1)</f>
        <v/>
      </c>
      <c r="I102" s="0">
        <f>H102*F102</f>
        <v/>
      </c>
    </row>
    <row r="103">
      <c r="A103" s="0" t="inlineStr">
        <is>
          <t>'Reference sheet'!N105</t>
        </is>
      </c>
      <c r="B103" s="0" t="inlineStr">
        <is>
          <t>Structure Construction Parts</t>
        </is>
      </c>
      <c r="C103" s="0" t="inlineStr">
        <is>
          <t>Noble Metals</t>
        </is>
      </c>
      <c r="D103" s="0" t="n">
        <v>120000</v>
      </c>
      <c r="E103" s="0">
        <f>VLOOKUP(C103,'Item Tier Lookup'!$A:$B,2,FALSE)</f>
        <v/>
      </c>
      <c r="F103" s="0">
        <f>VLOOKUP(E103,'Tier Params'!$A:$B,2,FALSE)</f>
        <v/>
      </c>
      <c r="G103" s="0">
        <f>VLOOKUP(E103,'Tier Params'!$A:$C,3,FALSE)</f>
        <v/>
      </c>
      <c r="H103" s="0">
        <f>CEILING(D103/G103,1)</f>
        <v/>
      </c>
      <c r="I103" s="0">
        <f>H103*F103</f>
        <v/>
      </c>
    </row>
    <row r="104">
      <c r="A104" s="0" t="inlineStr">
        <is>
          <t>'Reference sheet'!N106</t>
        </is>
      </c>
      <c r="B104" s="0" t="inlineStr">
        <is>
          <t>Structure Construction Parts</t>
        </is>
      </c>
      <c r="C104" s="0" t="inlineStr">
        <is>
          <t>Consumer Electronics</t>
        </is>
      </c>
      <c r="D104" s="0" t="n">
        <v>100</v>
      </c>
      <c r="E104" s="0">
        <f>VLOOKUP(C104,'Item Tier Lookup'!$A:$B,2,FALSE)</f>
        <v/>
      </c>
      <c r="F104" s="0">
        <f>VLOOKUP(E104,'Tier Params'!$A:$B,2,FALSE)</f>
        <v/>
      </c>
      <c r="G104" s="0">
        <f>VLOOKUP(E104,'Tier Params'!$A:$C,3,FALSE)</f>
        <v/>
      </c>
      <c r="H104" s="0">
        <f>CEILING(D104/G104,1)</f>
        <v/>
      </c>
      <c r="I104" s="0">
        <f>H104*F104</f>
        <v/>
      </c>
    </row>
    <row r="105">
      <c r="A105" s="0" t="inlineStr">
        <is>
          <t>'Reference sheet'!N107</t>
        </is>
      </c>
      <c r="B105" s="0" t="inlineStr">
        <is>
          <t>Structure Construction Parts</t>
        </is>
      </c>
      <c r="C105" s="0" t="inlineStr">
        <is>
          <t>Toxic Metals</t>
        </is>
      </c>
      <c r="D105" s="0" t="n">
        <v>800</v>
      </c>
      <c r="E105" s="0">
        <f>VLOOKUP(C105,'Item Tier Lookup'!$A:$B,2,FALSE)</f>
        <v/>
      </c>
      <c r="F105" s="0">
        <f>VLOOKUP(E105,'Tier Params'!$A:$B,2,FALSE)</f>
        <v/>
      </c>
      <c r="G105" s="0">
        <f>VLOOKUP(E105,'Tier Params'!$A:$C,3,FALSE)</f>
        <v/>
      </c>
      <c r="H105" s="0">
        <f>CEILING(D105/G105,1)</f>
        <v/>
      </c>
      <c r="I105" s="0">
        <f>H105*F105</f>
        <v/>
      </c>
    </row>
    <row r="106">
      <c r="A106" s="0" t="inlineStr">
        <is>
          <t>'Reference sheet'!N108</t>
        </is>
      </c>
      <c r="B106" s="0" t="inlineStr">
        <is>
          <t>Structure Construction Parts</t>
        </is>
      </c>
      <c r="C106" s="0" t="inlineStr">
        <is>
          <t>Heavy Metals</t>
        </is>
      </c>
      <c r="D106" s="0" t="n">
        <v>120000</v>
      </c>
      <c r="E106" s="0">
        <f>VLOOKUP(C106,'Item Tier Lookup'!$A:$B,2,FALSE)</f>
        <v/>
      </c>
      <c r="F106" s="0">
        <f>VLOOKUP(E106,'Tier Params'!$A:$B,2,FALSE)</f>
        <v/>
      </c>
      <c r="G106" s="0">
        <f>VLOOKUP(E106,'Tier Params'!$A:$C,3,FALSE)</f>
        <v/>
      </c>
      <c r="H106" s="0">
        <f>CEILING(D106/G106,1)</f>
        <v/>
      </c>
      <c r="I106" s="0">
        <f>H106*F106</f>
        <v/>
      </c>
    </row>
    <row r="107">
      <c r="A107" s="0" t="inlineStr">
        <is>
          <t>'Reference sheet'!N109</t>
        </is>
      </c>
      <c r="B107" s="0" t="inlineStr">
        <is>
          <t>Structure Construction Parts</t>
        </is>
      </c>
      <c r="C107" s="0" t="inlineStr">
        <is>
          <t>Chiral Structures</t>
        </is>
      </c>
      <c r="D107" s="0" t="n">
        <v>800</v>
      </c>
      <c r="E107" s="0">
        <f>VLOOKUP(C107,'Item Tier Lookup'!$A:$B,2,FALSE)</f>
        <v/>
      </c>
      <c r="F107" s="0">
        <f>VLOOKUP(E107,'Tier Params'!$A:$B,2,FALSE)</f>
        <v/>
      </c>
      <c r="G107" s="0">
        <f>VLOOKUP(E107,'Tier Params'!$A:$C,3,FALSE)</f>
        <v/>
      </c>
      <c r="H107" s="0">
        <f>CEILING(D107/G107,1)</f>
        <v/>
      </c>
      <c r="I107" s="0">
        <f>H107*F107</f>
        <v/>
      </c>
    </row>
    <row r="108">
      <c r="A108" s="0" t="inlineStr">
        <is>
          <t>'Reference sheet'!N110</t>
        </is>
      </c>
      <c r="B108" s="0" t="inlineStr">
        <is>
          <t>Structure Construction Parts</t>
        </is>
      </c>
      <c r="C108" s="0" t="inlineStr">
        <is>
          <t>Non-CS Crystals</t>
        </is>
      </c>
      <c r="D108" s="0" t="n">
        <v>120000</v>
      </c>
      <c r="E108" s="0">
        <f>VLOOKUP(C108,'Item Tier Lookup'!$A:$B,2,FALSE)</f>
        <v/>
      </c>
      <c r="F108" s="0">
        <f>VLOOKUP(E108,'Tier Params'!$A:$B,2,FALSE)</f>
        <v/>
      </c>
      <c r="G108" s="0">
        <f>VLOOKUP(E108,'Tier Params'!$A:$C,3,FALSE)</f>
        <v/>
      </c>
      <c r="H108" s="0">
        <f>CEILING(D108/G108,1)</f>
        <v/>
      </c>
      <c r="I108" s="0">
        <f>H108*F108</f>
        <v/>
      </c>
    </row>
    <row r="109">
      <c r="A109" s="0" t="inlineStr">
        <is>
          <t>'Reference sheet'!N111</t>
        </is>
      </c>
      <c r="B109" s="0" t="inlineStr">
        <is>
          <t>Structure Construction Parts</t>
        </is>
      </c>
      <c r="C109" s="0" t="inlineStr">
        <is>
          <t>Recursive Computing Module</t>
        </is>
      </c>
      <c r="D109" s="0" t="n">
        <v>3</v>
      </c>
      <c r="E109" s="0">
        <f>VLOOKUP(C109,'Item Tier Lookup'!$A:$B,2,FALSE)</f>
        <v/>
      </c>
      <c r="F109" s="0">
        <f>VLOOKUP(E109,'Tier Params'!$A:$B,2,FALSE)</f>
        <v/>
      </c>
      <c r="G109" s="0">
        <f>VLOOKUP(E109,'Tier Params'!$A:$C,3,FALSE)</f>
        <v/>
      </c>
      <c r="H109" s="0">
        <f>CEILING(D109/G109,1)</f>
        <v/>
      </c>
      <c r="I109" s="0">
        <f>H109*F109</f>
        <v/>
      </c>
    </row>
    <row r="110">
      <c r="A110" s="0" t="inlineStr">
        <is>
          <t>'Reference sheet'!N112</t>
        </is>
      </c>
      <c r="B110" s="0" t="inlineStr">
        <is>
          <t>Structure Construction Parts</t>
        </is>
      </c>
      <c r="C110" s="0" t="inlineStr">
        <is>
          <t>Synthetic Synapses</t>
        </is>
      </c>
      <c r="D110" s="0" t="n">
        <v>18</v>
      </c>
      <c r="E110" s="0">
        <f>VLOOKUP(C110,'Item Tier Lookup'!$A:$B,2,FALSE)</f>
        <v/>
      </c>
      <c r="F110" s="0">
        <f>VLOOKUP(E110,'Tier Params'!$A:$B,2,FALSE)</f>
        <v/>
      </c>
      <c r="G110" s="0">
        <f>VLOOKUP(E110,'Tier Params'!$A:$C,3,FALSE)</f>
        <v/>
      </c>
      <c r="H110" s="0">
        <f>CEILING(D110/G110,1)</f>
        <v/>
      </c>
      <c r="I110" s="0">
        <f>H110*F110</f>
        <v/>
      </c>
    </row>
    <row r="111">
      <c r="A111" s="0" t="inlineStr">
        <is>
          <t>'Reference sheet'!N113</t>
        </is>
      </c>
      <c r="B111" s="0" t="inlineStr">
        <is>
          <t>Structure Construction Parts</t>
        </is>
      </c>
      <c r="C111" s="0" t="inlineStr">
        <is>
          <t>Supertensile Plastics</t>
        </is>
      </c>
      <c r="D111" s="0" t="n">
        <v>60</v>
      </c>
      <c r="E111" s="0">
        <f>VLOOKUP(C111,'Item Tier Lookup'!$A:$B,2,FALSE)</f>
        <v/>
      </c>
      <c r="F111" s="0">
        <f>VLOOKUP(E111,'Tier Params'!$A:$B,2,FALSE)</f>
        <v/>
      </c>
      <c r="G111" s="0">
        <f>VLOOKUP(E111,'Tier Params'!$A:$C,3,FALSE)</f>
        <v/>
      </c>
      <c r="H111" s="0">
        <f>CEILING(D111/G111,1)</f>
        <v/>
      </c>
      <c r="I111" s="0">
        <f>H111*F111</f>
        <v/>
      </c>
    </row>
    <row r="112">
      <c r="A112" s="0" t="inlineStr">
        <is>
          <t>'Reference sheet'!N114</t>
        </is>
      </c>
      <c r="B112" s="0" t="inlineStr">
        <is>
          <t>Structure Construction Parts</t>
        </is>
      </c>
      <c r="C112" s="0" t="inlineStr">
        <is>
          <t>Oxygen</t>
        </is>
      </c>
      <c r="D112" s="0" t="n">
        <v>480</v>
      </c>
      <c r="E112" s="0">
        <f>VLOOKUP(C112,'Item Tier Lookup'!$A:$B,2,FALSE)</f>
        <v/>
      </c>
      <c r="F112" s="0">
        <f>VLOOKUP(E112,'Tier Params'!$A:$B,2,FALSE)</f>
        <v/>
      </c>
      <c r="G112" s="0">
        <f>VLOOKUP(E112,'Tier Params'!$A:$C,3,FALSE)</f>
        <v/>
      </c>
      <c r="H112" s="0">
        <f>CEILING(D112/G112,1)</f>
        <v/>
      </c>
      <c r="I112" s="0">
        <f>H112*F112</f>
        <v/>
      </c>
    </row>
    <row r="113">
      <c r="A113" s="0" t="inlineStr">
        <is>
          <t>'Reference sheet'!N115</t>
        </is>
      </c>
      <c r="B113" s="0" t="inlineStr">
        <is>
          <t>Structure Construction Parts</t>
        </is>
      </c>
      <c r="C113" s="0" t="inlineStr">
        <is>
          <t>Noble Gas</t>
        </is>
      </c>
      <c r="D113" s="0" t="n">
        <v>72000</v>
      </c>
      <c r="E113" s="0">
        <f>VLOOKUP(C113,'Item Tier Lookup'!$A:$B,2,FALSE)</f>
        <v/>
      </c>
      <c r="F113" s="0">
        <f>VLOOKUP(E113,'Tier Params'!$A:$B,2,FALSE)</f>
        <v/>
      </c>
      <c r="G113" s="0">
        <f>VLOOKUP(E113,'Tier Params'!$A:$C,3,FALSE)</f>
        <v/>
      </c>
      <c r="H113" s="0">
        <f>CEILING(D113/G113,1)</f>
        <v/>
      </c>
      <c r="I113" s="0">
        <f>H113*F113</f>
        <v/>
      </c>
    </row>
    <row r="114">
      <c r="A114" s="0" t="inlineStr">
        <is>
          <t>'Reference sheet'!N116</t>
        </is>
      </c>
      <c r="B114" s="0" t="inlineStr">
        <is>
          <t>Structure Construction Parts</t>
        </is>
      </c>
      <c r="C114" s="0" t="inlineStr">
        <is>
          <t>Biomass</t>
        </is>
      </c>
      <c r="D114" s="0" t="n">
        <v>480</v>
      </c>
      <c r="E114" s="0">
        <f>VLOOKUP(C114,'Item Tier Lookup'!$A:$B,2,FALSE)</f>
        <v/>
      </c>
      <c r="F114" s="0">
        <f>VLOOKUP(E114,'Tier Params'!$A:$B,2,FALSE)</f>
        <v/>
      </c>
      <c r="G114" s="0">
        <f>VLOOKUP(E114,'Tier Params'!$A:$C,3,FALSE)</f>
        <v/>
      </c>
      <c r="H114" s="0">
        <f>CEILING(D114/G114,1)</f>
        <v/>
      </c>
      <c r="I114" s="0">
        <f>H114*F114</f>
        <v/>
      </c>
    </row>
    <row r="115">
      <c r="A115" s="0" t="inlineStr">
        <is>
          <t>'Reference sheet'!N117</t>
        </is>
      </c>
      <c r="B115" s="0" t="inlineStr">
        <is>
          <t>Structure Construction Parts</t>
        </is>
      </c>
      <c r="C115" s="0" t="inlineStr">
        <is>
          <t>Planktic Colonies</t>
        </is>
      </c>
      <c r="D115" s="0" t="n">
        <v>72000</v>
      </c>
      <c r="E115" s="0">
        <f>VLOOKUP(C115,'Item Tier Lookup'!$A:$B,2,FALSE)</f>
        <v/>
      </c>
      <c r="F115" s="0">
        <f>VLOOKUP(E115,'Tier Params'!$A:$B,2,FALSE)</f>
        <v/>
      </c>
      <c r="G115" s="0">
        <f>VLOOKUP(E115,'Tier Params'!$A:$C,3,FALSE)</f>
        <v/>
      </c>
      <c r="H115" s="0">
        <f>CEILING(D115/G115,1)</f>
        <v/>
      </c>
      <c r="I115" s="0">
        <f>H115*F115</f>
        <v/>
      </c>
    </row>
    <row r="116">
      <c r="A116" s="0" t="inlineStr">
        <is>
          <t>'Reference sheet'!N118</t>
        </is>
      </c>
      <c r="B116" s="0" t="inlineStr">
        <is>
          <t>Structure Construction Parts</t>
        </is>
      </c>
      <c r="C116" s="0" t="inlineStr">
        <is>
          <t>Test Cultures</t>
        </is>
      </c>
      <c r="D116" s="0" t="n">
        <v>60</v>
      </c>
      <c r="E116" s="0">
        <f>VLOOKUP(C116,'Item Tier Lookup'!$A:$B,2,FALSE)</f>
        <v/>
      </c>
      <c r="F116" s="0">
        <f>VLOOKUP(E116,'Tier Params'!$A:$B,2,FALSE)</f>
        <v/>
      </c>
      <c r="G116" s="0">
        <f>VLOOKUP(E116,'Tier Params'!$A:$C,3,FALSE)</f>
        <v/>
      </c>
      <c r="H116" s="0">
        <f>CEILING(D116/G116,1)</f>
        <v/>
      </c>
      <c r="I116" s="0">
        <f>H116*F116</f>
        <v/>
      </c>
    </row>
    <row r="117">
      <c r="A117" s="0" t="inlineStr">
        <is>
          <t>'Reference sheet'!N119</t>
        </is>
      </c>
      <c r="B117" s="0" t="inlineStr">
        <is>
          <t>Structure Construction Parts</t>
        </is>
      </c>
      <c r="C117" s="0" t="inlineStr">
        <is>
          <t>Bacteria</t>
        </is>
      </c>
      <c r="D117" s="0" t="n">
        <v>480</v>
      </c>
      <c r="E117" s="0">
        <f>VLOOKUP(C117,'Item Tier Lookup'!$A:$B,2,FALSE)</f>
        <v/>
      </c>
      <c r="F117" s="0">
        <f>VLOOKUP(E117,'Tier Params'!$A:$B,2,FALSE)</f>
        <v/>
      </c>
      <c r="G117" s="0">
        <f>VLOOKUP(E117,'Tier Params'!$A:$C,3,FALSE)</f>
        <v/>
      </c>
      <c r="H117" s="0">
        <f>CEILING(D117/G117,1)</f>
        <v/>
      </c>
      <c r="I117" s="0">
        <f>H117*F117</f>
        <v/>
      </c>
    </row>
    <row r="118">
      <c r="A118" s="0" t="inlineStr">
        <is>
          <t>'Reference sheet'!N120</t>
        </is>
      </c>
      <c r="B118" s="0" t="inlineStr">
        <is>
          <t>Structure Construction Parts</t>
        </is>
      </c>
      <c r="C118" s="0" t="inlineStr">
        <is>
          <t>Microorganisms</t>
        </is>
      </c>
      <c r="D118" s="0" t="n">
        <v>72000</v>
      </c>
      <c r="E118" s="0">
        <f>VLOOKUP(C118,'Item Tier Lookup'!$A:$B,2,FALSE)</f>
        <v/>
      </c>
      <c r="F118" s="0">
        <f>VLOOKUP(E118,'Tier Params'!$A:$B,2,FALSE)</f>
        <v/>
      </c>
      <c r="G118" s="0">
        <f>VLOOKUP(E118,'Tier Params'!$A:$C,3,FALSE)</f>
        <v/>
      </c>
      <c r="H118" s="0">
        <f>CEILING(D118/G118,1)</f>
        <v/>
      </c>
      <c r="I118" s="0">
        <f>H118*F118</f>
        <v/>
      </c>
    </row>
    <row r="119">
      <c r="A119" s="0" t="inlineStr">
        <is>
          <t>'Reference sheet'!N121</t>
        </is>
      </c>
      <c r="B119" s="0" t="inlineStr">
        <is>
          <t>Structure Construction Parts</t>
        </is>
      </c>
      <c r="C119" s="0" t="inlineStr">
        <is>
          <t>Water</t>
        </is>
      </c>
      <c r="D119" s="0" t="n">
        <v>480</v>
      </c>
      <c r="E119" s="0">
        <f>VLOOKUP(C119,'Item Tier Lookup'!$A:$B,2,FALSE)</f>
        <v/>
      </c>
      <c r="F119" s="0">
        <f>VLOOKUP(E119,'Tier Params'!$A:$B,2,FALSE)</f>
        <v/>
      </c>
      <c r="G119" s="0">
        <f>VLOOKUP(E119,'Tier Params'!$A:$C,3,FALSE)</f>
        <v/>
      </c>
      <c r="H119" s="0">
        <f>CEILING(D119/G119,1)</f>
        <v/>
      </c>
      <c r="I119" s="0">
        <f>H119*F119</f>
        <v/>
      </c>
    </row>
    <row r="120">
      <c r="A120" s="0" t="inlineStr">
        <is>
          <t>'Reference sheet'!N122</t>
        </is>
      </c>
      <c r="B120" s="0" t="inlineStr">
        <is>
          <t>Structure Construction Parts</t>
        </is>
      </c>
      <c r="C120" s="0" t="inlineStr">
        <is>
          <t>Aqueous Liquids</t>
        </is>
      </c>
      <c r="D120" s="0" t="n">
        <v>72000</v>
      </c>
      <c r="E120" s="0">
        <f>VLOOKUP(C120,'Item Tier Lookup'!$A:$B,2,FALSE)</f>
        <v/>
      </c>
      <c r="F120" s="0">
        <f>VLOOKUP(E120,'Tier Params'!$A:$B,2,FALSE)</f>
        <v/>
      </c>
      <c r="G120" s="0">
        <f>VLOOKUP(E120,'Tier Params'!$A:$C,3,FALSE)</f>
        <v/>
      </c>
      <c r="H120" s="0">
        <f>CEILING(D120/G120,1)</f>
        <v/>
      </c>
      <c r="I120" s="0">
        <f>H120*F120</f>
        <v/>
      </c>
    </row>
    <row r="121">
      <c r="A121" s="0" t="inlineStr">
        <is>
          <t>'Reference sheet'!N123</t>
        </is>
      </c>
      <c r="B121" s="0" t="inlineStr">
        <is>
          <t>Structure Construction Parts</t>
        </is>
      </c>
      <c r="C121" s="0" t="inlineStr">
        <is>
          <t>Transcranial Microcontrollers</t>
        </is>
      </c>
      <c r="D121" s="0" t="n">
        <v>18</v>
      </c>
      <c r="E121" s="0">
        <f>VLOOKUP(C121,'Item Tier Lookup'!$A:$B,2,FALSE)</f>
        <v/>
      </c>
      <c r="F121" s="0">
        <f>VLOOKUP(E121,'Tier Params'!$A:$B,2,FALSE)</f>
        <v/>
      </c>
      <c r="G121" s="0">
        <f>VLOOKUP(E121,'Tier Params'!$A:$C,3,FALSE)</f>
        <v/>
      </c>
      <c r="H121" s="0">
        <f>CEILING(D121/G121,1)</f>
        <v/>
      </c>
      <c r="I121" s="0">
        <f>H121*F121</f>
        <v/>
      </c>
    </row>
    <row r="122">
      <c r="A122" s="0" t="inlineStr">
        <is>
          <t>'Reference sheet'!N124</t>
        </is>
      </c>
      <c r="B122" s="0" t="inlineStr">
        <is>
          <t>Structure Construction Parts</t>
        </is>
      </c>
      <c r="C122" s="0" t="inlineStr">
        <is>
          <t>Biocells</t>
        </is>
      </c>
      <c r="D122" s="0" t="n">
        <v>60</v>
      </c>
      <c r="E122" s="0">
        <f>VLOOKUP(C122,'Item Tier Lookup'!$A:$B,2,FALSE)</f>
        <v/>
      </c>
      <c r="F122" s="0">
        <f>VLOOKUP(E122,'Tier Params'!$A:$B,2,FALSE)</f>
        <v/>
      </c>
      <c r="G122" s="0">
        <f>VLOOKUP(E122,'Tier Params'!$A:$C,3,FALSE)</f>
        <v/>
      </c>
      <c r="H122" s="0">
        <f>CEILING(D122/G122,1)</f>
        <v/>
      </c>
      <c r="I122" s="0">
        <f>H122*F122</f>
        <v/>
      </c>
    </row>
    <row r="123">
      <c r="A123" s="0" t="inlineStr">
        <is>
          <t>'Reference sheet'!N125</t>
        </is>
      </c>
      <c r="B123" s="0" t="inlineStr">
        <is>
          <t>Structure Construction Parts</t>
        </is>
      </c>
      <c r="C123" s="0" t="inlineStr">
        <is>
          <t>Biofuels</t>
        </is>
      </c>
      <c r="D123" s="0" t="n">
        <v>480</v>
      </c>
      <c r="E123" s="0">
        <f>VLOOKUP(C123,'Item Tier Lookup'!$A:$B,2,FALSE)</f>
        <v/>
      </c>
      <c r="F123" s="0">
        <f>VLOOKUP(E123,'Tier Params'!$A:$B,2,FALSE)</f>
        <v/>
      </c>
      <c r="G123" s="0">
        <f>VLOOKUP(E123,'Tier Params'!$A:$C,3,FALSE)</f>
        <v/>
      </c>
      <c r="H123" s="0">
        <f>CEILING(D123/G123,1)</f>
        <v/>
      </c>
      <c r="I123" s="0">
        <f>H123*F123</f>
        <v/>
      </c>
    </row>
    <row r="124">
      <c r="A124" s="0" t="inlineStr">
        <is>
          <t>'Reference sheet'!N126</t>
        </is>
      </c>
      <c r="B124" s="0" t="inlineStr">
        <is>
          <t>Structure Construction Parts</t>
        </is>
      </c>
      <c r="C124" s="0" t="inlineStr">
        <is>
          <t>Carbon Compounds</t>
        </is>
      </c>
      <c r="D124" s="0" t="n">
        <v>72000</v>
      </c>
      <c r="E124" s="0">
        <f>VLOOKUP(C124,'Item Tier Lookup'!$A:$B,2,FALSE)</f>
        <v/>
      </c>
      <c r="F124" s="0">
        <f>VLOOKUP(E124,'Tier Params'!$A:$B,2,FALSE)</f>
        <v/>
      </c>
      <c r="G124" s="0">
        <f>VLOOKUP(E124,'Tier Params'!$A:$C,3,FALSE)</f>
        <v/>
      </c>
      <c r="H124" s="0">
        <f>CEILING(D124/G124,1)</f>
        <v/>
      </c>
      <c r="I124" s="0">
        <f>H124*F124</f>
        <v/>
      </c>
    </row>
    <row r="125">
      <c r="A125" s="0" t="inlineStr">
        <is>
          <t>'Reference sheet'!N127</t>
        </is>
      </c>
      <c r="B125" s="0" t="inlineStr">
        <is>
          <t>Structure Construction Parts</t>
        </is>
      </c>
      <c r="C125" s="0" t="inlineStr">
        <is>
          <t>Precious Metals</t>
        </is>
      </c>
      <c r="D125" s="0" t="n">
        <v>480</v>
      </c>
      <c r="E125" s="0">
        <f>VLOOKUP(C125,'Item Tier Lookup'!$A:$B,2,FALSE)</f>
        <v/>
      </c>
      <c r="F125" s="0">
        <f>VLOOKUP(E125,'Tier Params'!$A:$B,2,FALSE)</f>
        <v/>
      </c>
      <c r="G125" s="0">
        <f>VLOOKUP(E125,'Tier Params'!$A:$C,3,FALSE)</f>
        <v/>
      </c>
      <c r="H125" s="0">
        <f>CEILING(D125/G125,1)</f>
        <v/>
      </c>
      <c r="I125" s="0">
        <f>H125*F125</f>
        <v/>
      </c>
    </row>
    <row r="126">
      <c r="A126" s="0" t="inlineStr">
        <is>
          <t>'Reference sheet'!N128</t>
        </is>
      </c>
      <c r="B126" s="0" t="inlineStr">
        <is>
          <t>Structure Construction Parts</t>
        </is>
      </c>
      <c r="C126" s="0" t="inlineStr">
        <is>
          <t>Noble Metals</t>
        </is>
      </c>
      <c r="D126" s="0" t="n">
        <v>72000</v>
      </c>
      <c r="E126" s="0">
        <f>VLOOKUP(C126,'Item Tier Lookup'!$A:$B,2,FALSE)</f>
        <v/>
      </c>
      <c r="F126" s="0">
        <f>VLOOKUP(E126,'Tier Params'!$A:$B,2,FALSE)</f>
        <v/>
      </c>
      <c r="G126" s="0">
        <f>VLOOKUP(E126,'Tier Params'!$A:$C,3,FALSE)</f>
        <v/>
      </c>
      <c r="H126" s="0">
        <f>CEILING(D126/G126,1)</f>
        <v/>
      </c>
      <c r="I126" s="0">
        <f>H126*F126</f>
        <v/>
      </c>
    </row>
    <row r="127">
      <c r="A127" s="0" t="inlineStr">
        <is>
          <t>'Reference sheet'!N129</t>
        </is>
      </c>
      <c r="B127" s="0" t="inlineStr">
        <is>
          <t>Structure Construction Parts</t>
        </is>
      </c>
      <c r="C127" s="0" t="inlineStr">
        <is>
          <t>Nanites</t>
        </is>
      </c>
      <c r="D127" s="0" t="n">
        <v>60</v>
      </c>
      <c r="E127" s="0">
        <f>VLOOKUP(C127,'Item Tier Lookup'!$A:$B,2,FALSE)</f>
        <v/>
      </c>
      <c r="F127" s="0">
        <f>VLOOKUP(E127,'Tier Params'!$A:$B,2,FALSE)</f>
        <v/>
      </c>
      <c r="G127" s="0">
        <f>VLOOKUP(E127,'Tier Params'!$A:$C,3,FALSE)</f>
        <v/>
      </c>
      <c r="H127" s="0">
        <f>CEILING(D127/G127,1)</f>
        <v/>
      </c>
      <c r="I127" s="0">
        <f>H127*F127</f>
        <v/>
      </c>
    </row>
    <row r="128">
      <c r="A128" s="0" t="inlineStr">
        <is>
          <t>'Reference sheet'!N130</t>
        </is>
      </c>
      <c r="B128" s="0" t="inlineStr">
        <is>
          <t>Structure Construction Parts</t>
        </is>
      </c>
      <c r="C128" s="0" t="inlineStr">
        <is>
          <t>Bacteria</t>
        </is>
      </c>
      <c r="D128" s="0" t="n">
        <v>480</v>
      </c>
      <c r="E128" s="0">
        <f>VLOOKUP(C128,'Item Tier Lookup'!$A:$B,2,FALSE)</f>
        <v/>
      </c>
      <c r="F128" s="0">
        <f>VLOOKUP(E128,'Tier Params'!$A:$B,2,FALSE)</f>
        <v/>
      </c>
      <c r="G128" s="0">
        <f>VLOOKUP(E128,'Tier Params'!$A:$C,3,FALSE)</f>
        <v/>
      </c>
      <c r="H128" s="0">
        <f>CEILING(D128/G128,1)</f>
        <v/>
      </c>
      <c r="I128" s="0">
        <f>H128*F128</f>
        <v/>
      </c>
    </row>
    <row r="129">
      <c r="A129" s="0" t="inlineStr">
        <is>
          <t>'Reference sheet'!N131</t>
        </is>
      </c>
      <c r="B129" s="0" t="inlineStr">
        <is>
          <t>Structure Construction Parts</t>
        </is>
      </c>
      <c r="C129" s="0" t="inlineStr">
        <is>
          <t>Microorganisms</t>
        </is>
      </c>
      <c r="D129" s="0" t="n">
        <v>72000</v>
      </c>
      <c r="E129" s="0">
        <f>VLOOKUP(C129,'Item Tier Lookup'!$A:$B,2,FALSE)</f>
        <v/>
      </c>
      <c r="F129" s="0">
        <f>VLOOKUP(E129,'Tier Params'!$A:$B,2,FALSE)</f>
        <v/>
      </c>
      <c r="G129" s="0">
        <f>VLOOKUP(E129,'Tier Params'!$A:$C,3,FALSE)</f>
        <v/>
      </c>
      <c r="H129" s="0">
        <f>CEILING(D129/G129,1)</f>
        <v/>
      </c>
      <c r="I129" s="0">
        <f>H129*F129</f>
        <v/>
      </c>
    </row>
    <row r="130">
      <c r="A130" s="0" t="inlineStr">
        <is>
          <t>'Reference sheet'!N132</t>
        </is>
      </c>
      <c r="B130" s="0" t="inlineStr">
        <is>
          <t>Structure Construction Parts</t>
        </is>
      </c>
      <c r="C130" s="0" t="inlineStr">
        <is>
          <t>Reactive Metals</t>
        </is>
      </c>
      <c r="D130" s="0" t="n">
        <v>480</v>
      </c>
      <c r="E130" s="0">
        <f>VLOOKUP(C130,'Item Tier Lookup'!$A:$B,2,FALSE)</f>
        <v/>
      </c>
      <c r="F130" s="0">
        <f>VLOOKUP(E130,'Tier Params'!$A:$B,2,FALSE)</f>
        <v/>
      </c>
      <c r="G130" s="0">
        <f>VLOOKUP(E130,'Tier Params'!$A:$C,3,FALSE)</f>
        <v/>
      </c>
      <c r="H130" s="0">
        <f>CEILING(D130/G130,1)</f>
        <v/>
      </c>
      <c r="I130" s="0">
        <f>H130*F130</f>
        <v/>
      </c>
    </row>
    <row r="131">
      <c r="A131" s="0" t="inlineStr">
        <is>
          <t>'Reference sheet'!N133</t>
        </is>
      </c>
      <c r="B131" s="0" t="inlineStr">
        <is>
          <t>Structure Construction Parts</t>
        </is>
      </c>
      <c r="C131" s="0" t="inlineStr">
        <is>
          <t>Base Metals</t>
        </is>
      </c>
      <c r="D131" s="0" t="n">
        <v>72000</v>
      </c>
      <c r="E131" s="0">
        <f>VLOOKUP(C131,'Item Tier Lookup'!$A:$B,2,FALSE)</f>
        <v/>
      </c>
      <c r="F131" s="0">
        <f>VLOOKUP(E131,'Tier Params'!$A:$B,2,FALSE)</f>
        <v/>
      </c>
      <c r="G131" s="0">
        <f>VLOOKUP(E131,'Tier Params'!$A:$C,3,FALSE)</f>
        <v/>
      </c>
      <c r="H131" s="0">
        <f>CEILING(D131/G131,1)</f>
        <v/>
      </c>
      <c r="I131" s="0">
        <f>H131*F131</f>
        <v/>
      </c>
    </row>
    <row r="132">
      <c r="A132" s="0" t="inlineStr">
        <is>
          <t>'Reference sheet'!N134</t>
        </is>
      </c>
      <c r="B132" s="0" t="inlineStr">
        <is>
          <t>Structure Construction Parts</t>
        </is>
      </c>
      <c r="C132" s="0" t="inlineStr">
        <is>
          <t>Guidance Systems</t>
        </is>
      </c>
      <c r="D132" s="0" t="n">
        <v>18</v>
      </c>
      <c r="E132" s="0">
        <f>VLOOKUP(C132,'Item Tier Lookup'!$A:$B,2,FALSE)</f>
        <v/>
      </c>
      <c r="F132" s="0">
        <f>VLOOKUP(E132,'Tier Params'!$A:$B,2,FALSE)</f>
        <v/>
      </c>
      <c r="G132" s="0">
        <f>VLOOKUP(E132,'Tier Params'!$A:$C,3,FALSE)</f>
        <v/>
      </c>
      <c r="H132" s="0">
        <f>CEILING(D132/G132,1)</f>
        <v/>
      </c>
      <c r="I132" s="0">
        <f>H132*F132</f>
        <v/>
      </c>
    </row>
    <row r="133">
      <c r="A133" s="0" t="inlineStr">
        <is>
          <t>'Reference sheet'!N135</t>
        </is>
      </c>
      <c r="B133" s="0" t="inlineStr">
        <is>
          <t>Structure Construction Parts</t>
        </is>
      </c>
      <c r="C133" s="0" t="inlineStr">
        <is>
          <t>Water-Cooled CPU</t>
        </is>
      </c>
      <c r="D133" s="0" t="n">
        <v>60</v>
      </c>
      <c r="E133" s="0">
        <f>VLOOKUP(C133,'Item Tier Lookup'!$A:$B,2,FALSE)</f>
        <v/>
      </c>
      <c r="F133" s="0">
        <f>VLOOKUP(E133,'Tier Params'!$A:$B,2,FALSE)</f>
        <v/>
      </c>
      <c r="G133" s="0">
        <f>VLOOKUP(E133,'Tier Params'!$A:$C,3,FALSE)</f>
        <v/>
      </c>
      <c r="H133" s="0">
        <f>CEILING(D133/G133,1)</f>
        <v/>
      </c>
      <c r="I133" s="0">
        <f>H133*F133</f>
        <v/>
      </c>
    </row>
    <row r="134">
      <c r="A134" s="0" t="inlineStr">
        <is>
          <t>'Reference sheet'!N136</t>
        </is>
      </c>
      <c r="B134" s="0" t="inlineStr">
        <is>
          <t>Structure Construction Parts</t>
        </is>
      </c>
      <c r="C134" s="0" t="inlineStr">
        <is>
          <t>Water</t>
        </is>
      </c>
      <c r="D134" s="0" t="n">
        <v>480</v>
      </c>
      <c r="E134" s="0">
        <f>VLOOKUP(C134,'Item Tier Lookup'!$A:$B,2,FALSE)</f>
        <v/>
      </c>
      <c r="F134" s="0">
        <f>VLOOKUP(E134,'Tier Params'!$A:$B,2,FALSE)</f>
        <v/>
      </c>
      <c r="G134" s="0">
        <f>VLOOKUP(E134,'Tier Params'!$A:$C,3,FALSE)</f>
        <v/>
      </c>
      <c r="H134" s="0">
        <f>CEILING(D134/G134,1)</f>
        <v/>
      </c>
      <c r="I134" s="0">
        <f>H134*F134</f>
        <v/>
      </c>
    </row>
    <row r="135">
      <c r="A135" s="0" t="inlineStr">
        <is>
          <t>'Reference sheet'!N137</t>
        </is>
      </c>
      <c r="B135" s="0" t="inlineStr">
        <is>
          <t>Structure Construction Parts</t>
        </is>
      </c>
      <c r="C135" s="0" t="inlineStr">
        <is>
          <t>Aqueous Liquids</t>
        </is>
      </c>
      <c r="D135" s="0" t="n">
        <v>72000</v>
      </c>
      <c r="E135" s="0">
        <f>VLOOKUP(C135,'Item Tier Lookup'!$A:$B,2,FALSE)</f>
        <v/>
      </c>
      <c r="F135" s="0">
        <f>VLOOKUP(E135,'Tier Params'!$A:$B,2,FALSE)</f>
        <v/>
      </c>
      <c r="G135" s="0">
        <f>VLOOKUP(E135,'Tier Params'!$A:$C,3,FALSE)</f>
        <v/>
      </c>
      <c r="H135" s="0">
        <f>CEILING(D135/G135,1)</f>
        <v/>
      </c>
      <c r="I135" s="0">
        <f>H135*F135</f>
        <v/>
      </c>
    </row>
    <row r="136">
      <c r="A136" s="0" t="inlineStr">
        <is>
          <t>'Reference sheet'!N138</t>
        </is>
      </c>
      <c r="B136" s="0" t="inlineStr">
        <is>
          <t>Structure Construction Parts</t>
        </is>
      </c>
      <c r="C136" s="0" t="inlineStr">
        <is>
          <t>Reactive Metals</t>
        </is>
      </c>
      <c r="D136" s="0" t="n">
        <v>480</v>
      </c>
      <c r="E136" s="0">
        <f>VLOOKUP(C136,'Item Tier Lookup'!$A:$B,2,FALSE)</f>
        <v/>
      </c>
      <c r="F136" s="0">
        <f>VLOOKUP(E136,'Tier Params'!$A:$B,2,FALSE)</f>
        <v/>
      </c>
      <c r="G136" s="0">
        <f>VLOOKUP(E136,'Tier Params'!$A:$C,3,FALSE)</f>
        <v/>
      </c>
      <c r="H136" s="0">
        <f>CEILING(D136/G136,1)</f>
        <v/>
      </c>
      <c r="I136" s="0">
        <f>H136*F136</f>
        <v/>
      </c>
    </row>
    <row r="137">
      <c r="A137" s="0" t="inlineStr">
        <is>
          <t>'Reference sheet'!N139</t>
        </is>
      </c>
      <c r="B137" s="0" t="inlineStr">
        <is>
          <t>Structure Construction Parts</t>
        </is>
      </c>
      <c r="C137" s="0" t="inlineStr">
        <is>
          <t>Base Metals</t>
        </is>
      </c>
      <c r="D137" s="0" t="n">
        <v>72000</v>
      </c>
      <c r="E137" s="0">
        <f>VLOOKUP(C137,'Item Tier Lookup'!$A:$B,2,FALSE)</f>
        <v/>
      </c>
      <c r="F137" s="0">
        <f>VLOOKUP(E137,'Tier Params'!$A:$B,2,FALSE)</f>
        <v/>
      </c>
      <c r="G137" s="0">
        <f>VLOOKUP(E137,'Tier Params'!$A:$C,3,FALSE)</f>
        <v/>
      </c>
      <c r="H137" s="0">
        <f>CEILING(D137/G137,1)</f>
        <v/>
      </c>
      <c r="I137" s="0">
        <f>H137*F137</f>
        <v/>
      </c>
    </row>
    <row r="138">
      <c r="A138" s="0" t="inlineStr">
        <is>
          <t>'Reference sheet'!N140</t>
        </is>
      </c>
      <c r="B138" s="0" t="inlineStr">
        <is>
          <t>Structure Construction Parts</t>
        </is>
      </c>
      <c r="C138" s="0" t="inlineStr">
        <is>
          <t>Transmitter</t>
        </is>
      </c>
      <c r="D138" s="0" t="n">
        <v>60</v>
      </c>
      <c r="E138" s="0">
        <f>VLOOKUP(C138,'Item Tier Lookup'!$A:$B,2,FALSE)</f>
        <v/>
      </c>
      <c r="F138" s="0">
        <f>VLOOKUP(E138,'Tier Params'!$A:$B,2,FALSE)</f>
        <v/>
      </c>
      <c r="G138" s="0">
        <f>VLOOKUP(E138,'Tier Params'!$A:$C,3,FALSE)</f>
        <v/>
      </c>
      <c r="H138" s="0">
        <f>CEILING(D138/G138,1)</f>
        <v/>
      </c>
      <c r="I138" s="0">
        <f>H138*F138</f>
        <v/>
      </c>
    </row>
    <row r="139">
      <c r="A139" s="0" t="inlineStr">
        <is>
          <t>'Reference sheet'!N141</t>
        </is>
      </c>
      <c r="B139" s="0" t="inlineStr">
        <is>
          <t>Structure Construction Parts</t>
        </is>
      </c>
      <c r="C139" s="0" t="inlineStr">
        <is>
          <t>Chiral Structures</t>
        </is>
      </c>
      <c r="D139" s="0" t="n">
        <v>480</v>
      </c>
      <c r="E139" s="0">
        <f>VLOOKUP(C139,'Item Tier Lookup'!$A:$B,2,FALSE)</f>
        <v/>
      </c>
      <c r="F139" s="0">
        <f>VLOOKUP(E139,'Tier Params'!$A:$B,2,FALSE)</f>
        <v/>
      </c>
      <c r="G139" s="0">
        <f>VLOOKUP(E139,'Tier Params'!$A:$C,3,FALSE)</f>
        <v/>
      </c>
      <c r="H139" s="0">
        <f>CEILING(D139/G139,1)</f>
        <v/>
      </c>
      <c r="I139" s="0">
        <f>H139*F139</f>
        <v/>
      </c>
    </row>
    <row r="140">
      <c r="A140" s="0" t="inlineStr">
        <is>
          <t>'Reference sheet'!N142</t>
        </is>
      </c>
      <c r="B140" s="0" t="inlineStr">
        <is>
          <t>Structure Construction Parts</t>
        </is>
      </c>
      <c r="C140" s="0" t="inlineStr">
        <is>
          <t>Non-CS Crystals</t>
        </is>
      </c>
      <c r="D140" s="0" t="n">
        <v>72000</v>
      </c>
      <c r="E140" s="0">
        <f>VLOOKUP(C140,'Item Tier Lookup'!$A:$B,2,FALSE)</f>
        <v/>
      </c>
      <c r="F140" s="0">
        <f>VLOOKUP(E140,'Tier Params'!$A:$B,2,FALSE)</f>
        <v/>
      </c>
      <c r="G140" s="0">
        <f>VLOOKUP(E140,'Tier Params'!$A:$C,3,FALSE)</f>
        <v/>
      </c>
      <c r="H140" s="0">
        <f>CEILING(D140/G140,1)</f>
        <v/>
      </c>
      <c r="I140" s="0">
        <f>H140*F140</f>
        <v/>
      </c>
    </row>
    <row r="141">
      <c r="A141" s="0" t="inlineStr">
        <is>
          <t>'Reference sheet'!N143</t>
        </is>
      </c>
      <c r="B141" s="0" t="inlineStr">
        <is>
          <t>Structure Construction Parts</t>
        </is>
      </c>
      <c r="C141" s="0" t="inlineStr">
        <is>
          <t>Plasmoids</t>
        </is>
      </c>
      <c r="D141" s="0" t="n">
        <v>480</v>
      </c>
      <c r="E141" s="0">
        <f>VLOOKUP(C141,'Item Tier Lookup'!$A:$B,2,FALSE)</f>
        <v/>
      </c>
      <c r="F141" s="0">
        <f>VLOOKUP(E141,'Tier Params'!$A:$B,2,FALSE)</f>
        <v/>
      </c>
      <c r="G141" s="0">
        <f>VLOOKUP(E141,'Tier Params'!$A:$C,3,FALSE)</f>
        <v/>
      </c>
      <c r="H141" s="0">
        <f>CEILING(D141/G141,1)</f>
        <v/>
      </c>
      <c r="I141" s="0">
        <f>H141*F141</f>
        <v/>
      </c>
    </row>
    <row r="142">
      <c r="A142" s="0" t="inlineStr">
        <is>
          <t>'Reference sheet'!N144</t>
        </is>
      </c>
      <c r="B142" s="0" t="inlineStr">
        <is>
          <t>Structure Construction Parts</t>
        </is>
      </c>
      <c r="C142" s="0" t="inlineStr">
        <is>
          <t>Suspended Plasma</t>
        </is>
      </c>
      <c r="D142" s="0" t="n">
        <v>72000</v>
      </c>
      <c r="E142" s="0">
        <f>VLOOKUP(C142,'Item Tier Lookup'!$A:$B,2,FALSE)</f>
        <v/>
      </c>
      <c r="F142" s="0">
        <f>VLOOKUP(E142,'Tier Params'!$A:$B,2,FALSE)</f>
        <v/>
      </c>
      <c r="G142" s="0">
        <f>VLOOKUP(E142,'Tier Params'!$A:$C,3,FALSE)</f>
        <v/>
      </c>
      <c r="H142" s="0">
        <f>CEILING(D142/G142,1)</f>
        <v/>
      </c>
      <c r="I142" s="0">
        <f>H142*F142</f>
        <v/>
      </c>
    </row>
    <row r="143">
      <c r="A143" s="0" t="inlineStr">
        <is>
          <t>'Reference sheet'!N145</t>
        </is>
      </c>
      <c r="B143" s="0" t="inlineStr">
        <is>
          <t>Structure Construction Parts</t>
        </is>
      </c>
      <c r="C143" s="0" t="inlineStr">
        <is>
          <t>Self-Harmonizing Power Core</t>
        </is>
      </c>
      <c r="D143" s="0" t="n">
        <v>3</v>
      </c>
      <c r="E143" s="0">
        <f>VLOOKUP(C143,'Item Tier Lookup'!$A:$B,2,FALSE)</f>
        <v/>
      </c>
      <c r="F143" s="0">
        <f>VLOOKUP(E143,'Tier Params'!$A:$B,2,FALSE)</f>
        <v/>
      </c>
      <c r="G143" s="0">
        <f>VLOOKUP(E143,'Tier Params'!$A:$C,3,FALSE)</f>
        <v/>
      </c>
      <c r="H143" s="0">
        <f>CEILING(D143/G143,1)</f>
        <v/>
      </c>
      <c r="I143" s="0">
        <f>H143*F143</f>
        <v/>
      </c>
    </row>
    <row r="144">
      <c r="A144" s="0" t="inlineStr">
        <is>
          <t>'Reference sheet'!N146</t>
        </is>
      </c>
      <c r="B144" s="0" t="inlineStr">
        <is>
          <t>Structure Construction Parts</t>
        </is>
      </c>
      <c r="C144" s="0" t="inlineStr">
        <is>
          <t>Nuclear Reactors</t>
        </is>
      </c>
      <c r="D144" s="0" t="n">
        <v>18</v>
      </c>
      <c r="E144" s="0">
        <f>VLOOKUP(C144,'Item Tier Lookup'!$A:$B,2,FALSE)</f>
        <v/>
      </c>
      <c r="F144" s="0">
        <f>VLOOKUP(E144,'Tier Params'!$A:$B,2,FALSE)</f>
        <v/>
      </c>
      <c r="G144" s="0">
        <f>VLOOKUP(E144,'Tier Params'!$A:$C,3,FALSE)</f>
        <v/>
      </c>
      <c r="H144" s="0">
        <f>CEILING(D144/G144,1)</f>
        <v/>
      </c>
      <c r="I144" s="0">
        <f>H144*F144</f>
        <v/>
      </c>
    </row>
    <row r="145">
      <c r="A145" s="0" t="inlineStr">
        <is>
          <t>'Reference sheet'!N147</t>
        </is>
      </c>
      <c r="B145" s="0" t="inlineStr">
        <is>
          <t>Structure Construction Parts</t>
        </is>
      </c>
      <c r="C145" s="0" t="inlineStr">
        <is>
          <t>Enriched Uranium</t>
        </is>
      </c>
      <c r="D145" s="0" t="n">
        <v>60</v>
      </c>
      <c r="E145" s="0">
        <f>VLOOKUP(C145,'Item Tier Lookup'!$A:$B,2,FALSE)</f>
        <v/>
      </c>
      <c r="F145" s="0">
        <f>VLOOKUP(E145,'Tier Params'!$A:$B,2,FALSE)</f>
        <v/>
      </c>
      <c r="G145" s="0">
        <f>VLOOKUP(E145,'Tier Params'!$A:$C,3,FALSE)</f>
        <v/>
      </c>
      <c r="H145" s="0">
        <f>CEILING(D145/G145,1)</f>
        <v/>
      </c>
      <c r="I145" s="0">
        <f>H145*F145</f>
        <v/>
      </c>
    </row>
    <row r="146">
      <c r="A146" s="0" t="inlineStr">
        <is>
          <t>'Reference sheet'!N148</t>
        </is>
      </c>
      <c r="B146" s="0" t="inlineStr">
        <is>
          <t>Structure Construction Parts</t>
        </is>
      </c>
      <c r="C146" s="0" t="inlineStr">
        <is>
          <t>Toxic Metals</t>
        </is>
      </c>
      <c r="D146" s="0" t="n">
        <v>480</v>
      </c>
      <c r="E146" s="0">
        <f>VLOOKUP(C146,'Item Tier Lookup'!$A:$B,2,FALSE)</f>
        <v/>
      </c>
      <c r="F146" s="0">
        <f>VLOOKUP(E146,'Tier Params'!$A:$B,2,FALSE)</f>
        <v/>
      </c>
      <c r="G146" s="0">
        <f>VLOOKUP(E146,'Tier Params'!$A:$C,3,FALSE)</f>
        <v/>
      </c>
      <c r="H146" s="0">
        <f>CEILING(D146/G146,1)</f>
        <v/>
      </c>
      <c r="I146" s="0">
        <f>H146*F146</f>
        <v/>
      </c>
    </row>
    <row r="147">
      <c r="A147" s="0" t="inlineStr">
        <is>
          <t>'Reference sheet'!N149</t>
        </is>
      </c>
      <c r="B147" s="0" t="inlineStr">
        <is>
          <t>Structure Construction Parts</t>
        </is>
      </c>
      <c r="C147" s="0" t="inlineStr">
        <is>
          <t>Heavy Metals</t>
        </is>
      </c>
      <c r="D147" s="0" t="n">
        <v>72000</v>
      </c>
      <c r="E147" s="0">
        <f>VLOOKUP(C147,'Item Tier Lookup'!$A:$B,2,FALSE)</f>
        <v/>
      </c>
      <c r="F147" s="0">
        <f>VLOOKUP(E147,'Tier Params'!$A:$B,2,FALSE)</f>
        <v/>
      </c>
      <c r="G147" s="0">
        <f>VLOOKUP(E147,'Tier Params'!$A:$C,3,FALSE)</f>
        <v/>
      </c>
      <c r="H147" s="0">
        <f>CEILING(D147/G147,1)</f>
        <v/>
      </c>
      <c r="I147" s="0">
        <f>H147*F147</f>
        <v/>
      </c>
    </row>
    <row r="148">
      <c r="A148" s="0" t="inlineStr">
        <is>
          <t>'Reference sheet'!N150</t>
        </is>
      </c>
      <c r="B148" s="0" t="inlineStr">
        <is>
          <t>Structure Construction Parts</t>
        </is>
      </c>
      <c r="C148" s="0" t="inlineStr">
        <is>
          <t>Precious Metals</t>
        </is>
      </c>
      <c r="D148" s="0" t="n">
        <v>480</v>
      </c>
      <c r="E148" s="0">
        <f>VLOOKUP(C148,'Item Tier Lookup'!$A:$B,2,FALSE)</f>
        <v/>
      </c>
      <c r="F148" s="0">
        <f>VLOOKUP(E148,'Tier Params'!$A:$B,2,FALSE)</f>
        <v/>
      </c>
      <c r="G148" s="0">
        <f>VLOOKUP(E148,'Tier Params'!$A:$C,3,FALSE)</f>
        <v/>
      </c>
      <c r="H148" s="0">
        <f>CEILING(D148/G148,1)</f>
        <v/>
      </c>
      <c r="I148" s="0">
        <f>H148*F148</f>
        <v/>
      </c>
    </row>
    <row r="149">
      <c r="A149" s="0" t="inlineStr">
        <is>
          <t>'Reference sheet'!N151</t>
        </is>
      </c>
      <c r="B149" s="0" t="inlineStr">
        <is>
          <t>Structure Construction Parts</t>
        </is>
      </c>
      <c r="C149" s="0" t="inlineStr">
        <is>
          <t>Noble Metals</t>
        </is>
      </c>
      <c r="D149" s="0" t="n">
        <v>72000</v>
      </c>
      <c r="E149" s="0">
        <f>VLOOKUP(C149,'Item Tier Lookup'!$A:$B,2,FALSE)</f>
        <v/>
      </c>
      <c r="F149" s="0">
        <f>VLOOKUP(E149,'Tier Params'!$A:$B,2,FALSE)</f>
        <v/>
      </c>
      <c r="G149" s="0">
        <f>VLOOKUP(E149,'Tier Params'!$A:$C,3,FALSE)</f>
        <v/>
      </c>
      <c r="H149" s="0">
        <f>CEILING(D149/G149,1)</f>
        <v/>
      </c>
      <c r="I149" s="0">
        <f>H149*F149</f>
        <v/>
      </c>
    </row>
    <row r="150">
      <c r="A150" s="0" t="inlineStr">
        <is>
          <t>'Reference sheet'!N152</t>
        </is>
      </c>
      <c r="B150" s="0" t="inlineStr">
        <is>
          <t>Structure Construction Parts</t>
        </is>
      </c>
      <c r="C150" s="0" t="inlineStr">
        <is>
          <t>Microfiber Shielding</t>
        </is>
      </c>
      <c r="D150" s="0" t="n">
        <v>60</v>
      </c>
      <c r="E150" s="0">
        <f>VLOOKUP(C150,'Item Tier Lookup'!$A:$B,2,FALSE)</f>
        <v/>
      </c>
      <c r="F150" s="0">
        <f>VLOOKUP(E150,'Tier Params'!$A:$B,2,FALSE)</f>
        <v/>
      </c>
      <c r="G150" s="0">
        <f>VLOOKUP(E150,'Tier Params'!$A:$C,3,FALSE)</f>
        <v/>
      </c>
      <c r="H150" s="0">
        <f>CEILING(D150/G150,1)</f>
        <v/>
      </c>
      <c r="I150" s="0">
        <f>H150*F150</f>
        <v/>
      </c>
    </row>
    <row r="151">
      <c r="A151" s="0" t="inlineStr">
        <is>
          <t>'Reference sheet'!N153</t>
        </is>
      </c>
      <c r="B151" s="0" t="inlineStr">
        <is>
          <t>Structure Construction Parts</t>
        </is>
      </c>
      <c r="C151" s="0" t="inlineStr">
        <is>
          <t>Silicon</t>
        </is>
      </c>
      <c r="D151" s="0" t="n">
        <v>480</v>
      </c>
      <c r="E151" s="0">
        <f>VLOOKUP(C151,'Item Tier Lookup'!$A:$B,2,FALSE)</f>
        <v/>
      </c>
      <c r="F151" s="0">
        <f>VLOOKUP(E151,'Tier Params'!$A:$B,2,FALSE)</f>
        <v/>
      </c>
      <c r="G151" s="0">
        <f>VLOOKUP(E151,'Tier Params'!$A:$C,3,FALSE)</f>
        <v/>
      </c>
      <c r="H151" s="0">
        <f>CEILING(D151/G151,1)</f>
        <v/>
      </c>
      <c r="I151" s="0">
        <f>H151*F151</f>
        <v/>
      </c>
    </row>
    <row r="152">
      <c r="A152" s="0" t="inlineStr">
        <is>
          <t>'Reference sheet'!N154</t>
        </is>
      </c>
      <c r="B152" s="0" t="inlineStr">
        <is>
          <t>Structure Construction Parts</t>
        </is>
      </c>
      <c r="C152" s="0" t="inlineStr">
        <is>
          <t>Felsic Magma</t>
        </is>
      </c>
      <c r="D152" s="0" t="n">
        <v>72000</v>
      </c>
      <c r="E152" s="0">
        <f>VLOOKUP(C152,'Item Tier Lookup'!$A:$B,2,FALSE)</f>
        <v/>
      </c>
      <c r="F152" s="0">
        <f>VLOOKUP(E152,'Tier Params'!$A:$B,2,FALSE)</f>
        <v/>
      </c>
      <c r="G152" s="0">
        <f>VLOOKUP(E152,'Tier Params'!$A:$C,3,FALSE)</f>
        <v/>
      </c>
      <c r="H152" s="0">
        <f>CEILING(D152/G152,1)</f>
        <v/>
      </c>
      <c r="I152" s="0">
        <f>H152*F152</f>
        <v/>
      </c>
    </row>
    <row r="153">
      <c r="A153" s="0" t="inlineStr">
        <is>
          <t>'Reference sheet'!N155</t>
        </is>
      </c>
      <c r="B153" s="0" t="inlineStr">
        <is>
          <t>Structure Construction Parts</t>
        </is>
      </c>
      <c r="C153" s="0" t="inlineStr">
        <is>
          <t>Industrial Fibers</t>
        </is>
      </c>
      <c r="D153" s="0" t="n">
        <v>480</v>
      </c>
      <c r="E153" s="0">
        <f>VLOOKUP(C153,'Item Tier Lookup'!$A:$B,2,FALSE)</f>
        <v/>
      </c>
      <c r="F153" s="0">
        <f>VLOOKUP(E153,'Tier Params'!$A:$B,2,FALSE)</f>
        <v/>
      </c>
      <c r="G153" s="0">
        <f>VLOOKUP(E153,'Tier Params'!$A:$C,3,FALSE)</f>
        <v/>
      </c>
      <c r="H153" s="0">
        <f>CEILING(D153/G153,1)</f>
        <v/>
      </c>
      <c r="I153" s="0">
        <f>H153*F153</f>
        <v/>
      </c>
    </row>
    <row r="154">
      <c r="A154" s="0" t="inlineStr">
        <is>
          <t>'Reference sheet'!N156</t>
        </is>
      </c>
      <c r="B154" s="0" t="inlineStr">
        <is>
          <t>Structure Construction Parts</t>
        </is>
      </c>
      <c r="C154" s="0" t="inlineStr">
        <is>
          <t>Autotrophs</t>
        </is>
      </c>
      <c r="D154" s="0" t="n">
        <v>72000</v>
      </c>
      <c r="E154" s="0">
        <f>VLOOKUP(C154,'Item Tier Lookup'!$A:$B,2,FALSE)</f>
        <v/>
      </c>
      <c r="F154" s="0">
        <f>VLOOKUP(E154,'Tier Params'!$A:$B,2,FALSE)</f>
        <v/>
      </c>
      <c r="G154" s="0">
        <f>VLOOKUP(E154,'Tier Params'!$A:$C,3,FALSE)</f>
        <v/>
      </c>
      <c r="H154" s="0">
        <f>CEILING(D154/G154,1)</f>
        <v/>
      </c>
      <c r="I154" s="0">
        <f>H154*F154</f>
        <v/>
      </c>
    </row>
    <row r="155">
      <c r="A155" s="0" t="inlineStr">
        <is>
          <t>'Reference sheet'!N157</t>
        </is>
      </c>
      <c r="B155" s="0" t="inlineStr">
        <is>
          <t>Structure Construction Parts</t>
        </is>
      </c>
      <c r="C155" s="0" t="inlineStr">
        <is>
          <t>Camera Drones</t>
        </is>
      </c>
      <c r="D155" s="0" t="n">
        <v>18</v>
      </c>
      <c r="E155" s="0">
        <f>VLOOKUP(C155,'Item Tier Lookup'!$A:$B,2,FALSE)</f>
        <v/>
      </c>
      <c r="F155" s="0">
        <f>VLOOKUP(E155,'Tier Params'!$A:$B,2,FALSE)</f>
        <v/>
      </c>
      <c r="G155" s="0">
        <f>VLOOKUP(E155,'Tier Params'!$A:$C,3,FALSE)</f>
        <v/>
      </c>
      <c r="H155" s="0">
        <f>CEILING(D155/G155,1)</f>
        <v/>
      </c>
      <c r="I155" s="0">
        <f>H155*F155</f>
        <v/>
      </c>
    </row>
    <row r="156">
      <c r="A156" s="0" t="inlineStr">
        <is>
          <t>'Reference sheet'!N158</t>
        </is>
      </c>
      <c r="B156" s="0" t="inlineStr">
        <is>
          <t>Structure Construction Parts</t>
        </is>
      </c>
      <c r="C156" s="0" t="inlineStr">
        <is>
          <t>Rocket Fuel</t>
        </is>
      </c>
      <c r="D156" s="0" t="n">
        <v>60</v>
      </c>
      <c r="E156" s="0">
        <f>VLOOKUP(C156,'Item Tier Lookup'!$A:$B,2,FALSE)</f>
        <v/>
      </c>
      <c r="F156" s="0">
        <f>VLOOKUP(E156,'Tier Params'!$A:$B,2,FALSE)</f>
        <v/>
      </c>
      <c r="G156" s="0">
        <f>VLOOKUP(E156,'Tier Params'!$A:$C,3,FALSE)</f>
        <v/>
      </c>
      <c r="H156" s="0">
        <f>CEILING(D156/G156,1)</f>
        <v/>
      </c>
      <c r="I156" s="0">
        <f>H156*F156</f>
        <v/>
      </c>
    </row>
    <row r="157">
      <c r="A157" s="0" t="inlineStr">
        <is>
          <t>'Reference sheet'!N159</t>
        </is>
      </c>
      <c r="B157" s="0" t="inlineStr">
        <is>
          <t>Structure Construction Parts</t>
        </is>
      </c>
      <c r="C157" s="0" t="inlineStr">
        <is>
          <t>Electrolytes</t>
        </is>
      </c>
      <c r="D157" s="0" t="n">
        <v>480</v>
      </c>
      <c r="E157" s="0">
        <f>VLOOKUP(C157,'Item Tier Lookup'!$A:$B,2,FALSE)</f>
        <v/>
      </c>
      <c r="F157" s="0">
        <f>VLOOKUP(E157,'Tier Params'!$A:$B,2,FALSE)</f>
        <v/>
      </c>
      <c r="G157" s="0">
        <f>VLOOKUP(E157,'Tier Params'!$A:$C,3,FALSE)</f>
        <v/>
      </c>
      <c r="H157" s="0">
        <f>CEILING(D157/G157,1)</f>
        <v/>
      </c>
      <c r="I157" s="0">
        <f>H157*F157</f>
        <v/>
      </c>
    </row>
    <row r="158">
      <c r="A158" s="0" t="inlineStr">
        <is>
          <t>'Reference sheet'!N160</t>
        </is>
      </c>
      <c r="B158" s="0" t="inlineStr">
        <is>
          <t>Structure Construction Parts</t>
        </is>
      </c>
      <c r="C158" s="0" t="inlineStr">
        <is>
          <t>Ionic Solutions</t>
        </is>
      </c>
      <c r="D158" s="0" t="n">
        <v>72000</v>
      </c>
      <c r="E158" s="0">
        <f>VLOOKUP(C158,'Item Tier Lookup'!$A:$B,2,FALSE)</f>
        <v/>
      </c>
      <c r="F158" s="0">
        <f>VLOOKUP(E158,'Tier Params'!$A:$B,2,FALSE)</f>
        <v/>
      </c>
      <c r="G158" s="0">
        <f>VLOOKUP(E158,'Tier Params'!$A:$C,3,FALSE)</f>
        <v/>
      </c>
      <c r="H158" s="0">
        <f>CEILING(D158/G158,1)</f>
        <v/>
      </c>
      <c r="I158" s="0">
        <f>H158*F158</f>
        <v/>
      </c>
    </row>
    <row r="159">
      <c r="A159" s="0" t="inlineStr">
        <is>
          <t>'Reference sheet'!N161</t>
        </is>
      </c>
      <c r="B159" s="0" t="inlineStr">
        <is>
          <t>Structure Construction Parts</t>
        </is>
      </c>
      <c r="C159" s="0" t="inlineStr">
        <is>
          <t>Plasmoids</t>
        </is>
      </c>
      <c r="D159" s="0" t="n">
        <v>480</v>
      </c>
      <c r="E159" s="0">
        <f>VLOOKUP(C159,'Item Tier Lookup'!$A:$B,2,FALSE)</f>
        <v/>
      </c>
      <c r="F159" s="0">
        <f>VLOOKUP(E159,'Tier Params'!$A:$B,2,FALSE)</f>
        <v/>
      </c>
      <c r="G159" s="0">
        <f>VLOOKUP(E159,'Tier Params'!$A:$C,3,FALSE)</f>
        <v/>
      </c>
      <c r="H159" s="0">
        <f>CEILING(D159/G159,1)</f>
        <v/>
      </c>
      <c r="I159" s="0">
        <f>H159*F159</f>
        <v/>
      </c>
    </row>
    <row r="160">
      <c r="A160" s="0" t="inlineStr">
        <is>
          <t>'Reference sheet'!N162</t>
        </is>
      </c>
      <c r="B160" s="0" t="inlineStr">
        <is>
          <t>Structure Construction Parts</t>
        </is>
      </c>
      <c r="C160" s="0" t="inlineStr">
        <is>
          <t>Suspended Plasma</t>
        </is>
      </c>
      <c r="D160" s="0" t="n">
        <v>72000</v>
      </c>
      <c r="E160" s="0">
        <f>VLOOKUP(C160,'Item Tier Lookup'!$A:$B,2,FALSE)</f>
        <v/>
      </c>
      <c r="F160" s="0">
        <f>VLOOKUP(E160,'Tier Params'!$A:$B,2,FALSE)</f>
        <v/>
      </c>
      <c r="G160" s="0">
        <f>VLOOKUP(E160,'Tier Params'!$A:$C,3,FALSE)</f>
        <v/>
      </c>
      <c r="H160" s="0">
        <f>CEILING(D160/G160,1)</f>
        <v/>
      </c>
      <c r="I160" s="0">
        <f>H160*F160</f>
        <v/>
      </c>
    </row>
    <row r="161">
      <c r="A161" s="0" t="inlineStr">
        <is>
          <t>'Reference sheet'!N163</t>
        </is>
      </c>
      <c r="B161" s="0" t="inlineStr">
        <is>
          <t>Structure Construction Parts</t>
        </is>
      </c>
      <c r="C161" s="0" t="inlineStr">
        <is>
          <t>Silicate Glass</t>
        </is>
      </c>
      <c r="D161" s="0" t="n">
        <v>60</v>
      </c>
      <c r="E161" s="0">
        <f>VLOOKUP(C161,'Item Tier Lookup'!$A:$B,2,FALSE)</f>
        <v/>
      </c>
      <c r="F161" s="0">
        <f>VLOOKUP(E161,'Tier Params'!$A:$B,2,FALSE)</f>
        <v/>
      </c>
      <c r="G161" s="0">
        <f>VLOOKUP(E161,'Tier Params'!$A:$C,3,FALSE)</f>
        <v/>
      </c>
      <c r="H161" s="0">
        <f>CEILING(D161/G161,1)</f>
        <v/>
      </c>
      <c r="I161" s="0">
        <f>H161*F161</f>
        <v/>
      </c>
    </row>
    <row r="162">
      <c r="A162" s="0" t="inlineStr">
        <is>
          <t>'Reference sheet'!N164</t>
        </is>
      </c>
      <c r="B162" s="0" t="inlineStr">
        <is>
          <t>Structure Construction Parts</t>
        </is>
      </c>
      <c r="C162" s="0" t="inlineStr">
        <is>
          <t>Oxidizing Compound</t>
        </is>
      </c>
      <c r="D162" s="0" t="n">
        <v>480</v>
      </c>
      <c r="E162" s="0">
        <f>VLOOKUP(C162,'Item Tier Lookup'!$A:$B,2,FALSE)</f>
        <v/>
      </c>
      <c r="F162" s="0">
        <f>VLOOKUP(E162,'Tier Params'!$A:$B,2,FALSE)</f>
        <v/>
      </c>
      <c r="G162" s="0">
        <f>VLOOKUP(E162,'Tier Params'!$A:$C,3,FALSE)</f>
        <v/>
      </c>
      <c r="H162" s="0">
        <f>CEILING(D162/G162,1)</f>
        <v/>
      </c>
      <c r="I162" s="0">
        <f>H162*F162</f>
        <v/>
      </c>
    </row>
    <row r="163">
      <c r="A163" s="0" t="inlineStr">
        <is>
          <t>'Reference sheet'!N165</t>
        </is>
      </c>
      <c r="B163" s="0" t="inlineStr">
        <is>
          <t>Structure Construction Parts</t>
        </is>
      </c>
      <c r="C163" s="0" t="inlineStr">
        <is>
          <t>Reactive Gas</t>
        </is>
      </c>
      <c r="D163" s="0" t="n">
        <v>72000</v>
      </c>
      <c r="E163" s="0">
        <f>VLOOKUP(C163,'Item Tier Lookup'!$A:$B,2,FALSE)</f>
        <v/>
      </c>
      <c r="F163" s="0">
        <f>VLOOKUP(E163,'Tier Params'!$A:$B,2,FALSE)</f>
        <v/>
      </c>
      <c r="G163" s="0">
        <f>VLOOKUP(E163,'Tier Params'!$A:$C,3,FALSE)</f>
        <v/>
      </c>
      <c r="H163" s="0">
        <f>CEILING(D163/G163,1)</f>
        <v/>
      </c>
      <c r="I163" s="0">
        <f>H163*F163</f>
        <v/>
      </c>
    </row>
    <row r="164">
      <c r="A164" s="0" t="inlineStr">
        <is>
          <t>'Reference sheet'!N166</t>
        </is>
      </c>
      <c r="B164" s="0" t="inlineStr">
        <is>
          <t>Structure Construction Parts</t>
        </is>
      </c>
      <c r="C164" s="0" t="inlineStr">
        <is>
          <t>Silicon</t>
        </is>
      </c>
      <c r="D164" s="0" t="n">
        <v>480</v>
      </c>
      <c r="E164" s="0">
        <f>VLOOKUP(C164,'Item Tier Lookup'!$A:$B,2,FALSE)</f>
        <v/>
      </c>
      <c r="F164" s="0">
        <f>VLOOKUP(E164,'Tier Params'!$A:$B,2,FALSE)</f>
        <v/>
      </c>
      <c r="G164" s="0">
        <f>VLOOKUP(E164,'Tier Params'!$A:$C,3,FALSE)</f>
        <v/>
      </c>
      <c r="H164" s="0">
        <f>CEILING(D164/G164,1)</f>
        <v/>
      </c>
      <c r="I164" s="0">
        <f>H164*F164</f>
        <v/>
      </c>
    </row>
    <row r="165">
      <c r="A165" s="0" t="inlineStr">
        <is>
          <t>'Reference sheet'!N167</t>
        </is>
      </c>
      <c r="B165" s="0" t="inlineStr">
        <is>
          <t>Structure Construction Parts</t>
        </is>
      </c>
      <c r="C165" s="0" t="inlineStr">
        <is>
          <t>Felsic Magma</t>
        </is>
      </c>
      <c r="D165" s="0" t="n">
        <v>72000</v>
      </c>
      <c r="E165" s="0">
        <f>VLOOKUP(C165,'Item Tier Lookup'!$A:$B,2,FALSE)</f>
        <v/>
      </c>
      <c r="F165" s="0">
        <f>VLOOKUP(E165,'Tier Params'!$A:$B,2,FALSE)</f>
        <v/>
      </c>
      <c r="G165" s="0">
        <f>VLOOKUP(E165,'Tier Params'!$A:$C,3,FALSE)</f>
        <v/>
      </c>
      <c r="H165" s="0">
        <f>CEILING(D165/G165,1)</f>
        <v/>
      </c>
      <c r="I165" s="0">
        <f>H165*F165</f>
        <v/>
      </c>
    </row>
    <row r="166">
      <c r="A166" s="0" t="inlineStr">
        <is>
          <t>'Reference sheet'!N168</t>
        </is>
      </c>
      <c r="B166" s="0" t="inlineStr">
        <is>
          <t>Structure Construction Parts</t>
        </is>
      </c>
      <c r="C166" s="0" t="inlineStr">
        <is>
          <t>Hermetic Membranes</t>
        </is>
      </c>
      <c r="D166" s="0" t="n">
        <v>18</v>
      </c>
      <c r="E166" s="0">
        <f>VLOOKUP(C166,'Item Tier Lookup'!$A:$B,2,FALSE)</f>
        <v/>
      </c>
      <c r="F166" s="0">
        <f>VLOOKUP(E166,'Tier Params'!$A:$B,2,FALSE)</f>
        <v/>
      </c>
      <c r="G166" s="0">
        <f>VLOOKUP(E166,'Tier Params'!$A:$C,3,FALSE)</f>
        <v/>
      </c>
      <c r="H166" s="0">
        <f>CEILING(D166/G166,1)</f>
        <v/>
      </c>
      <c r="I166" s="0">
        <f>H166*F166</f>
        <v/>
      </c>
    </row>
    <row r="167">
      <c r="A167" s="0" t="inlineStr">
        <is>
          <t>'Reference sheet'!N169</t>
        </is>
      </c>
      <c r="B167" s="0" t="inlineStr">
        <is>
          <t>Structure Construction Parts</t>
        </is>
      </c>
      <c r="C167" s="0" t="inlineStr">
        <is>
          <t>Polyaramids</t>
        </is>
      </c>
      <c r="D167" s="0" t="n">
        <v>60</v>
      </c>
      <c r="E167" s="0">
        <f>VLOOKUP(C167,'Item Tier Lookup'!$A:$B,2,FALSE)</f>
        <v/>
      </c>
      <c r="F167" s="0">
        <f>VLOOKUP(E167,'Tier Params'!$A:$B,2,FALSE)</f>
        <v/>
      </c>
      <c r="G167" s="0">
        <f>VLOOKUP(E167,'Tier Params'!$A:$C,3,FALSE)</f>
        <v/>
      </c>
      <c r="H167" s="0">
        <f>CEILING(D167/G167,1)</f>
        <v/>
      </c>
      <c r="I167" s="0">
        <f>H167*F167</f>
        <v/>
      </c>
    </row>
    <row r="168">
      <c r="A168" s="0" t="inlineStr">
        <is>
          <t>'Reference sheet'!N170</t>
        </is>
      </c>
      <c r="B168" s="0" t="inlineStr">
        <is>
          <t>Structure Construction Parts</t>
        </is>
      </c>
      <c r="C168" s="0" t="inlineStr">
        <is>
          <t>Oxidizing Compound</t>
        </is>
      </c>
      <c r="D168" s="0" t="n">
        <v>480</v>
      </c>
      <c r="E168" s="0">
        <f>VLOOKUP(C168,'Item Tier Lookup'!$A:$B,2,FALSE)</f>
        <v/>
      </c>
      <c r="F168" s="0">
        <f>VLOOKUP(E168,'Tier Params'!$A:$B,2,FALSE)</f>
        <v/>
      </c>
      <c r="G168" s="0">
        <f>VLOOKUP(E168,'Tier Params'!$A:$C,3,FALSE)</f>
        <v/>
      </c>
      <c r="H168" s="0">
        <f>CEILING(D168/G168,1)</f>
        <v/>
      </c>
      <c r="I168" s="0">
        <f>H168*F168</f>
        <v/>
      </c>
    </row>
    <row r="169">
      <c r="A169" s="0" t="inlineStr">
        <is>
          <t>'Reference sheet'!N171</t>
        </is>
      </c>
      <c r="B169" s="0" t="inlineStr">
        <is>
          <t>Structure Construction Parts</t>
        </is>
      </c>
      <c r="C169" s="0" t="inlineStr">
        <is>
          <t>Reactive Gas</t>
        </is>
      </c>
      <c r="D169" s="0" t="n">
        <v>72000</v>
      </c>
      <c r="E169" s="0">
        <f>VLOOKUP(C169,'Item Tier Lookup'!$A:$B,2,FALSE)</f>
        <v/>
      </c>
      <c r="F169" s="0">
        <f>VLOOKUP(E169,'Tier Params'!$A:$B,2,FALSE)</f>
        <v/>
      </c>
      <c r="G169" s="0">
        <f>VLOOKUP(E169,'Tier Params'!$A:$C,3,FALSE)</f>
        <v/>
      </c>
      <c r="H169" s="0">
        <f>CEILING(D169/G169,1)</f>
        <v/>
      </c>
      <c r="I169" s="0">
        <f>H169*F169</f>
        <v/>
      </c>
    </row>
    <row r="170">
      <c r="A170" s="0" t="inlineStr">
        <is>
          <t>'Reference sheet'!N172</t>
        </is>
      </c>
      <c r="B170" s="0" t="inlineStr">
        <is>
          <t>Structure Construction Parts</t>
        </is>
      </c>
      <c r="C170" s="0" t="inlineStr">
        <is>
          <t>Industrial Fibers</t>
        </is>
      </c>
      <c r="D170" s="0" t="n">
        <v>480</v>
      </c>
      <c r="E170" s="0">
        <f>VLOOKUP(C170,'Item Tier Lookup'!$A:$B,2,FALSE)</f>
        <v/>
      </c>
      <c r="F170" s="0">
        <f>VLOOKUP(E170,'Tier Params'!$A:$B,2,FALSE)</f>
        <v/>
      </c>
      <c r="G170" s="0">
        <f>VLOOKUP(E170,'Tier Params'!$A:$C,3,FALSE)</f>
        <v/>
      </c>
      <c r="H170" s="0">
        <f>CEILING(D170/G170,1)</f>
        <v/>
      </c>
      <c r="I170" s="0">
        <f>H170*F170</f>
        <v/>
      </c>
    </row>
    <row r="171">
      <c r="A171" s="0" t="inlineStr">
        <is>
          <t>'Reference sheet'!N173</t>
        </is>
      </c>
      <c r="B171" s="0" t="inlineStr">
        <is>
          <t>Structure Construction Parts</t>
        </is>
      </c>
      <c r="C171" s="0" t="inlineStr">
        <is>
          <t>Autotrophs</t>
        </is>
      </c>
      <c r="D171" s="0" t="n">
        <v>72000</v>
      </c>
      <c r="E171" s="0">
        <f>VLOOKUP(C171,'Item Tier Lookup'!$A:$B,2,FALSE)</f>
        <v/>
      </c>
      <c r="F171" s="0">
        <f>VLOOKUP(E171,'Tier Params'!$A:$B,2,FALSE)</f>
        <v/>
      </c>
      <c r="G171" s="0">
        <f>VLOOKUP(E171,'Tier Params'!$A:$C,3,FALSE)</f>
        <v/>
      </c>
      <c r="H171" s="0">
        <f>CEILING(D171/G171,1)</f>
        <v/>
      </c>
      <c r="I171" s="0">
        <f>H171*F171</f>
        <v/>
      </c>
    </row>
    <row r="172">
      <c r="A172" s="0" t="inlineStr">
        <is>
          <t>'Reference sheet'!N174</t>
        </is>
      </c>
      <c r="B172" s="0" t="inlineStr">
        <is>
          <t>Structure Construction Parts</t>
        </is>
      </c>
      <c r="C172" s="0" t="inlineStr">
        <is>
          <t>Genetically Enhanced Livestock</t>
        </is>
      </c>
      <c r="D172" s="0" t="n">
        <v>60</v>
      </c>
      <c r="E172" s="0">
        <f>VLOOKUP(C172,'Item Tier Lookup'!$A:$B,2,FALSE)</f>
        <v/>
      </c>
      <c r="F172" s="0">
        <f>VLOOKUP(E172,'Tier Params'!$A:$B,2,FALSE)</f>
        <v/>
      </c>
      <c r="G172" s="0">
        <f>VLOOKUP(E172,'Tier Params'!$A:$C,3,FALSE)</f>
        <v/>
      </c>
      <c r="H172" s="0">
        <f>CEILING(D172/G172,1)</f>
        <v/>
      </c>
      <c r="I172" s="0">
        <f>H172*F172</f>
        <v/>
      </c>
    </row>
    <row r="173">
      <c r="A173" s="0" t="inlineStr">
        <is>
          <t>'Reference sheet'!N175</t>
        </is>
      </c>
      <c r="B173" s="0" t="inlineStr">
        <is>
          <t>Structure Construction Parts</t>
        </is>
      </c>
      <c r="C173" s="0" t="inlineStr">
        <is>
          <t>Proteins</t>
        </is>
      </c>
      <c r="D173" s="0" t="n">
        <v>480</v>
      </c>
      <c r="E173" s="0">
        <f>VLOOKUP(C173,'Item Tier Lookup'!$A:$B,2,FALSE)</f>
        <v/>
      </c>
      <c r="F173" s="0">
        <f>VLOOKUP(E173,'Tier Params'!$A:$B,2,FALSE)</f>
        <v/>
      </c>
      <c r="G173" s="0">
        <f>VLOOKUP(E173,'Tier Params'!$A:$C,3,FALSE)</f>
        <v/>
      </c>
      <c r="H173" s="0">
        <f>CEILING(D173/G173,1)</f>
        <v/>
      </c>
      <c r="I173" s="0">
        <f>H173*F173</f>
        <v/>
      </c>
    </row>
    <row r="174">
      <c r="A174" s="0" t="inlineStr">
        <is>
          <t>'Reference sheet'!N176</t>
        </is>
      </c>
      <c r="B174" s="0" t="inlineStr">
        <is>
          <t>Structure Construction Parts</t>
        </is>
      </c>
      <c r="C174" s="0" t="inlineStr">
        <is>
          <t>Complex Organisms</t>
        </is>
      </c>
      <c r="D174" s="0" t="n">
        <v>72000</v>
      </c>
      <c r="E174" s="0">
        <f>VLOOKUP(C174,'Item Tier Lookup'!$A:$B,2,FALSE)</f>
        <v/>
      </c>
      <c r="F174" s="0">
        <f>VLOOKUP(E174,'Tier Params'!$A:$B,2,FALSE)</f>
        <v/>
      </c>
      <c r="G174" s="0">
        <f>VLOOKUP(E174,'Tier Params'!$A:$C,3,FALSE)</f>
        <v/>
      </c>
      <c r="H174" s="0">
        <f>CEILING(D174/G174,1)</f>
        <v/>
      </c>
      <c r="I174" s="0">
        <f>H174*F174</f>
        <v/>
      </c>
    </row>
    <row r="175">
      <c r="A175" s="0" t="inlineStr">
        <is>
          <t>'Reference sheet'!N177</t>
        </is>
      </c>
      <c r="B175" s="0" t="inlineStr">
        <is>
          <t>Structure Construction Parts</t>
        </is>
      </c>
      <c r="C175" s="0" t="inlineStr">
        <is>
          <t>Biomass</t>
        </is>
      </c>
      <c r="D175" s="0" t="n">
        <v>480</v>
      </c>
      <c r="E175" s="0">
        <f>VLOOKUP(C175,'Item Tier Lookup'!$A:$B,2,FALSE)</f>
        <v/>
      </c>
      <c r="F175" s="0">
        <f>VLOOKUP(E175,'Tier Params'!$A:$B,2,FALSE)</f>
        <v/>
      </c>
      <c r="G175" s="0">
        <f>VLOOKUP(E175,'Tier Params'!$A:$C,3,FALSE)</f>
        <v/>
      </c>
      <c r="H175" s="0">
        <f>CEILING(D175/G175,1)</f>
        <v/>
      </c>
      <c r="I175" s="0">
        <f>H175*F175</f>
        <v/>
      </c>
    </row>
    <row r="176">
      <c r="A176" s="0" t="inlineStr">
        <is>
          <t>'Reference sheet'!N178</t>
        </is>
      </c>
      <c r="B176" s="0" t="inlineStr">
        <is>
          <t>Structure Construction Parts</t>
        </is>
      </c>
      <c r="C176" s="0" t="inlineStr">
        <is>
          <t>Planktic Colonies</t>
        </is>
      </c>
      <c r="D176" s="0" t="n">
        <v>72000</v>
      </c>
      <c r="E176" s="0">
        <f>VLOOKUP(C176,'Item Tier Lookup'!$A:$B,2,FALSE)</f>
        <v/>
      </c>
      <c r="F176" s="0">
        <f>VLOOKUP(E176,'Tier Params'!$A:$B,2,FALSE)</f>
        <v/>
      </c>
      <c r="G176" s="0">
        <f>VLOOKUP(E176,'Tier Params'!$A:$C,3,FALSE)</f>
        <v/>
      </c>
      <c r="H176" s="0">
        <f>CEILING(D176/G176,1)</f>
        <v/>
      </c>
      <c r="I176" s="0">
        <f>H176*F176</f>
        <v/>
      </c>
    </row>
    <row r="177">
      <c r="A177" s="0" t="inlineStr">
        <is>
          <t>'Reference sheet'!N179</t>
        </is>
      </c>
      <c r="B177" s="0" t="inlineStr">
        <is>
          <t>Structure Construction Parts</t>
        </is>
      </c>
      <c r="C177" s="0" t="inlineStr">
        <is>
          <t>Sterile Conduits</t>
        </is>
      </c>
      <c r="D177" s="0" t="n">
        <v>3</v>
      </c>
      <c r="E177" s="0">
        <f>VLOOKUP(C177,'Item Tier Lookup'!$A:$B,2,FALSE)</f>
        <v/>
      </c>
      <c r="F177" s="0">
        <f>VLOOKUP(E177,'Tier Params'!$A:$B,2,FALSE)</f>
        <v/>
      </c>
      <c r="G177" s="0">
        <f>VLOOKUP(E177,'Tier Params'!$A:$C,3,FALSE)</f>
        <v/>
      </c>
      <c r="H177" s="0">
        <f>CEILING(D177/G177,1)</f>
        <v/>
      </c>
      <c r="I177" s="0">
        <f>H177*F177</f>
        <v/>
      </c>
    </row>
    <row r="178">
      <c r="A178" s="0" t="inlineStr">
        <is>
          <t>'Reference sheet'!N180</t>
        </is>
      </c>
      <c r="B178" s="0" t="inlineStr">
        <is>
          <t>Structure Construction Parts</t>
        </is>
      </c>
      <c r="C178" s="0" t="inlineStr">
        <is>
          <t>Water</t>
        </is>
      </c>
      <c r="D178" s="0" t="n">
        <v>120</v>
      </c>
      <c r="E178" s="0">
        <f>VLOOKUP(C178,'Item Tier Lookup'!$A:$B,2,FALSE)</f>
        <v/>
      </c>
      <c r="F178" s="0">
        <f>VLOOKUP(E178,'Tier Params'!$A:$B,2,FALSE)</f>
        <v/>
      </c>
      <c r="G178" s="0">
        <f>VLOOKUP(E178,'Tier Params'!$A:$C,3,FALSE)</f>
        <v/>
      </c>
      <c r="H178" s="0">
        <f>CEILING(D178/G178,1)</f>
        <v/>
      </c>
      <c r="I178" s="0">
        <f>H178*F178</f>
        <v/>
      </c>
    </row>
    <row r="179">
      <c r="A179" s="0" t="inlineStr">
        <is>
          <t>'Reference sheet'!N181</t>
        </is>
      </c>
      <c r="B179" s="0" t="inlineStr">
        <is>
          <t>Structure Construction Parts</t>
        </is>
      </c>
      <c r="C179" s="0" t="inlineStr">
        <is>
          <t>Aqueous Liquids</t>
        </is>
      </c>
      <c r="D179" s="0" t="n">
        <v>18000</v>
      </c>
      <c r="E179" s="0">
        <f>VLOOKUP(C179,'Item Tier Lookup'!$A:$B,2,FALSE)</f>
        <v/>
      </c>
      <c r="F179" s="0">
        <f>VLOOKUP(E179,'Tier Params'!$A:$B,2,FALSE)</f>
        <v/>
      </c>
      <c r="G179" s="0">
        <f>VLOOKUP(E179,'Tier Params'!$A:$C,3,FALSE)</f>
        <v/>
      </c>
      <c r="H179" s="0">
        <f>CEILING(D179/G179,1)</f>
        <v/>
      </c>
      <c r="I179" s="0">
        <f>H179*F179</f>
        <v/>
      </c>
    </row>
    <row r="180">
      <c r="A180" s="0" t="inlineStr">
        <is>
          <t>'Reference sheet'!N182</t>
        </is>
      </c>
      <c r="B180" s="0" t="inlineStr">
        <is>
          <t>Structure Construction Parts</t>
        </is>
      </c>
      <c r="C180" s="0" t="inlineStr">
        <is>
          <t>Vaccines</t>
        </is>
      </c>
      <c r="D180" s="0" t="n">
        <v>18</v>
      </c>
      <c r="E180" s="0">
        <f>VLOOKUP(C180,'Item Tier Lookup'!$A:$B,2,FALSE)</f>
        <v/>
      </c>
      <c r="F180" s="0">
        <f>VLOOKUP(E180,'Tier Params'!$A:$B,2,FALSE)</f>
        <v/>
      </c>
      <c r="G180" s="0">
        <f>VLOOKUP(E180,'Tier Params'!$A:$C,3,FALSE)</f>
        <v/>
      </c>
      <c r="H180" s="0">
        <f>CEILING(D180/G180,1)</f>
        <v/>
      </c>
      <c r="I180" s="0">
        <f>H180*F180</f>
        <v/>
      </c>
    </row>
    <row r="181">
      <c r="A181" s="0" t="inlineStr">
        <is>
          <t>'Reference sheet'!N183</t>
        </is>
      </c>
      <c r="B181" s="0" t="inlineStr">
        <is>
          <t>Structure Construction Parts</t>
        </is>
      </c>
      <c r="C181" s="0" t="inlineStr">
        <is>
          <t>Livestock</t>
        </is>
      </c>
      <c r="D181" s="0" t="n">
        <v>60</v>
      </c>
      <c r="E181" s="0">
        <f>VLOOKUP(C181,'Item Tier Lookup'!$A:$B,2,FALSE)</f>
        <v/>
      </c>
      <c r="F181" s="0">
        <f>VLOOKUP(E181,'Tier Params'!$A:$B,2,FALSE)</f>
        <v/>
      </c>
      <c r="G181" s="0">
        <f>VLOOKUP(E181,'Tier Params'!$A:$C,3,FALSE)</f>
        <v/>
      </c>
      <c r="H181" s="0">
        <f>CEILING(D181/G181,1)</f>
        <v/>
      </c>
      <c r="I181" s="0">
        <f>H181*F181</f>
        <v/>
      </c>
    </row>
    <row r="182">
      <c r="A182" s="0" t="inlineStr">
        <is>
          <t>'Reference sheet'!N184</t>
        </is>
      </c>
      <c r="B182" s="0" t="inlineStr">
        <is>
          <t>Structure Construction Parts</t>
        </is>
      </c>
      <c r="C182" s="0" t="inlineStr">
        <is>
          <t>Proteins</t>
        </is>
      </c>
      <c r="D182" s="0" t="n">
        <v>480</v>
      </c>
      <c r="E182" s="0">
        <f>VLOOKUP(C182,'Item Tier Lookup'!$A:$B,2,FALSE)</f>
        <v/>
      </c>
      <c r="F182" s="0">
        <f>VLOOKUP(E182,'Tier Params'!$A:$B,2,FALSE)</f>
        <v/>
      </c>
      <c r="G182" s="0">
        <f>VLOOKUP(E182,'Tier Params'!$A:$C,3,FALSE)</f>
        <v/>
      </c>
      <c r="H182" s="0">
        <f>CEILING(D182/G182,1)</f>
        <v/>
      </c>
      <c r="I182" s="0">
        <f>H182*F182</f>
        <v/>
      </c>
    </row>
    <row r="183">
      <c r="A183" s="0" t="inlineStr">
        <is>
          <t>'Reference sheet'!N185</t>
        </is>
      </c>
      <c r="B183" s="0" t="inlineStr">
        <is>
          <t>Structure Construction Parts</t>
        </is>
      </c>
      <c r="C183" s="0" t="inlineStr">
        <is>
          <t>Complex Organisms</t>
        </is>
      </c>
      <c r="D183" s="0" t="n">
        <v>72000</v>
      </c>
      <c r="E183" s="0">
        <f>VLOOKUP(C183,'Item Tier Lookup'!$A:$B,2,FALSE)</f>
        <v/>
      </c>
      <c r="F183" s="0">
        <f>VLOOKUP(E183,'Tier Params'!$A:$B,2,FALSE)</f>
        <v/>
      </c>
      <c r="G183" s="0">
        <f>VLOOKUP(E183,'Tier Params'!$A:$C,3,FALSE)</f>
        <v/>
      </c>
      <c r="H183" s="0">
        <f>CEILING(D183/G183,1)</f>
        <v/>
      </c>
      <c r="I183" s="0">
        <f>H183*F183</f>
        <v/>
      </c>
    </row>
    <row r="184">
      <c r="A184" s="0" t="inlineStr">
        <is>
          <t>'Reference sheet'!N186</t>
        </is>
      </c>
      <c r="B184" s="0" t="inlineStr">
        <is>
          <t>Structure Construction Parts</t>
        </is>
      </c>
      <c r="C184" s="0" t="inlineStr">
        <is>
          <t>Biofuels</t>
        </is>
      </c>
      <c r="D184" s="0" t="n">
        <v>480</v>
      </c>
      <c r="E184" s="0">
        <f>VLOOKUP(C184,'Item Tier Lookup'!$A:$B,2,FALSE)</f>
        <v/>
      </c>
      <c r="F184" s="0">
        <f>VLOOKUP(E184,'Tier Params'!$A:$B,2,FALSE)</f>
        <v/>
      </c>
      <c r="G184" s="0">
        <f>VLOOKUP(E184,'Tier Params'!$A:$C,3,FALSE)</f>
        <v/>
      </c>
      <c r="H184" s="0">
        <f>CEILING(D184/G184,1)</f>
        <v/>
      </c>
      <c r="I184" s="0">
        <f>H184*F184</f>
        <v/>
      </c>
    </row>
    <row r="185">
      <c r="A185" s="0" t="inlineStr">
        <is>
          <t>'Reference sheet'!N187</t>
        </is>
      </c>
      <c r="B185" s="0" t="inlineStr">
        <is>
          <t>Structure Construction Parts</t>
        </is>
      </c>
      <c r="C185" s="0" t="inlineStr">
        <is>
          <t>Carbon Compounds</t>
        </is>
      </c>
      <c r="D185" s="0" t="n">
        <v>72000</v>
      </c>
      <c r="E185" s="0">
        <f>VLOOKUP(C185,'Item Tier Lookup'!$A:$B,2,FALSE)</f>
        <v/>
      </c>
      <c r="F185" s="0">
        <f>VLOOKUP(E185,'Tier Params'!$A:$B,2,FALSE)</f>
        <v/>
      </c>
      <c r="G185" s="0">
        <f>VLOOKUP(E185,'Tier Params'!$A:$C,3,FALSE)</f>
        <v/>
      </c>
      <c r="H185" s="0">
        <f>CEILING(D185/G185,1)</f>
        <v/>
      </c>
      <c r="I185" s="0">
        <f>H185*F185</f>
        <v/>
      </c>
    </row>
    <row r="186">
      <c r="A186" s="0" t="inlineStr">
        <is>
          <t>'Reference sheet'!N188</t>
        </is>
      </c>
      <c r="B186" s="0" t="inlineStr">
        <is>
          <t>Structure Construction Parts</t>
        </is>
      </c>
      <c r="C186" s="0" t="inlineStr">
        <is>
          <t>Viral Agent</t>
        </is>
      </c>
      <c r="D186" s="0" t="n">
        <v>60</v>
      </c>
      <c r="E186" s="0">
        <f>VLOOKUP(C186,'Item Tier Lookup'!$A:$B,2,FALSE)</f>
        <v/>
      </c>
      <c r="F186" s="0">
        <f>VLOOKUP(E186,'Tier Params'!$A:$B,2,FALSE)</f>
        <v/>
      </c>
      <c r="G186" s="0">
        <f>VLOOKUP(E186,'Tier Params'!$A:$C,3,FALSE)</f>
        <v/>
      </c>
      <c r="H186" s="0">
        <f>CEILING(D186/G186,1)</f>
        <v/>
      </c>
      <c r="I186" s="0">
        <f>H186*F186</f>
        <v/>
      </c>
    </row>
    <row r="187">
      <c r="A187" s="0" t="inlineStr">
        <is>
          <t>'Reference sheet'!N189</t>
        </is>
      </c>
      <c r="B187" s="0" t="inlineStr">
        <is>
          <t>Structure Construction Parts</t>
        </is>
      </c>
      <c r="C187" s="0" t="inlineStr">
        <is>
          <t>Bacteria</t>
        </is>
      </c>
      <c r="D187" s="0" t="n">
        <v>480</v>
      </c>
      <c r="E187" s="0">
        <f>VLOOKUP(C187,'Item Tier Lookup'!$A:$B,2,FALSE)</f>
        <v/>
      </c>
      <c r="F187" s="0">
        <f>VLOOKUP(E187,'Tier Params'!$A:$B,2,FALSE)</f>
        <v/>
      </c>
      <c r="G187" s="0">
        <f>VLOOKUP(E187,'Tier Params'!$A:$C,3,FALSE)</f>
        <v/>
      </c>
      <c r="H187" s="0">
        <f>CEILING(D187/G187,1)</f>
        <v/>
      </c>
      <c r="I187" s="0">
        <f>H187*F187</f>
        <v/>
      </c>
    </row>
    <row r="188">
      <c r="A188" s="0" t="inlineStr">
        <is>
          <t>'Reference sheet'!N190</t>
        </is>
      </c>
      <c r="B188" s="0" t="inlineStr">
        <is>
          <t>Structure Construction Parts</t>
        </is>
      </c>
      <c r="C188" s="0" t="inlineStr">
        <is>
          <t>Microorganisms</t>
        </is>
      </c>
      <c r="D188" s="0" t="n">
        <v>72000</v>
      </c>
      <c r="E188" s="0">
        <f>VLOOKUP(C188,'Item Tier Lookup'!$A:$B,2,FALSE)</f>
        <v/>
      </c>
      <c r="F188" s="0">
        <f>VLOOKUP(E188,'Tier Params'!$A:$B,2,FALSE)</f>
        <v/>
      </c>
      <c r="G188" s="0">
        <f>VLOOKUP(E188,'Tier Params'!$A:$C,3,FALSE)</f>
        <v/>
      </c>
      <c r="H188" s="0">
        <f>CEILING(D188/G188,1)</f>
        <v/>
      </c>
      <c r="I188" s="0">
        <f>H188*F188</f>
        <v/>
      </c>
    </row>
    <row r="189">
      <c r="A189" s="0" t="inlineStr">
        <is>
          <t>'Reference sheet'!N191</t>
        </is>
      </c>
      <c r="B189" s="0" t="inlineStr">
        <is>
          <t>Structure Construction Parts</t>
        </is>
      </c>
      <c r="C189" s="0" t="inlineStr">
        <is>
          <t>Biomass</t>
        </is>
      </c>
      <c r="D189" s="0" t="n">
        <v>480</v>
      </c>
      <c r="E189" s="0">
        <f>VLOOKUP(C189,'Item Tier Lookup'!$A:$B,2,FALSE)</f>
        <v/>
      </c>
      <c r="F189" s="0">
        <f>VLOOKUP(E189,'Tier Params'!$A:$B,2,FALSE)</f>
        <v/>
      </c>
      <c r="G189" s="0">
        <f>VLOOKUP(E189,'Tier Params'!$A:$C,3,FALSE)</f>
        <v/>
      </c>
      <c r="H189" s="0">
        <f>CEILING(D189/G189,1)</f>
        <v/>
      </c>
      <c r="I189" s="0">
        <f>H189*F189</f>
        <v/>
      </c>
    </row>
    <row r="190">
      <c r="A190" s="0" t="inlineStr">
        <is>
          <t>'Reference sheet'!N192</t>
        </is>
      </c>
      <c r="B190" s="0" t="inlineStr">
        <is>
          <t>Structure Construction Parts</t>
        </is>
      </c>
      <c r="C190" s="0" t="inlineStr">
        <is>
          <t>Planktic Colonies</t>
        </is>
      </c>
      <c r="D190" s="0" t="n">
        <v>72000</v>
      </c>
      <c r="E190" s="0">
        <f>VLOOKUP(C190,'Item Tier Lookup'!$A:$B,2,FALSE)</f>
        <v/>
      </c>
      <c r="F190" s="0">
        <f>VLOOKUP(E190,'Tier Params'!$A:$B,2,FALSE)</f>
        <v/>
      </c>
      <c r="G190" s="0">
        <f>VLOOKUP(E190,'Tier Params'!$A:$C,3,FALSE)</f>
        <v/>
      </c>
      <c r="H190" s="0">
        <f>CEILING(D190/G190,1)</f>
        <v/>
      </c>
      <c r="I190" s="0">
        <f>H190*F190</f>
        <v/>
      </c>
    </row>
    <row r="191">
      <c r="A191" s="0" t="inlineStr">
        <is>
          <t>'Reference sheet'!N193</t>
        </is>
      </c>
      <c r="B191" s="0" t="inlineStr">
        <is>
          <t>Structure Construction Parts</t>
        </is>
      </c>
      <c r="C191" s="0" t="inlineStr">
        <is>
          <t>Smartfab Units</t>
        </is>
      </c>
      <c r="D191" s="0" t="n">
        <v>18</v>
      </c>
      <c r="E191" s="0">
        <f>VLOOKUP(C191,'Item Tier Lookup'!$A:$B,2,FALSE)</f>
        <v/>
      </c>
      <c r="F191" s="0">
        <f>VLOOKUP(E191,'Tier Params'!$A:$B,2,FALSE)</f>
        <v/>
      </c>
      <c r="G191" s="0">
        <f>VLOOKUP(E191,'Tier Params'!$A:$C,3,FALSE)</f>
        <v/>
      </c>
      <c r="H191" s="0">
        <f>CEILING(D191/G191,1)</f>
        <v/>
      </c>
      <c r="I191" s="0">
        <f>H191*F191</f>
        <v/>
      </c>
    </row>
    <row r="192">
      <c r="A192" s="0" t="inlineStr">
        <is>
          <t>'Reference sheet'!N194</t>
        </is>
      </c>
      <c r="B192" s="0" t="inlineStr">
        <is>
          <t>Structure Construction Parts</t>
        </is>
      </c>
      <c r="C192" s="0" t="inlineStr">
        <is>
          <t>Miniature Electronics</t>
        </is>
      </c>
      <c r="D192" s="0" t="n">
        <v>60</v>
      </c>
      <c r="E192" s="0">
        <f>VLOOKUP(C192,'Item Tier Lookup'!$A:$B,2,FALSE)</f>
        <v/>
      </c>
      <c r="F192" s="0">
        <f>VLOOKUP(E192,'Tier Params'!$A:$B,2,FALSE)</f>
        <v/>
      </c>
      <c r="G192" s="0">
        <f>VLOOKUP(E192,'Tier Params'!$A:$C,3,FALSE)</f>
        <v/>
      </c>
      <c r="H192" s="0">
        <f>CEILING(D192/G192,1)</f>
        <v/>
      </c>
      <c r="I192" s="0">
        <f>H192*F192</f>
        <v/>
      </c>
    </row>
    <row r="193">
      <c r="A193" s="0" t="inlineStr">
        <is>
          <t>'Reference sheet'!N195</t>
        </is>
      </c>
      <c r="B193" s="0" t="inlineStr">
        <is>
          <t>Structure Construction Parts</t>
        </is>
      </c>
      <c r="C193" s="0" t="inlineStr">
        <is>
          <t>Chiral Structures</t>
        </is>
      </c>
      <c r="D193" s="0" t="n">
        <v>480</v>
      </c>
      <c r="E193" s="0">
        <f>VLOOKUP(C193,'Item Tier Lookup'!$A:$B,2,FALSE)</f>
        <v/>
      </c>
      <c r="F193" s="0">
        <f>VLOOKUP(E193,'Tier Params'!$A:$B,2,FALSE)</f>
        <v/>
      </c>
      <c r="G193" s="0">
        <f>VLOOKUP(E193,'Tier Params'!$A:$C,3,FALSE)</f>
        <v/>
      </c>
      <c r="H193" s="0">
        <f>CEILING(D193/G193,1)</f>
        <v/>
      </c>
      <c r="I193" s="0">
        <f>H193*F193</f>
        <v/>
      </c>
    </row>
    <row r="194">
      <c r="A194" s="0" t="inlineStr">
        <is>
          <t>'Reference sheet'!N196</t>
        </is>
      </c>
      <c r="B194" s="0" t="inlineStr">
        <is>
          <t>Structure Construction Parts</t>
        </is>
      </c>
      <c r="C194" s="0" t="inlineStr">
        <is>
          <t>Non-CS Crystals</t>
        </is>
      </c>
      <c r="D194" s="0" t="n">
        <v>72000</v>
      </c>
      <c r="E194" s="0">
        <f>VLOOKUP(C194,'Item Tier Lookup'!$A:$B,2,FALSE)</f>
        <v/>
      </c>
      <c r="F194" s="0">
        <f>VLOOKUP(E194,'Tier Params'!$A:$B,2,FALSE)</f>
        <v/>
      </c>
      <c r="G194" s="0">
        <f>VLOOKUP(E194,'Tier Params'!$A:$C,3,FALSE)</f>
        <v/>
      </c>
      <c r="H194" s="0">
        <f>CEILING(D194/G194,1)</f>
        <v/>
      </c>
      <c r="I194" s="0">
        <f>H194*F194</f>
        <v/>
      </c>
    </row>
    <row r="195">
      <c r="A195" s="0" t="inlineStr">
        <is>
          <t>'Reference sheet'!N197</t>
        </is>
      </c>
      <c r="B195" s="0" t="inlineStr">
        <is>
          <t>Structure Construction Parts</t>
        </is>
      </c>
      <c r="C195" s="0" t="inlineStr">
        <is>
          <t>Silicon</t>
        </is>
      </c>
      <c r="D195" s="0" t="n">
        <v>480</v>
      </c>
      <c r="E195" s="0">
        <f>VLOOKUP(C195,'Item Tier Lookup'!$A:$B,2,FALSE)</f>
        <v/>
      </c>
      <c r="F195" s="0">
        <f>VLOOKUP(E195,'Tier Params'!$A:$B,2,FALSE)</f>
        <v/>
      </c>
      <c r="G195" s="0">
        <f>VLOOKUP(E195,'Tier Params'!$A:$C,3,FALSE)</f>
        <v/>
      </c>
      <c r="H195" s="0">
        <f>CEILING(D195/G195,1)</f>
        <v/>
      </c>
      <c r="I195" s="0">
        <f>H195*F195</f>
        <v/>
      </c>
    </row>
    <row r="196">
      <c r="A196" s="0" t="inlineStr">
        <is>
          <t>'Reference sheet'!N198</t>
        </is>
      </c>
      <c r="B196" s="0" t="inlineStr">
        <is>
          <t>Structure Construction Parts</t>
        </is>
      </c>
      <c r="C196" s="0" t="inlineStr">
        <is>
          <t>Felsic Magma</t>
        </is>
      </c>
      <c r="D196" s="0" t="n">
        <v>72000</v>
      </c>
      <c r="E196" s="0">
        <f>VLOOKUP(C196,'Item Tier Lookup'!$A:$B,2,FALSE)</f>
        <v/>
      </c>
      <c r="F196" s="0">
        <f>VLOOKUP(E196,'Tier Params'!$A:$B,2,FALSE)</f>
        <v/>
      </c>
      <c r="G196" s="0">
        <f>VLOOKUP(E196,'Tier Params'!$A:$C,3,FALSE)</f>
        <v/>
      </c>
      <c r="H196" s="0">
        <f>CEILING(D196/G196,1)</f>
        <v/>
      </c>
      <c r="I196" s="0">
        <f>H196*F196</f>
        <v/>
      </c>
    </row>
    <row r="197">
      <c r="A197" s="0" t="inlineStr">
        <is>
          <t>'Reference sheet'!N199</t>
        </is>
      </c>
      <c r="B197" s="0" t="inlineStr">
        <is>
          <t>Structure Construction Parts</t>
        </is>
      </c>
      <c r="C197" s="0" t="inlineStr">
        <is>
          <t>Construction Blocks</t>
        </is>
      </c>
      <c r="D197" s="0" t="n">
        <v>60</v>
      </c>
      <c r="E197" s="0">
        <f>VLOOKUP(C197,'Item Tier Lookup'!$A:$B,2,FALSE)</f>
        <v/>
      </c>
      <c r="F197" s="0">
        <f>VLOOKUP(E197,'Tier Params'!$A:$B,2,FALSE)</f>
        <v/>
      </c>
      <c r="G197" s="0">
        <f>VLOOKUP(E197,'Tier Params'!$A:$C,3,FALSE)</f>
        <v/>
      </c>
      <c r="H197" s="0">
        <f>CEILING(D197/G197,1)</f>
        <v/>
      </c>
      <c r="I197" s="0">
        <f>H197*F197</f>
        <v/>
      </c>
    </row>
    <row r="198">
      <c r="A198" s="0" t="inlineStr">
        <is>
          <t>'Reference sheet'!N200</t>
        </is>
      </c>
      <c r="B198" s="0" t="inlineStr">
        <is>
          <t>Structure Construction Parts</t>
        </is>
      </c>
      <c r="C198" s="0" t="inlineStr">
        <is>
          <t>Toxic Metals</t>
        </is>
      </c>
      <c r="D198" s="0" t="n">
        <v>480</v>
      </c>
      <c r="E198" s="0">
        <f>VLOOKUP(C198,'Item Tier Lookup'!$A:$B,2,FALSE)</f>
        <v/>
      </c>
      <c r="F198" s="0">
        <f>VLOOKUP(E198,'Tier Params'!$A:$B,2,FALSE)</f>
        <v/>
      </c>
      <c r="G198" s="0">
        <f>VLOOKUP(E198,'Tier Params'!$A:$C,3,FALSE)</f>
        <v/>
      </c>
      <c r="H198" s="0">
        <f>CEILING(D198/G198,1)</f>
        <v/>
      </c>
      <c r="I198" s="0">
        <f>H198*F198</f>
        <v/>
      </c>
    </row>
    <row r="199">
      <c r="A199" s="0" t="inlineStr">
        <is>
          <t>'Reference sheet'!N201</t>
        </is>
      </c>
      <c r="B199" s="0" t="inlineStr">
        <is>
          <t>Structure Construction Parts</t>
        </is>
      </c>
      <c r="C199" s="0" t="inlineStr">
        <is>
          <t>Heavy Metals</t>
        </is>
      </c>
      <c r="D199" s="0" t="n">
        <v>72000</v>
      </c>
      <c r="E199" s="0">
        <f>VLOOKUP(C199,'Item Tier Lookup'!$A:$B,2,FALSE)</f>
        <v/>
      </c>
      <c r="F199" s="0">
        <f>VLOOKUP(E199,'Tier Params'!$A:$B,2,FALSE)</f>
        <v/>
      </c>
      <c r="G199" s="0">
        <f>VLOOKUP(E199,'Tier Params'!$A:$C,3,FALSE)</f>
        <v/>
      </c>
      <c r="H199" s="0">
        <f>CEILING(D199/G199,1)</f>
        <v/>
      </c>
      <c r="I199" s="0">
        <f>H199*F199</f>
        <v/>
      </c>
    </row>
    <row r="200">
      <c r="A200" s="0" t="inlineStr">
        <is>
          <t>'Reference sheet'!N202</t>
        </is>
      </c>
      <c r="B200" s="0" t="inlineStr">
        <is>
          <t>Structure Construction Parts</t>
        </is>
      </c>
      <c r="C200" s="0" t="inlineStr">
        <is>
          <t>Reactive Metals</t>
        </is>
      </c>
      <c r="D200" s="0" t="n">
        <v>480</v>
      </c>
      <c r="E200" s="0">
        <f>VLOOKUP(C200,'Item Tier Lookup'!$A:$B,2,FALSE)</f>
        <v/>
      </c>
      <c r="F200" s="0">
        <f>VLOOKUP(E200,'Tier Params'!$A:$B,2,FALSE)</f>
        <v/>
      </c>
      <c r="G200" s="0">
        <f>VLOOKUP(E200,'Tier Params'!$A:$C,3,FALSE)</f>
        <v/>
      </c>
      <c r="H200" s="0">
        <f>CEILING(D200/G200,1)</f>
        <v/>
      </c>
      <c r="I200" s="0">
        <f>H200*F200</f>
        <v/>
      </c>
    </row>
    <row r="201">
      <c r="A201" s="0" t="inlineStr">
        <is>
          <t>'Reference sheet'!N203</t>
        </is>
      </c>
      <c r="B201" s="0" t="inlineStr">
        <is>
          <t>Structure Construction Parts</t>
        </is>
      </c>
      <c r="C201" s="0" t="inlineStr">
        <is>
          <t>Base Metals</t>
        </is>
      </c>
      <c r="D201" s="0" t="n">
        <v>72000</v>
      </c>
      <c r="E201" s="0">
        <f>VLOOKUP(C201,'Item Tier Lookup'!$A:$B,2,FALSE)</f>
        <v/>
      </c>
      <c r="F201" s="0">
        <f>VLOOKUP(E201,'Tier Params'!$A:$B,2,FALSE)</f>
        <v/>
      </c>
      <c r="G201" s="0">
        <f>VLOOKUP(E201,'Tier Params'!$A:$C,3,FALSE)</f>
        <v/>
      </c>
      <c r="H201" s="0">
        <f>CEILING(D201/G201,1)</f>
        <v/>
      </c>
      <c r="I201" s="0">
        <f>H201*F201</f>
        <v/>
      </c>
    </row>
    <row r="202">
      <c r="A202" s="0" t="inlineStr">
        <is>
          <t>'Reference sheet'!N204</t>
        </is>
      </c>
      <c r="B202" s="0" t="inlineStr">
        <is>
          <t>Structure Hangar Array</t>
        </is>
      </c>
      <c r="C202" s="0" t="inlineStr">
        <is>
          <t>Structure Hangar Array</t>
        </is>
      </c>
      <c r="D202" s="0" t="n">
        <v>1</v>
      </c>
      <c r="E202" s="0">
        <f>VLOOKUP(C202,'Item Tier Lookup'!$A:$B,2,FALSE)</f>
        <v/>
      </c>
      <c r="F202" s="0">
        <f>VLOOKUP(E202,'Tier Params'!$A:$B,2,FALSE)</f>
        <v/>
      </c>
      <c r="G202" s="0">
        <f>VLOOKUP(E202,'Tier Params'!$A:$C,3,FALSE)</f>
        <v/>
      </c>
      <c r="H202" s="0">
        <f>CEILING(D202/G202,1)</f>
        <v/>
      </c>
      <c r="I202" s="0">
        <f>H202*F202</f>
        <v/>
      </c>
    </row>
    <row r="203">
      <c r="A203" s="0" t="inlineStr">
        <is>
          <t>'Reference sheet'!N205</t>
        </is>
      </c>
      <c r="B203" s="0" t="inlineStr">
        <is>
          <t>Structure Hangar Array</t>
        </is>
      </c>
      <c r="C203" s="0" t="inlineStr">
        <is>
          <t>Tritanium</t>
        </is>
      </c>
      <c r="D203" s="0" t="n">
        <v>450000</v>
      </c>
      <c r="E203" s="0">
        <f>VLOOKUP(C203,'Item Tier Lookup'!$A:$B,2,FALSE)</f>
        <v/>
      </c>
      <c r="F203" s="0">
        <f>VLOOKUP(E203,'Tier Params'!$A:$B,2,FALSE)</f>
        <v/>
      </c>
      <c r="G203" s="0">
        <f>VLOOKUP(E203,'Tier Params'!$A:$C,3,FALSE)</f>
        <v/>
      </c>
      <c r="H203" s="0">
        <f>CEILING(D203/G203,1)</f>
        <v/>
      </c>
      <c r="I203" s="0">
        <f>H203*F203</f>
        <v/>
      </c>
    </row>
    <row r="204">
      <c r="A204" s="0" t="inlineStr">
        <is>
          <t>'Reference sheet'!N206</t>
        </is>
      </c>
      <c r="B204" s="0" t="inlineStr">
        <is>
          <t>Structure Hangar Array</t>
        </is>
      </c>
      <c r="C204" s="0" t="inlineStr">
        <is>
          <t>Pyerite</t>
        </is>
      </c>
      <c r="D204" s="0" t="n">
        <v>90000</v>
      </c>
      <c r="E204" s="0">
        <f>VLOOKUP(C204,'Item Tier Lookup'!$A:$B,2,FALSE)</f>
        <v/>
      </c>
      <c r="F204" s="0">
        <f>VLOOKUP(E204,'Tier Params'!$A:$B,2,FALSE)</f>
        <v/>
      </c>
      <c r="G204" s="0">
        <f>VLOOKUP(E204,'Tier Params'!$A:$C,3,FALSE)</f>
        <v/>
      </c>
      <c r="H204" s="0">
        <f>CEILING(D204/G204,1)</f>
        <v/>
      </c>
      <c r="I204" s="0">
        <f>H204*F204</f>
        <v/>
      </c>
    </row>
    <row r="205">
      <c r="A205" s="0" t="inlineStr">
        <is>
          <t>'Reference sheet'!N207</t>
        </is>
      </c>
      <c r="B205" s="0" t="inlineStr">
        <is>
          <t>Structure Hangar Array</t>
        </is>
      </c>
      <c r="C205" s="0" t="inlineStr">
        <is>
          <t>Mexallon</t>
        </is>
      </c>
      <c r="D205" s="0" t="n">
        <v>31500</v>
      </c>
      <c r="E205" s="0">
        <f>VLOOKUP(C205,'Item Tier Lookup'!$A:$B,2,FALSE)</f>
        <v/>
      </c>
      <c r="F205" s="0">
        <f>VLOOKUP(E205,'Tier Params'!$A:$B,2,FALSE)</f>
        <v/>
      </c>
      <c r="G205" s="0">
        <f>VLOOKUP(E205,'Tier Params'!$A:$C,3,FALSE)</f>
        <v/>
      </c>
      <c r="H205" s="0">
        <f>CEILING(D205/G205,1)</f>
        <v/>
      </c>
      <c r="I205" s="0">
        <f>H205*F205</f>
        <v/>
      </c>
    </row>
    <row r="206">
      <c r="A206" s="0" t="inlineStr">
        <is>
          <t>'Reference sheet'!N208</t>
        </is>
      </c>
      <c r="B206" s="0" t="inlineStr">
        <is>
          <t>Structure Hangar Array</t>
        </is>
      </c>
      <c r="C206" s="0" t="inlineStr">
        <is>
          <t>Isogen</t>
        </is>
      </c>
      <c r="D206" s="0" t="n">
        <v>3600</v>
      </c>
      <c r="E206" s="0">
        <f>VLOOKUP(C206,'Item Tier Lookup'!$A:$B,2,FALSE)</f>
        <v/>
      </c>
      <c r="F206" s="0">
        <f>VLOOKUP(E206,'Tier Params'!$A:$B,2,FALSE)</f>
        <v/>
      </c>
      <c r="G206" s="0">
        <f>VLOOKUP(E206,'Tier Params'!$A:$C,3,FALSE)</f>
        <v/>
      </c>
      <c r="H206" s="0">
        <f>CEILING(D206/G206,1)</f>
        <v/>
      </c>
      <c r="I206" s="0">
        <f>H206*F206</f>
        <v/>
      </c>
    </row>
    <row r="207">
      <c r="A207" s="0" t="inlineStr">
        <is>
          <t>'Reference sheet'!N209</t>
        </is>
      </c>
      <c r="B207" s="0" t="inlineStr">
        <is>
          <t>Structure Hangar Array</t>
        </is>
      </c>
      <c r="C207" s="0" t="inlineStr">
        <is>
          <t>Nocxium</t>
        </is>
      </c>
      <c r="D207" s="0" t="n">
        <v>675</v>
      </c>
      <c r="E207" s="0">
        <f>VLOOKUP(C207,'Item Tier Lookup'!$A:$B,2,FALSE)</f>
        <v/>
      </c>
      <c r="F207" s="0">
        <f>VLOOKUP(E207,'Tier Params'!$A:$B,2,FALSE)</f>
        <v/>
      </c>
      <c r="G207" s="0">
        <f>VLOOKUP(E207,'Tier Params'!$A:$C,3,FALSE)</f>
        <v/>
      </c>
      <c r="H207" s="0">
        <f>CEILING(D207/G207,1)</f>
        <v/>
      </c>
      <c r="I207" s="0">
        <f>H207*F207</f>
        <v/>
      </c>
    </row>
    <row r="208">
      <c r="A208" s="0" t="inlineStr">
        <is>
          <t>'Reference sheet'!N210</t>
        </is>
      </c>
      <c r="B208" s="0" t="inlineStr">
        <is>
          <t>Structure Hangar Array</t>
        </is>
      </c>
      <c r="C208" s="0" t="inlineStr">
        <is>
          <t>Zydrine</t>
        </is>
      </c>
      <c r="D208" s="0" t="n">
        <v>315</v>
      </c>
      <c r="E208" s="0">
        <f>VLOOKUP(C208,'Item Tier Lookup'!$A:$B,2,FALSE)</f>
        <v/>
      </c>
      <c r="F208" s="0">
        <f>VLOOKUP(E208,'Tier Params'!$A:$B,2,FALSE)</f>
        <v/>
      </c>
      <c r="G208" s="0">
        <f>VLOOKUP(E208,'Tier Params'!$A:$C,3,FALSE)</f>
        <v/>
      </c>
      <c r="H208" s="0">
        <f>CEILING(D208/G208,1)</f>
        <v/>
      </c>
      <c r="I208" s="0">
        <f>H208*F208</f>
        <v/>
      </c>
    </row>
    <row r="209">
      <c r="A209" s="0" t="inlineStr">
        <is>
          <t>'Reference sheet'!N211</t>
        </is>
      </c>
      <c r="B209" s="0" t="inlineStr">
        <is>
          <t>Structure Hangar Array</t>
        </is>
      </c>
      <c r="C209" s="0" t="inlineStr">
        <is>
          <t>Megacyte</t>
        </is>
      </c>
      <c r="D209" s="0" t="n">
        <v>135</v>
      </c>
      <c r="E209" s="0">
        <f>VLOOKUP(C209,'Item Tier Lookup'!$A:$B,2,FALSE)</f>
        <v/>
      </c>
      <c r="F209" s="0">
        <f>VLOOKUP(E209,'Tier Params'!$A:$B,2,FALSE)</f>
        <v/>
      </c>
      <c r="G209" s="0">
        <f>VLOOKUP(E209,'Tier Params'!$A:$C,3,FALSE)</f>
        <v/>
      </c>
      <c r="H209" s="0">
        <f>CEILING(D209/G209,1)</f>
        <v/>
      </c>
      <c r="I209" s="0">
        <f>H209*F209</f>
        <v/>
      </c>
    </row>
    <row r="210">
      <c r="A210" s="0" t="inlineStr">
        <is>
          <t>'Reference sheet'!N212</t>
        </is>
      </c>
      <c r="B210" s="0" t="inlineStr">
        <is>
          <t>Structure Hangar Array</t>
        </is>
      </c>
      <c r="C210" s="0" t="inlineStr">
        <is>
          <t>Broadcast Node</t>
        </is>
      </c>
      <c r="D210" s="0" t="n">
        <v>3</v>
      </c>
      <c r="E210" s="0">
        <f>VLOOKUP(C210,'Item Tier Lookup'!$A:$B,2,FALSE)</f>
        <v/>
      </c>
      <c r="F210" s="0">
        <f>VLOOKUP(E210,'Tier Params'!$A:$B,2,FALSE)</f>
        <v/>
      </c>
      <c r="G210" s="0">
        <f>VLOOKUP(E210,'Tier Params'!$A:$C,3,FALSE)</f>
        <v/>
      </c>
      <c r="H210" s="0">
        <f>CEILING(D210/G210,1)</f>
        <v/>
      </c>
      <c r="I210" s="0">
        <f>H210*F210</f>
        <v/>
      </c>
    </row>
    <row r="211">
      <c r="A211" s="0" t="inlineStr">
        <is>
          <t>'Reference sheet'!N213</t>
        </is>
      </c>
      <c r="B211" s="0" t="inlineStr">
        <is>
          <t>Structure Hangar Array</t>
        </is>
      </c>
      <c r="C211" s="0" t="inlineStr">
        <is>
          <t>Data Chips</t>
        </is>
      </c>
      <c r="D211" s="0" t="n">
        <v>18</v>
      </c>
      <c r="E211" s="0">
        <f>VLOOKUP(C211,'Item Tier Lookup'!$A:$B,2,FALSE)</f>
        <v/>
      </c>
      <c r="F211" s="0">
        <f>VLOOKUP(E211,'Tier Params'!$A:$B,2,FALSE)</f>
        <v/>
      </c>
      <c r="G211" s="0">
        <f>VLOOKUP(E211,'Tier Params'!$A:$C,3,FALSE)</f>
        <v/>
      </c>
      <c r="H211" s="0">
        <f>CEILING(D211/G211,1)</f>
        <v/>
      </c>
      <c r="I211" s="0">
        <f>H211*F211</f>
        <v/>
      </c>
    </row>
    <row r="212">
      <c r="A212" s="0" t="inlineStr">
        <is>
          <t>'Reference sheet'!N214</t>
        </is>
      </c>
      <c r="B212" s="0" t="inlineStr">
        <is>
          <t>Structure Hangar Array</t>
        </is>
      </c>
      <c r="C212" s="0" t="inlineStr">
        <is>
          <t>Supertensile Plastics</t>
        </is>
      </c>
      <c r="D212" s="0" t="n">
        <v>60</v>
      </c>
      <c r="E212" s="0">
        <f>VLOOKUP(C212,'Item Tier Lookup'!$A:$B,2,FALSE)</f>
        <v/>
      </c>
      <c r="F212" s="0">
        <f>VLOOKUP(E212,'Tier Params'!$A:$B,2,FALSE)</f>
        <v/>
      </c>
      <c r="G212" s="0">
        <f>VLOOKUP(E212,'Tier Params'!$A:$C,3,FALSE)</f>
        <v/>
      </c>
      <c r="H212" s="0">
        <f>CEILING(D212/G212,1)</f>
        <v/>
      </c>
      <c r="I212" s="0">
        <f>H212*F212</f>
        <v/>
      </c>
    </row>
    <row r="213">
      <c r="A213" s="0" t="inlineStr">
        <is>
          <t>'Reference sheet'!N215</t>
        </is>
      </c>
      <c r="B213" s="0" t="inlineStr">
        <is>
          <t>Structure Hangar Array</t>
        </is>
      </c>
      <c r="C213" s="0" t="inlineStr">
        <is>
          <t>Oxygen</t>
        </is>
      </c>
      <c r="D213" s="0" t="n">
        <v>480</v>
      </c>
      <c r="E213" s="0">
        <f>VLOOKUP(C213,'Item Tier Lookup'!$A:$B,2,FALSE)</f>
        <v/>
      </c>
      <c r="F213" s="0">
        <f>VLOOKUP(E213,'Tier Params'!$A:$B,2,FALSE)</f>
        <v/>
      </c>
      <c r="G213" s="0">
        <f>VLOOKUP(E213,'Tier Params'!$A:$C,3,FALSE)</f>
        <v/>
      </c>
      <c r="H213" s="0">
        <f>CEILING(D213/G213,1)</f>
        <v/>
      </c>
      <c r="I213" s="0">
        <f>H213*F213</f>
        <v/>
      </c>
    </row>
    <row r="214">
      <c r="A214" s="0" t="inlineStr">
        <is>
          <t>'Reference sheet'!N216</t>
        </is>
      </c>
      <c r="B214" s="0" t="inlineStr">
        <is>
          <t>Structure Hangar Array</t>
        </is>
      </c>
      <c r="C214" s="0" t="inlineStr">
        <is>
          <t>Noble Gas</t>
        </is>
      </c>
      <c r="D214" s="0" t="n">
        <v>72000</v>
      </c>
      <c r="E214" s="0">
        <f>VLOOKUP(C214,'Item Tier Lookup'!$A:$B,2,FALSE)</f>
        <v/>
      </c>
      <c r="F214" s="0">
        <f>VLOOKUP(E214,'Tier Params'!$A:$B,2,FALSE)</f>
        <v/>
      </c>
      <c r="G214" s="0">
        <f>VLOOKUP(E214,'Tier Params'!$A:$C,3,FALSE)</f>
        <v/>
      </c>
      <c r="H214" s="0">
        <f>CEILING(D214/G214,1)</f>
        <v/>
      </c>
      <c r="I214" s="0">
        <f>H214*F214</f>
        <v/>
      </c>
    </row>
    <row r="215">
      <c r="A215" s="0" t="inlineStr">
        <is>
          <t>'Reference sheet'!N217</t>
        </is>
      </c>
      <c r="B215" s="0" t="inlineStr">
        <is>
          <t>Structure Hangar Array</t>
        </is>
      </c>
      <c r="C215" s="0" t="inlineStr">
        <is>
          <t>Biomass</t>
        </is>
      </c>
      <c r="D215" s="0" t="n">
        <v>480</v>
      </c>
      <c r="E215" s="0">
        <f>VLOOKUP(C215,'Item Tier Lookup'!$A:$B,2,FALSE)</f>
        <v/>
      </c>
      <c r="F215" s="0">
        <f>VLOOKUP(E215,'Tier Params'!$A:$B,2,FALSE)</f>
        <v/>
      </c>
      <c r="G215" s="0">
        <f>VLOOKUP(E215,'Tier Params'!$A:$C,3,FALSE)</f>
        <v/>
      </c>
      <c r="H215" s="0">
        <f>CEILING(D215/G215,1)</f>
        <v/>
      </c>
      <c r="I215" s="0">
        <f>H215*F215</f>
        <v/>
      </c>
    </row>
    <row r="216">
      <c r="A216" s="0" t="inlineStr">
        <is>
          <t>'Reference sheet'!N218</t>
        </is>
      </c>
      <c r="B216" s="0" t="inlineStr">
        <is>
          <t>Structure Hangar Array</t>
        </is>
      </c>
      <c r="C216" s="0" t="inlineStr">
        <is>
          <t>Planktic Colonies</t>
        </is>
      </c>
      <c r="D216" s="0" t="n">
        <v>72000</v>
      </c>
      <c r="E216" s="0">
        <f>VLOOKUP(C216,'Item Tier Lookup'!$A:$B,2,FALSE)</f>
        <v/>
      </c>
      <c r="F216" s="0">
        <f>VLOOKUP(E216,'Tier Params'!$A:$B,2,FALSE)</f>
        <v/>
      </c>
      <c r="G216" s="0">
        <f>VLOOKUP(E216,'Tier Params'!$A:$C,3,FALSE)</f>
        <v/>
      </c>
      <c r="H216" s="0">
        <f>CEILING(D216/G216,1)</f>
        <v/>
      </c>
      <c r="I216" s="0">
        <f>H216*F216</f>
        <v/>
      </c>
    </row>
    <row r="217">
      <c r="A217" s="0" t="inlineStr">
        <is>
          <t>'Reference sheet'!N219</t>
        </is>
      </c>
      <c r="B217" s="0" t="inlineStr">
        <is>
          <t>Structure Hangar Array</t>
        </is>
      </c>
      <c r="C217" s="0" t="inlineStr">
        <is>
          <t>Microfiber Shielding</t>
        </is>
      </c>
      <c r="D217" s="0" t="n">
        <v>60</v>
      </c>
      <c r="E217" s="0">
        <f>VLOOKUP(C217,'Item Tier Lookup'!$A:$B,2,FALSE)</f>
        <v/>
      </c>
      <c r="F217" s="0">
        <f>VLOOKUP(E217,'Tier Params'!$A:$B,2,FALSE)</f>
        <v/>
      </c>
      <c r="G217" s="0">
        <f>VLOOKUP(E217,'Tier Params'!$A:$C,3,FALSE)</f>
        <v/>
      </c>
      <c r="H217" s="0">
        <f>CEILING(D217/G217,1)</f>
        <v/>
      </c>
      <c r="I217" s="0">
        <f>H217*F217</f>
        <v/>
      </c>
    </row>
    <row r="218">
      <c r="A218" s="0" t="inlineStr">
        <is>
          <t>'Reference sheet'!N220</t>
        </is>
      </c>
      <c r="B218" s="0" t="inlineStr">
        <is>
          <t>Structure Hangar Array</t>
        </is>
      </c>
      <c r="C218" s="0" t="inlineStr">
        <is>
          <t>Silicon</t>
        </is>
      </c>
      <c r="D218" s="0" t="n">
        <v>480</v>
      </c>
      <c r="E218" s="0">
        <f>VLOOKUP(C218,'Item Tier Lookup'!$A:$B,2,FALSE)</f>
        <v/>
      </c>
      <c r="F218" s="0">
        <f>VLOOKUP(E218,'Tier Params'!$A:$B,2,FALSE)</f>
        <v/>
      </c>
      <c r="G218" s="0">
        <f>VLOOKUP(E218,'Tier Params'!$A:$C,3,FALSE)</f>
        <v/>
      </c>
      <c r="H218" s="0">
        <f>CEILING(D218/G218,1)</f>
        <v/>
      </c>
      <c r="I218" s="0">
        <f>H218*F218</f>
        <v/>
      </c>
    </row>
    <row r="219">
      <c r="A219" s="0" t="inlineStr">
        <is>
          <t>'Reference sheet'!N221</t>
        </is>
      </c>
      <c r="B219" s="0" t="inlineStr">
        <is>
          <t>Structure Hangar Array</t>
        </is>
      </c>
      <c r="C219" s="0" t="inlineStr">
        <is>
          <t>Felsic Magma</t>
        </is>
      </c>
      <c r="D219" s="0" t="n">
        <v>72000</v>
      </c>
      <c r="E219" s="0">
        <f>VLOOKUP(C219,'Item Tier Lookup'!$A:$B,2,FALSE)</f>
        <v/>
      </c>
      <c r="F219" s="0">
        <f>VLOOKUP(E219,'Tier Params'!$A:$B,2,FALSE)</f>
        <v/>
      </c>
      <c r="G219" s="0">
        <f>VLOOKUP(E219,'Tier Params'!$A:$C,3,FALSE)</f>
        <v/>
      </c>
      <c r="H219" s="0">
        <f>CEILING(D219/G219,1)</f>
        <v/>
      </c>
      <c r="I219" s="0">
        <f>H219*F219</f>
        <v/>
      </c>
    </row>
    <row r="220">
      <c r="A220" s="0" t="inlineStr">
        <is>
          <t>'Reference sheet'!N222</t>
        </is>
      </c>
      <c r="B220" s="0" t="inlineStr">
        <is>
          <t>Structure Hangar Array</t>
        </is>
      </c>
      <c r="C220" s="0" t="inlineStr">
        <is>
          <t>Industrial Fibers</t>
        </is>
      </c>
      <c r="D220" s="0" t="n">
        <v>480</v>
      </c>
      <c r="E220" s="0">
        <f>VLOOKUP(C220,'Item Tier Lookup'!$A:$B,2,FALSE)</f>
        <v/>
      </c>
      <c r="F220" s="0">
        <f>VLOOKUP(E220,'Tier Params'!$A:$B,2,FALSE)</f>
        <v/>
      </c>
      <c r="G220" s="0">
        <f>VLOOKUP(E220,'Tier Params'!$A:$C,3,FALSE)</f>
        <v/>
      </c>
      <c r="H220" s="0">
        <f>CEILING(D220/G220,1)</f>
        <v/>
      </c>
      <c r="I220" s="0">
        <f>H220*F220</f>
        <v/>
      </c>
    </row>
    <row r="221">
      <c r="A221" s="0" t="inlineStr">
        <is>
          <t>'Reference sheet'!N223</t>
        </is>
      </c>
      <c r="B221" s="0" t="inlineStr">
        <is>
          <t>Structure Hangar Array</t>
        </is>
      </c>
      <c r="C221" s="0" t="inlineStr">
        <is>
          <t>Autotrophs</t>
        </is>
      </c>
      <c r="D221" s="0" t="n">
        <v>72000</v>
      </c>
      <c r="E221" s="0">
        <f>VLOOKUP(C221,'Item Tier Lookup'!$A:$B,2,FALSE)</f>
        <v/>
      </c>
      <c r="F221" s="0">
        <f>VLOOKUP(E221,'Tier Params'!$A:$B,2,FALSE)</f>
        <v/>
      </c>
      <c r="G221" s="0">
        <f>VLOOKUP(E221,'Tier Params'!$A:$C,3,FALSE)</f>
        <v/>
      </c>
      <c r="H221" s="0">
        <f>CEILING(D221/G221,1)</f>
        <v/>
      </c>
      <c r="I221" s="0">
        <f>H221*F221</f>
        <v/>
      </c>
    </row>
    <row r="222">
      <c r="A222" s="0" t="inlineStr">
        <is>
          <t>'Reference sheet'!N224</t>
        </is>
      </c>
      <c r="B222" s="0" t="inlineStr">
        <is>
          <t>Structure Hangar Array</t>
        </is>
      </c>
      <c r="C222" s="0" t="inlineStr">
        <is>
          <t>Neocoms</t>
        </is>
      </c>
      <c r="D222" s="0" t="n">
        <v>18</v>
      </c>
      <c r="E222" s="0">
        <f>VLOOKUP(C222,'Item Tier Lookup'!$A:$B,2,FALSE)</f>
        <v/>
      </c>
      <c r="F222" s="0">
        <f>VLOOKUP(E222,'Tier Params'!$A:$B,2,FALSE)</f>
        <v/>
      </c>
      <c r="G222" s="0">
        <f>VLOOKUP(E222,'Tier Params'!$A:$C,3,FALSE)</f>
        <v/>
      </c>
      <c r="H222" s="0">
        <f>CEILING(D222/G222,1)</f>
        <v/>
      </c>
      <c r="I222" s="0">
        <f>H222*F222</f>
        <v/>
      </c>
    </row>
    <row r="223">
      <c r="A223" s="0" t="inlineStr">
        <is>
          <t>'Reference sheet'!N225</t>
        </is>
      </c>
      <c r="B223" s="0" t="inlineStr">
        <is>
          <t>Structure Hangar Array</t>
        </is>
      </c>
      <c r="C223" s="0" t="inlineStr">
        <is>
          <t>Biocells</t>
        </is>
      </c>
      <c r="D223" s="0" t="n">
        <v>60</v>
      </c>
      <c r="E223" s="0">
        <f>VLOOKUP(C223,'Item Tier Lookup'!$A:$B,2,FALSE)</f>
        <v/>
      </c>
      <c r="F223" s="0">
        <f>VLOOKUP(E223,'Tier Params'!$A:$B,2,FALSE)</f>
        <v/>
      </c>
      <c r="G223" s="0">
        <f>VLOOKUP(E223,'Tier Params'!$A:$C,3,FALSE)</f>
        <v/>
      </c>
      <c r="H223" s="0">
        <f>CEILING(D223/G223,1)</f>
        <v/>
      </c>
      <c r="I223" s="0">
        <f>H223*F223</f>
        <v/>
      </c>
    </row>
    <row r="224">
      <c r="A224" s="0" t="inlineStr">
        <is>
          <t>'Reference sheet'!N226</t>
        </is>
      </c>
      <c r="B224" s="0" t="inlineStr">
        <is>
          <t>Structure Hangar Array</t>
        </is>
      </c>
      <c r="C224" s="0" t="inlineStr">
        <is>
          <t>Biofuels</t>
        </is>
      </c>
      <c r="D224" s="0" t="n">
        <v>480</v>
      </c>
      <c r="E224" s="0">
        <f>VLOOKUP(C224,'Item Tier Lookup'!$A:$B,2,FALSE)</f>
        <v/>
      </c>
      <c r="F224" s="0">
        <f>VLOOKUP(E224,'Tier Params'!$A:$B,2,FALSE)</f>
        <v/>
      </c>
      <c r="G224" s="0">
        <f>VLOOKUP(E224,'Tier Params'!$A:$C,3,FALSE)</f>
        <v/>
      </c>
      <c r="H224" s="0">
        <f>CEILING(D224/G224,1)</f>
        <v/>
      </c>
      <c r="I224" s="0">
        <f>H224*F224</f>
        <v/>
      </c>
    </row>
    <row r="225">
      <c r="A225" s="0" t="inlineStr">
        <is>
          <t>'Reference sheet'!N227</t>
        </is>
      </c>
      <c r="B225" s="0" t="inlineStr">
        <is>
          <t>Structure Hangar Array</t>
        </is>
      </c>
      <c r="C225" s="0" t="inlineStr">
        <is>
          <t>Carbon Compounds</t>
        </is>
      </c>
      <c r="D225" s="0" t="n">
        <v>72000</v>
      </c>
      <c r="E225" s="0">
        <f>VLOOKUP(C225,'Item Tier Lookup'!$A:$B,2,FALSE)</f>
        <v/>
      </c>
      <c r="F225" s="0">
        <f>VLOOKUP(E225,'Tier Params'!$A:$B,2,FALSE)</f>
        <v/>
      </c>
      <c r="G225" s="0">
        <f>VLOOKUP(E225,'Tier Params'!$A:$C,3,FALSE)</f>
        <v/>
      </c>
      <c r="H225" s="0">
        <f>CEILING(D225/G225,1)</f>
        <v/>
      </c>
      <c r="I225" s="0">
        <f>H225*F225</f>
        <v/>
      </c>
    </row>
    <row r="226">
      <c r="A226" s="0" t="inlineStr">
        <is>
          <t>'Reference sheet'!N228</t>
        </is>
      </c>
      <c r="B226" s="0" t="inlineStr">
        <is>
          <t>Structure Hangar Array</t>
        </is>
      </c>
      <c r="C226" s="0" t="inlineStr">
        <is>
          <t>Precious Metals</t>
        </is>
      </c>
      <c r="D226" s="0" t="n">
        <v>480</v>
      </c>
      <c r="E226" s="0">
        <f>VLOOKUP(C226,'Item Tier Lookup'!$A:$B,2,FALSE)</f>
        <v/>
      </c>
      <c r="F226" s="0">
        <f>VLOOKUP(E226,'Tier Params'!$A:$B,2,FALSE)</f>
        <v/>
      </c>
      <c r="G226" s="0">
        <f>VLOOKUP(E226,'Tier Params'!$A:$C,3,FALSE)</f>
        <v/>
      </c>
      <c r="H226" s="0">
        <f>CEILING(D226/G226,1)</f>
        <v/>
      </c>
      <c r="I226" s="0">
        <f>H226*F226</f>
        <v/>
      </c>
    </row>
    <row r="227">
      <c r="A227" s="0" t="inlineStr">
        <is>
          <t>'Reference sheet'!N229</t>
        </is>
      </c>
      <c r="B227" s="0" t="inlineStr">
        <is>
          <t>Structure Hangar Array</t>
        </is>
      </c>
      <c r="C227" s="0" t="inlineStr">
        <is>
          <t>Noble Metals</t>
        </is>
      </c>
      <c r="D227" s="0" t="n">
        <v>72000</v>
      </c>
      <c r="E227" s="0">
        <f>VLOOKUP(C227,'Item Tier Lookup'!$A:$B,2,FALSE)</f>
        <v/>
      </c>
      <c r="F227" s="0">
        <f>VLOOKUP(E227,'Tier Params'!$A:$B,2,FALSE)</f>
        <v/>
      </c>
      <c r="G227" s="0">
        <f>VLOOKUP(E227,'Tier Params'!$A:$C,3,FALSE)</f>
        <v/>
      </c>
      <c r="H227" s="0">
        <f>CEILING(D227/G227,1)</f>
        <v/>
      </c>
      <c r="I227" s="0">
        <f>H227*F227</f>
        <v/>
      </c>
    </row>
    <row r="228">
      <c r="A228" s="0" t="inlineStr">
        <is>
          <t>'Reference sheet'!N230</t>
        </is>
      </c>
      <c r="B228" s="0" t="inlineStr">
        <is>
          <t>Structure Hangar Array</t>
        </is>
      </c>
      <c r="C228" s="0" t="inlineStr">
        <is>
          <t>Silicate Glass</t>
        </is>
      </c>
      <c r="D228" s="0" t="n">
        <v>60</v>
      </c>
      <c r="E228" s="0">
        <f>VLOOKUP(C228,'Item Tier Lookup'!$A:$B,2,FALSE)</f>
        <v/>
      </c>
      <c r="F228" s="0">
        <f>VLOOKUP(E228,'Tier Params'!$A:$B,2,FALSE)</f>
        <v/>
      </c>
      <c r="G228" s="0">
        <f>VLOOKUP(E228,'Tier Params'!$A:$C,3,FALSE)</f>
        <v/>
      </c>
      <c r="H228" s="0">
        <f>CEILING(D228/G228,1)</f>
        <v/>
      </c>
      <c r="I228" s="0">
        <f>H228*F228</f>
        <v/>
      </c>
    </row>
    <row r="229">
      <c r="A229" s="0" t="inlineStr">
        <is>
          <t>'Reference sheet'!N231</t>
        </is>
      </c>
      <c r="B229" s="0" t="inlineStr">
        <is>
          <t>Structure Hangar Array</t>
        </is>
      </c>
      <c r="C229" s="0" t="inlineStr">
        <is>
          <t>Oxidizing Compound</t>
        </is>
      </c>
      <c r="D229" s="0" t="n">
        <v>480</v>
      </c>
      <c r="E229" s="0">
        <f>VLOOKUP(C229,'Item Tier Lookup'!$A:$B,2,FALSE)</f>
        <v/>
      </c>
      <c r="F229" s="0">
        <f>VLOOKUP(E229,'Tier Params'!$A:$B,2,FALSE)</f>
        <v/>
      </c>
      <c r="G229" s="0">
        <f>VLOOKUP(E229,'Tier Params'!$A:$C,3,FALSE)</f>
        <v/>
      </c>
      <c r="H229" s="0">
        <f>CEILING(D229/G229,1)</f>
        <v/>
      </c>
      <c r="I229" s="0">
        <f>H229*F229</f>
        <v/>
      </c>
    </row>
    <row r="230">
      <c r="A230" s="0" t="inlineStr">
        <is>
          <t>'Reference sheet'!N232</t>
        </is>
      </c>
      <c r="B230" s="0" t="inlineStr">
        <is>
          <t>Structure Hangar Array</t>
        </is>
      </c>
      <c r="C230" s="0" t="inlineStr">
        <is>
          <t>Reactive Gas</t>
        </is>
      </c>
      <c r="D230" s="0" t="n">
        <v>72000</v>
      </c>
      <c r="E230" s="0">
        <f>VLOOKUP(C230,'Item Tier Lookup'!$A:$B,2,FALSE)</f>
        <v/>
      </c>
      <c r="F230" s="0">
        <f>VLOOKUP(E230,'Tier Params'!$A:$B,2,FALSE)</f>
        <v/>
      </c>
      <c r="G230" s="0">
        <f>VLOOKUP(E230,'Tier Params'!$A:$C,3,FALSE)</f>
        <v/>
      </c>
      <c r="H230" s="0">
        <f>CEILING(D230/G230,1)</f>
        <v/>
      </c>
      <c r="I230" s="0">
        <f>H230*F230</f>
        <v/>
      </c>
    </row>
    <row r="231">
      <c r="A231" s="0" t="inlineStr">
        <is>
          <t>'Reference sheet'!N233</t>
        </is>
      </c>
      <c r="B231" s="0" t="inlineStr">
        <is>
          <t>Structure Hangar Array</t>
        </is>
      </c>
      <c r="C231" s="0" t="inlineStr">
        <is>
          <t>Silicon</t>
        </is>
      </c>
      <c r="D231" s="0" t="n">
        <v>480</v>
      </c>
      <c r="E231" s="0">
        <f>VLOOKUP(C231,'Item Tier Lookup'!$A:$B,2,FALSE)</f>
        <v/>
      </c>
      <c r="F231" s="0">
        <f>VLOOKUP(E231,'Tier Params'!$A:$B,2,FALSE)</f>
        <v/>
      </c>
      <c r="G231" s="0">
        <f>VLOOKUP(E231,'Tier Params'!$A:$C,3,FALSE)</f>
        <v/>
      </c>
      <c r="H231" s="0">
        <f>CEILING(D231/G231,1)</f>
        <v/>
      </c>
      <c r="I231" s="0">
        <f>H231*F231</f>
        <v/>
      </c>
    </row>
    <row r="232">
      <c r="A232" s="0" t="inlineStr">
        <is>
          <t>'Reference sheet'!N234</t>
        </is>
      </c>
      <c r="B232" s="0" t="inlineStr">
        <is>
          <t>Structure Hangar Array</t>
        </is>
      </c>
      <c r="C232" s="0" t="inlineStr">
        <is>
          <t>Felsic Magma</t>
        </is>
      </c>
      <c r="D232" s="0" t="n">
        <v>72000</v>
      </c>
      <c r="E232" s="0">
        <f>VLOOKUP(C232,'Item Tier Lookup'!$A:$B,2,FALSE)</f>
        <v/>
      </c>
      <c r="F232" s="0">
        <f>VLOOKUP(E232,'Tier Params'!$A:$B,2,FALSE)</f>
        <v/>
      </c>
      <c r="G232" s="0">
        <f>VLOOKUP(E232,'Tier Params'!$A:$C,3,FALSE)</f>
        <v/>
      </c>
      <c r="H232" s="0">
        <f>CEILING(D232/G232,1)</f>
        <v/>
      </c>
      <c r="I232" s="0">
        <f>H232*F232</f>
        <v/>
      </c>
    </row>
    <row r="233">
      <c r="A233" s="0" t="inlineStr">
        <is>
          <t>'Reference sheet'!N235</t>
        </is>
      </c>
      <c r="B233" s="0" t="inlineStr">
        <is>
          <t>Structure Hangar Array</t>
        </is>
      </c>
      <c r="C233" s="0" t="inlineStr">
        <is>
          <t>High-Tech Transmitters</t>
        </is>
      </c>
      <c r="D233" s="0" t="n">
        <v>18</v>
      </c>
      <c r="E233" s="0">
        <f>VLOOKUP(C233,'Item Tier Lookup'!$A:$B,2,FALSE)</f>
        <v/>
      </c>
      <c r="F233" s="0">
        <f>VLOOKUP(E233,'Tier Params'!$A:$B,2,FALSE)</f>
        <v/>
      </c>
      <c r="G233" s="0">
        <f>VLOOKUP(E233,'Tier Params'!$A:$C,3,FALSE)</f>
        <v/>
      </c>
      <c r="H233" s="0">
        <f>CEILING(D233/G233,1)</f>
        <v/>
      </c>
      <c r="I233" s="0">
        <f>H233*F233</f>
        <v/>
      </c>
    </row>
    <row r="234">
      <c r="A234" s="0" t="inlineStr">
        <is>
          <t>'Reference sheet'!N236</t>
        </is>
      </c>
      <c r="B234" s="0" t="inlineStr">
        <is>
          <t>Structure Hangar Array</t>
        </is>
      </c>
      <c r="C234" s="0" t="inlineStr">
        <is>
          <t>Transmitter</t>
        </is>
      </c>
      <c r="D234" s="0" t="n">
        <v>60</v>
      </c>
      <c r="E234" s="0">
        <f>VLOOKUP(C234,'Item Tier Lookup'!$A:$B,2,FALSE)</f>
        <v/>
      </c>
      <c r="F234" s="0">
        <f>VLOOKUP(E234,'Tier Params'!$A:$B,2,FALSE)</f>
        <v/>
      </c>
      <c r="G234" s="0">
        <f>VLOOKUP(E234,'Tier Params'!$A:$C,3,FALSE)</f>
        <v/>
      </c>
      <c r="H234" s="0">
        <f>CEILING(D234/G234,1)</f>
        <v/>
      </c>
      <c r="I234" s="0">
        <f>H234*F234</f>
        <v/>
      </c>
    </row>
    <row r="235">
      <c r="A235" s="0" t="inlineStr">
        <is>
          <t>'Reference sheet'!N237</t>
        </is>
      </c>
      <c r="B235" s="0" t="inlineStr">
        <is>
          <t>Structure Hangar Array</t>
        </is>
      </c>
      <c r="C235" s="0" t="inlineStr">
        <is>
          <t>Chiral Structures</t>
        </is>
      </c>
      <c r="D235" s="0" t="n">
        <v>480</v>
      </c>
      <c r="E235" s="0">
        <f>VLOOKUP(C235,'Item Tier Lookup'!$A:$B,2,FALSE)</f>
        <v/>
      </c>
      <c r="F235" s="0">
        <f>VLOOKUP(E235,'Tier Params'!$A:$B,2,FALSE)</f>
        <v/>
      </c>
      <c r="G235" s="0">
        <f>VLOOKUP(E235,'Tier Params'!$A:$C,3,FALSE)</f>
        <v/>
      </c>
      <c r="H235" s="0">
        <f>CEILING(D235/G235,1)</f>
        <v/>
      </c>
      <c r="I235" s="0">
        <f>H235*F235</f>
        <v/>
      </c>
    </row>
    <row r="236">
      <c r="A236" s="0" t="inlineStr">
        <is>
          <t>'Reference sheet'!N238</t>
        </is>
      </c>
      <c r="B236" s="0" t="inlineStr">
        <is>
          <t>Structure Hangar Array</t>
        </is>
      </c>
      <c r="C236" s="0" t="inlineStr">
        <is>
          <t>Non-CS Crystals</t>
        </is>
      </c>
      <c r="D236" s="0" t="n">
        <v>72000</v>
      </c>
      <c r="E236" s="0">
        <f>VLOOKUP(C236,'Item Tier Lookup'!$A:$B,2,FALSE)</f>
        <v/>
      </c>
      <c r="F236" s="0">
        <f>VLOOKUP(E236,'Tier Params'!$A:$B,2,FALSE)</f>
        <v/>
      </c>
      <c r="G236" s="0">
        <f>VLOOKUP(E236,'Tier Params'!$A:$C,3,FALSE)</f>
        <v/>
      </c>
      <c r="H236" s="0">
        <f>CEILING(D236/G236,1)</f>
        <v/>
      </c>
      <c r="I236" s="0">
        <f>H236*F236</f>
        <v/>
      </c>
    </row>
    <row r="237">
      <c r="A237" s="0" t="inlineStr">
        <is>
          <t>'Reference sheet'!N239</t>
        </is>
      </c>
      <c r="B237" s="0" t="inlineStr">
        <is>
          <t>Structure Hangar Array</t>
        </is>
      </c>
      <c r="C237" s="0" t="inlineStr">
        <is>
          <t>Plasmoids</t>
        </is>
      </c>
      <c r="D237" s="0" t="n">
        <v>480</v>
      </c>
      <c r="E237" s="0">
        <f>VLOOKUP(C237,'Item Tier Lookup'!$A:$B,2,FALSE)</f>
        <v/>
      </c>
      <c r="F237" s="0">
        <f>VLOOKUP(E237,'Tier Params'!$A:$B,2,FALSE)</f>
        <v/>
      </c>
      <c r="G237" s="0">
        <f>VLOOKUP(E237,'Tier Params'!$A:$C,3,FALSE)</f>
        <v/>
      </c>
      <c r="H237" s="0">
        <f>CEILING(D237/G237,1)</f>
        <v/>
      </c>
      <c r="I237" s="0">
        <f>H237*F237</f>
        <v/>
      </c>
    </row>
    <row r="238">
      <c r="A238" s="0" t="inlineStr">
        <is>
          <t>'Reference sheet'!N240</t>
        </is>
      </c>
      <c r="B238" s="0" t="inlineStr">
        <is>
          <t>Structure Hangar Array</t>
        </is>
      </c>
      <c r="C238" s="0" t="inlineStr">
        <is>
          <t>Suspended Plasma</t>
        </is>
      </c>
      <c r="D238" s="0" t="n">
        <v>72000</v>
      </c>
      <c r="E238" s="0">
        <f>VLOOKUP(C238,'Item Tier Lookup'!$A:$B,2,FALSE)</f>
        <v/>
      </c>
      <c r="F238" s="0">
        <f>VLOOKUP(E238,'Tier Params'!$A:$B,2,FALSE)</f>
        <v/>
      </c>
      <c r="G238" s="0">
        <f>VLOOKUP(E238,'Tier Params'!$A:$C,3,FALSE)</f>
        <v/>
      </c>
      <c r="H238" s="0">
        <f>CEILING(D238/G238,1)</f>
        <v/>
      </c>
      <c r="I238" s="0">
        <f>H238*F238</f>
        <v/>
      </c>
    </row>
    <row r="239">
      <c r="A239" s="0" t="inlineStr">
        <is>
          <t>'Reference sheet'!N241</t>
        </is>
      </c>
      <c r="B239" s="0" t="inlineStr">
        <is>
          <t>Structure Hangar Array</t>
        </is>
      </c>
      <c r="C239" s="0" t="inlineStr">
        <is>
          <t>Polyaramids</t>
        </is>
      </c>
      <c r="D239" s="0" t="n">
        <v>60</v>
      </c>
      <c r="E239" s="0">
        <f>VLOOKUP(C239,'Item Tier Lookup'!$A:$B,2,FALSE)</f>
        <v/>
      </c>
      <c r="F239" s="0">
        <f>VLOOKUP(E239,'Tier Params'!$A:$B,2,FALSE)</f>
        <v/>
      </c>
      <c r="G239" s="0">
        <f>VLOOKUP(E239,'Tier Params'!$A:$C,3,FALSE)</f>
        <v/>
      </c>
      <c r="H239" s="0">
        <f>CEILING(D239/G239,1)</f>
        <v/>
      </c>
      <c r="I239" s="0">
        <f>H239*F239</f>
        <v/>
      </c>
    </row>
    <row r="240">
      <c r="A240" s="0" t="inlineStr">
        <is>
          <t>'Reference sheet'!N242</t>
        </is>
      </c>
      <c r="B240" s="0" t="inlineStr">
        <is>
          <t>Structure Hangar Array</t>
        </is>
      </c>
      <c r="C240" s="0" t="inlineStr">
        <is>
          <t>Oxidizing Compound</t>
        </is>
      </c>
      <c r="D240" s="0" t="n">
        <v>480</v>
      </c>
      <c r="E240" s="0">
        <f>VLOOKUP(C240,'Item Tier Lookup'!$A:$B,2,FALSE)</f>
        <v/>
      </c>
      <c r="F240" s="0">
        <f>VLOOKUP(E240,'Tier Params'!$A:$B,2,FALSE)</f>
        <v/>
      </c>
      <c r="G240" s="0">
        <f>VLOOKUP(E240,'Tier Params'!$A:$C,3,FALSE)</f>
        <v/>
      </c>
      <c r="H240" s="0">
        <f>CEILING(D240/G240,1)</f>
        <v/>
      </c>
      <c r="I240" s="0">
        <f>H240*F240</f>
        <v/>
      </c>
    </row>
    <row r="241">
      <c r="A241" s="0" t="inlineStr">
        <is>
          <t>'Reference sheet'!N243</t>
        </is>
      </c>
      <c r="B241" s="0" t="inlineStr">
        <is>
          <t>Structure Hangar Array</t>
        </is>
      </c>
      <c r="C241" s="0" t="inlineStr">
        <is>
          <t>Reactive Gas</t>
        </is>
      </c>
      <c r="D241" s="0" t="n">
        <v>72000</v>
      </c>
      <c r="E241" s="0">
        <f>VLOOKUP(C241,'Item Tier Lookup'!$A:$B,2,FALSE)</f>
        <v/>
      </c>
      <c r="F241" s="0">
        <f>VLOOKUP(E241,'Tier Params'!$A:$B,2,FALSE)</f>
        <v/>
      </c>
      <c r="G241" s="0">
        <f>VLOOKUP(E241,'Tier Params'!$A:$C,3,FALSE)</f>
        <v/>
      </c>
      <c r="H241" s="0">
        <f>CEILING(D241/G241,1)</f>
        <v/>
      </c>
      <c r="I241" s="0">
        <f>H241*F241</f>
        <v/>
      </c>
    </row>
    <row r="242">
      <c r="A242" s="0" t="inlineStr">
        <is>
          <t>'Reference sheet'!N244</t>
        </is>
      </c>
      <c r="B242" s="0" t="inlineStr">
        <is>
          <t>Structure Hangar Array</t>
        </is>
      </c>
      <c r="C242" s="0" t="inlineStr">
        <is>
          <t>Industrial Fibers</t>
        </is>
      </c>
      <c r="D242" s="0" t="n">
        <v>480</v>
      </c>
      <c r="E242" s="0">
        <f>VLOOKUP(C242,'Item Tier Lookup'!$A:$B,2,FALSE)</f>
        <v/>
      </c>
      <c r="F242" s="0">
        <f>VLOOKUP(E242,'Tier Params'!$A:$B,2,FALSE)</f>
        <v/>
      </c>
      <c r="G242" s="0">
        <f>VLOOKUP(E242,'Tier Params'!$A:$C,3,FALSE)</f>
        <v/>
      </c>
      <c r="H242" s="0">
        <f>CEILING(D242/G242,1)</f>
        <v/>
      </c>
      <c r="I242" s="0">
        <f>H242*F242</f>
        <v/>
      </c>
    </row>
    <row r="243">
      <c r="A243" s="0" t="inlineStr">
        <is>
          <t>'Reference sheet'!N245</t>
        </is>
      </c>
      <c r="B243" s="0" t="inlineStr">
        <is>
          <t>Structure Hangar Array</t>
        </is>
      </c>
      <c r="C243" s="0" t="inlineStr">
        <is>
          <t>Autotrophs</t>
        </is>
      </c>
      <c r="D243" s="0" t="n">
        <v>72000</v>
      </c>
      <c r="E243" s="0">
        <f>VLOOKUP(C243,'Item Tier Lookup'!$A:$B,2,FALSE)</f>
        <v/>
      </c>
      <c r="F243" s="0">
        <f>VLOOKUP(E243,'Tier Params'!$A:$B,2,FALSE)</f>
        <v/>
      </c>
      <c r="G243" s="0">
        <f>VLOOKUP(E243,'Tier Params'!$A:$C,3,FALSE)</f>
        <v/>
      </c>
      <c r="H243" s="0">
        <f>CEILING(D243/G243,1)</f>
        <v/>
      </c>
      <c r="I243" s="0">
        <f>H243*F243</f>
        <v/>
      </c>
    </row>
    <row r="244">
      <c r="A244" s="0" t="inlineStr">
        <is>
          <t>'Reference sheet'!N246</t>
        </is>
      </c>
      <c r="B244" s="0" t="inlineStr">
        <is>
          <t>Structure Hangar Array</t>
        </is>
      </c>
      <c r="C244" s="0" t="inlineStr">
        <is>
          <t>Nano-Factory</t>
        </is>
      </c>
      <c r="D244" s="0" t="n">
        <v>5</v>
      </c>
      <c r="E244" s="0">
        <f>VLOOKUP(C244,'Item Tier Lookup'!$A:$B,2,FALSE)</f>
        <v/>
      </c>
      <c r="F244" s="0">
        <f>VLOOKUP(E244,'Tier Params'!$A:$B,2,FALSE)</f>
        <v/>
      </c>
      <c r="G244" s="0">
        <f>VLOOKUP(E244,'Tier Params'!$A:$C,3,FALSE)</f>
        <v/>
      </c>
      <c r="H244" s="0">
        <f>CEILING(D244/G244,1)</f>
        <v/>
      </c>
      <c r="I244" s="0">
        <f>H244*F244</f>
        <v/>
      </c>
    </row>
    <row r="245">
      <c r="A245" s="0" t="inlineStr">
        <is>
          <t>'Reference sheet'!N247</t>
        </is>
      </c>
      <c r="B245" s="0" t="inlineStr">
        <is>
          <t>Structure Hangar Array</t>
        </is>
      </c>
      <c r="C245" s="0" t="inlineStr">
        <is>
          <t>Industrial Explosives</t>
        </is>
      </c>
      <c r="D245" s="0" t="n">
        <v>30</v>
      </c>
      <c r="E245" s="0">
        <f>VLOOKUP(C245,'Item Tier Lookup'!$A:$B,2,FALSE)</f>
        <v/>
      </c>
      <c r="F245" s="0">
        <f>VLOOKUP(E245,'Tier Params'!$A:$B,2,FALSE)</f>
        <v/>
      </c>
      <c r="G245" s="0">
        <f>VLOOKUP(E245,'Tier Params'!$A:$C,3,FALSE)</f>
        <v/>
      </c>
      <c r="H245" s="0">
        <f>CEILING(D245/G245,1)</f>
        <v/>
      </c>
      <c r="I245" s="0">
        <f>H245*F245</f>
        <v/>
      </c>
    </row>
    <row r="246">
      <c r="A246" s="0" t="inlineStr">
        <is>
          <t>'Reference sheet'!N248</t>
        </is>
      </c>
      <c r="B246" s="0" t="inlineStr">
        <is>
          <t>Structure Hangar Array</t>
        </is>
      </c>
      <c r="C246" s="0" t="inlineStr">
        <is>
          <t>Fertilizer</t>
        </is>
      </c>
      <c r="D246" s="0" t="n">
        <v>100</v>
      </c>
      <c r="E246" s="0">
        <f>VLOOKUP(C246,'Item Tier Lookup'!$A:$B,2,FALSE)</f>
        <v/>
      </c>
      <c r="F246" s="0">
        <f>VLOOKUP(E246,'Tier Params'!$A:$B,2,FALSE)</f>
        <v/>
      </c>
      <c r="G246" s="0">
        <f>VLOOKUP(E246,'Tier Params'!$A:$C,3,FALSE)</f>
        <v/>
      </c>
      <c r="H246" s="0">
        <f>CEILING(D246/G246,1)</f>
        <v/>
      </c>
      <c r="I246" s="0">
        <f>H246*F246</f>
        <v/>
      </c>
    </row>
    <row r="247">
      <c r="A247" s="0" t="inlineStr">
        <is>
          <t>'Reference sheet'!N249</t>
        </is>
      </c>
      <c r="B247" s="0" t="inlineStr">
        <is>
          <t>Structure Hangar Array</t>
        </is>
      </c>
      <c r="C247" s="0" t="inlineStr">
        <is>
          <t>Bacteria</t>
        </is>
      </c>
      <c r="D247" s="0" t="n">
        <v>800</v>
      </c>
      <c r="E247" s="0">
        <f>VLOOKUP(C247,'Item Tier Lookup'!$A:$B,2,FALSE)</f>
        <v/>
      </c>
      <c r="F247" s="0">
        <f>VLOOKUP(E247,'Tier Params'!$A:$B,2,FALSE)</f>
        <v/>
      </c>
      <c r="G247" s="0">
        <f>VLOOKUP(E247,'Tier Params'!$A:$C,3,FALSE)</f>
        <v/>
      </c>
      <c r="H247" s="0">
        <f>CEILING(D247/G247,1)</f>
        <v/>
      </c>
      <c r="I247" s="0">
        <f>H247*F247</f>
        <v/>
      </c>
    </row>
    <row r="248">
      <c r="A248" s="0" t="inlineStr">
        <is>
          <t>'Reference sheet'!N250</t>
        </is>
      </c>
      <c r="B248" s="0" t="inlineStr">
        <is>
          <t>Structure Hangar Array</t>
        </is>
      </c>
      <c r="C248" s="0" t="inlineStr">
        <is>
          <t>Microorganisms</t>
        </is>
      </c>
      <c r="D248" s="0" t="n">
        <v>120000</v>
      </c>
      <c r="E248" s="0">
        <f>VLOOKUP(C248,'Item Tier Lookup'!$A:$B,2,FALSE)</f>
        <v/>
      </c>
      <c r="F248" s="0">
        <f>VLOOKUP(E248,'Tier Params'!$A:$B,2,FALSE)</f>
        <v/>
      </c>
      <c r="G248" s="0">
        <f>VLOOKUP(E248,'Tier Params'!$A:$C,3,FALSE)</f>
        <v/>
      </c>
      <c r="H248" s="0">
        <f>CEILING(D248/G248,1)</f>
        <v/>
      </c>
      <c r="I248" s="0">
        <f>H248*F248</f>
        <v/>
      </c>
    </row>
    <row r="249">
      <c r="A249" s="0" t="inlineStr">
        <is>
          <t>'Reference sheet'!N251</t>
        </is>
      </c>
      <c r="B249" s="0" t="inlineStr">
        <is>
          <t>Structure Hangar Array</t>
        </is>
      </c>
      <c r="C249" s="0" t="inlineStr">
        <is>
          <t>Proteins</t>
        </is>
      </c>
      <c r="D249" s="0" t="n">
        <v>800</v>
      </c>
      <c r="E249" s="0">
        <f>VLOOKUP(C249,'Item Tier Lookup'!$A:$B,2,FALSE)</f>
        <v/>
      </c>
      <c r="F249" s="0">
        <f>VLOOKUP(E249,'Tier Params'!$A:$B,2,FALSE)</f>
        <v/>
      </c>
      <c r="G249" s="0">
        <f>VLOOKUP(E249,'Tier Params'!$A:$C,3,FALSE)</f>
        <v/>
      </c>
      <c r="H249" s="0">
        <f>CEILING(D249/G249,1)</f>
        <v/>
      </c>
      <c r="I249" s="0">
        <f>H249*F249</f>
        <v/>
      </c>
    </row>
    <row r="250">
      <c r="A250" s="0" t="inlineStr">
        <is>
          <t>'Reference sheet'!N252</t>
        </is>
      </c>
      <c r="B250" s="0" t="inlineStr">
        <is>
          <t>Structure Hangar Array</t>
        </is>
      </c>
      <c r="C250" s="0" t="inlineStr">
        <is>
          <t>Complex Organisms</t>
        </is>
      </c>
      <c r="D250" s="0" t="n">
        <v>120000</v>
      </c>
      <c r="E250" s="0">
        <f>VLOOKUP(C250,'Item Tier Lookup'!$A:$B,2,FALSE)</f>
        <v/>
      </c>
      <c r="F250" s="0">
        <f>VLOOKUP(E250,'Tier Params'!$A:$B,2,FALSE)</f>
        <v/>
      </c>
      <c r="G250" s="0">
        <f>VLOOKUP(E250,'Tier Params'!$A:$C,3,FALSE)</f>
        <v/>
      </c>
      <c r="H250" s="0">
        <f>CEILING(D250/G250,1)</f>
        <v/>
      </c>
      <c r="I250" s="0">
        <f>H250*F250</f>
        <v/>
      </c>
    </row>
    <row r="251">
      <c r="A251" s="0" t="inlineStr">
        <is>
          <t>'Reference sheet'!N253</t>
        </is>
      </c>
      <c r="B251" s="0" t="inlineStr">
        <is>
          <t>Structure Hangar Array</t>
        </is>
      </c>
      <c r="C251" s="0" t="inlineStr">
        <is>
          <t>Polytextiles</t>
        </is>
      </c>
      <c r="D251" s="0" t="n">
        <v>100</v>
      </c>
      <c r="E251" s="0">
        <f>VLOOKUP(C251,'Item Tier Lookup'!$A:$B,2,FALSE)</f>
        <v/>
      </c>
      <c r="F251" s="0">
        <f>VLOOKUP(E251,'Tier Params'!$A:$B,2,FALSE)</f>
        <v/>
      </c>
      <c r="G251" s="0">
        <f>VLOOKUP(E251,'Tier Params'!$A:$C,3,FALSE)</f>
        <v/>
      </c>
      <c r="H251" s="0">
        <f>CEILING(D251/G251,1)</f>
        <v/>
      </c>
      <c r="I251" s="0">
        <f>H251*F251</f>
        <v/>
      </c>
    </row>
    <row r="252">
      <c r="A252" s="0" t="inlineStr">
        <is>
          <t>'Reference sheet'!N254</t>
        </is>
      </c>
      <c r="B252" s="0" t="inlineStr">
        <is>
          <t>Structure Hangar Array</t>
        </is>
      </c>
      <c r="C252" s="0" t="inlineStr">
        <is>
          <t>Biofuels</t>
        </is>
      </c>
      <c r="D252" s="0" t="n">
        <v>800</v>
      </c>
      <c r="E252" s="0">
        <f>VLOOKUP(C252,'Item Tier Lookup'!$A:$B,2,FALSE)</f>
        <v/>
      </c>
      <c r="F252" s="0">
        <f>VLOOKUP(E252,'Tier Params'!$A:$B,2,FALSE)</f>
        <v/>
      </c>
      <c r="G252" s="0">
        <f>VLOOKUP(E252,'Tier Params'!$A:$C,3,FALSE)</f>
        <v/>
      </c>
      <c r="H252" s="0">
        <f>CEILING(D252/G252,1)</f>
        <v/>
      </c>
      <c r="I252" s="0">
        <f>H252*F252</f>
        <v/>
      </c>
    </row>
    <row r="253">
      <c r="A253" s="0" t="inlineStr">
        <is>
          <t>'Reference sheet'!N255</t>
        </is>
      </c>
      <c r="B253" s="0" t="inlineStr">
        <is>
          <t>Structure Hangar Array</t>
        </is>
      </c>
      <c r="C253" s="0" t="inlineStr">
        <is>
          <t>Carbon Compounds</t>
        </is>
      </c>
      <c r="D253" s="0" t="n">
        <v>120000</v>
      </c>
      <c r="E253" s="0">
        <f>VLOOKUP(C253,'Item Tier Lookup'!$A:$B,2,FALSE)</f>
        <v/>
      </c>
      <c r="F253" s="0">
        <f>VLOOKUP(E253,'Tier Params'!$A:$B,2,FALSE)</f>
        <v/>
      </c>
      <c r="G253" s="0">
        <f>VLOOKUP(E253,'Tier Params'!$A:$C,3,FALSE)</f>
        <v/>
      </c>
      <c r="H253" s="0">
        <f>CEILING(D253/G253,1)</f>
        <v/>
      </c>
      <c r="I253" s="0">
        <f>H253*F253</f>
        <v/>
      </c>
    </row>
    <row r="254">
      <c r="A254" s="0" t="inlineStr">
        <is>
          <t>'Reference sheet'!N256</t>
        </is>
      </c>
      <c r="B254" s="0" t="inlineStr">
        <is>
          <t>Structure Hangar Array</t>
        </is>
      </c>
      <c r="C254" s="0" t="inlineStr">
        <is>
          <t>Industrial Fibers</t>
        </is>
      </c>
      <c r="D254" s="0" t="n">
        <v>800</v>
      </c>
      <c r="E254" s="0">
        <f>VLOOKUP(C254,'Item Tier Lookup'!$A:$B,2,FALSE)</f>
        <v/>
      </c>
      <c r="F254" s="0">
        <f>VLOOKUP(E254,'Tier Params'!$A:$B,2,FALSE)</f>
        <v/>
      </c>
      <c r="G254" s="0">
        <f>VLOOKUP(E254,'Tier Params'!$A:$C,3,FALSE)</f>
        <v/>
      </c>
      <c r="H254" s="0">
        <f>CEILING(D254/G254,1)</f>
        <v/>
      </c>
      <c r="I254" s="0">
        <f>H254*F254</f>
        <v/>
      </c>
    </row>
    <row r="255">
      <c r="A255" s="0" t="inlineStr">
        <is>
          <t>'Reference sheet'!N257</t>
        </is>
      </c>
      <c r="B255" s="0" t="inlineStr">
        <is>
          <t>Structure Hangar Array</t>
        </is>
      </c>
      <c r="C255" s="0" t="inlineStr">
        <is>
          <t>Autotrophs</t>
        </is>
      </c>
      <c r="D255" s="0" t="n">
        <v>120000</v>
      </c>
      <c r="E255" s="0">
        <f>VLOOKUP(C255,'Item Tier Lookup'!$A:$B,2,FALSE)</f>
        <v/>
      </c>
      <c r="F255" s="0">
        <f>VLOOKUP(E255,'Tier Params'!$A:$B,2,FALSE)</f>
        <v/>
      </c>
      <c r="G255" s="0">
        <f>VLOOKUP(E255,'Tier Params'!$A:$C,3,FALSE)</f>
        <v/>
      </c>
      <c r="H255" s="0">
        <f>CEILING(D255/G255,1)</f>
        <v/>
      </c>
      <c r="I255" s="0">
        <f>H255*F255</f>
        <v/>
      </c>
    </row>
    <row r="256">
      <c r="A256" s="0" t="inlineStr">
        <is>
          <t>'Reference sheet'!N258</t>
        </is>
      </c>
      <c r="B256" s="0" t="inlineStr">
        <is>
          <t>Structure Hangar Array</t>
        </is>
      </c>
      <c r="C256" s="0" t="inlineStr">
        <is>
          <t>Ukomi Superconductors</t>
        </is>
      </c>
      <c r="D256" s="0" t="n">
        <v>30</v>
      </c>
      <c r="E256" s="0">
        <f>VLOOKUP(C256,'Item Tier Lookup'!$A:$B,2,FALSE)</f>
        <v/>
      </c>
      <c r="F256" s="0">
        <f>VLOOKUP(E256,'Tier Params'!$A:$B,2,FALSE)</f>
        <v/>
      </c>
      <c r="G256" s="0">
        <f>VLOOKUP(E256,'Tier Params'!$A:$C,3,FALSE)</f>
        <v/>
      </c>
      <c r="H256" s="0">
        <f>CEILING(D256/G256,1)</f>
        <v/>
      </c>
      <c r="I256" s="0">
        <f>H256*F256</f>
        <v/>
      </c>
    </row>
    <row r="257">
      <c r="A257" s="0" t="inlineStr">
        <is>
          <t>'Reference sheet'!N259</t>
        </is>
      </c>
      <c r="B257" s="0" t="inlineStr">
        <is>
          <t>Structure Hangar Array</t>
        </is>
      </c>
      <c r="C257" s="0" t="inlineStr">
        <is>
          <t>Synthetic Oil</t>
        </is>
      </c>
      <c r="D257" s="0" t="n">
        <v>100</v>
      </c>
      <c r="E257" s="0">
        <f>VLOOKUP(C257,'Item Tier Lookup'!$A:$B,2,FALSE)</f>
        <v/>
      </c>
      <c r="F257" s="0">
        <f>VLOOKUP(E257,'Tier Params'!$A:$B,2,FALSE)</f>
        <v/>
      </c>
      <c r="G257" s="0">
        <f>VLOOKUP(E257,'Tier Params'!$A:$C,3,FALSE)</f>
        <v/>
      </c>
      <c r="H257" s="0">
        <f>CEILING(D257/G257,1)</f>
        <v/>
      </c>
      <c r="I257" s="0">
        <f>H257*F257</f>
        <v/>
      </c>
    </row>
    <row r="258">
      <c r="A258" s="0" t="inlineStr">
        <is>
          <t>'Reference sheet'!N260</t>
        </is>
      </c>
      <c r="B258" s="0" t="inlineStr">
        <is>
          <t>Structure Hangar Array</t>
        </is>
      </c>
      <c r="C258" s="0" t="inlineStr">
        <is>
          <t>Oxygen</t>
        </is>
      </c>
      <c r="D258" s="0" t="n">
        <v>800</v>
      </c>
      <c r="E258" s="0">
        <f>VLOOKUP(C258,'Item Tier Lookup'!$A:$B,2,FALSE)</f>
        <v/>
      </c>
      <c r="F258" s="0">
        <f>VLOOKUP(E258,'Tier Params'!$A:$B,2,FALSE)</f>
        <v/>
      </c>
      <c r="G258" s="0">
        <f>VLOOKUP(E258,'Tier Params'!$A:$C,3,FALSE)</f>
        <v/>
      </c>
      <c r="H258" s="0">
        <f>CEILING(D258/G258,1)</f>
        <v/>
      </c>
      <c r="I258" s="0">
        <f>H258*F258</f>
        <v/>
      </c>
    </row>
    <row r="259">
      <c r="A259" s="0" t="inlineStr">
        <is>
          <t>'Reference sheet'!N261</t>
        </is>
      </c>
      <c r="B259" s="0" t="inlineStr">
        <is>
          <t>Structure Hangar Array</t>
        </is>
      </c>
      <c r="C259" s="0" t="inlineStr">
        <is>
          <t>Noble Gas</t>
        </is>
      </c>
      <c r="D259" s="0" t="n">
        <v>120000</v>
      </c>
      <c r="E259" s="0">
        <f>VLOOKUP(C259,'Item Tier Lookup'!$A:$B,2,FALSE)</f>
        <v/>
      </c>
      <c r="F259" s="0">
        <f>VLOOKUP(E259,'Tier Params'!$A:$B,2,FALSE)</f>
        <v/>
      </c>
      <c r="G259" s="0">
        <f>VLOOKUP(E259,'Tier Params'!$A:$C,3,FALSE)</f>
        <v/>
      </c>
      <c r="H259" s="0">
        <f>CEILING(D259/G259,1)</f>
        <v/>
      </c>
      <c r="I259" s="0">
        <f>H259*F259</f>
        <v/>
      </c>
    </row>
    <row r="260">
      <c r="A260" s="0" t="inlineStr">
        <is>
          <t>'Reference sheet'!N262</t>
        </is>
      </c>
      <c r="B260" s="0" t="inlineStr">
        <is>
          <t>Structure Hangar Array</t>
        </is>
      </c>
      <c r="C260" s="0" t="inlineStr">
        <is>
          <t>Electrolytes</t>
        </is>
      </c>
      <c r="D260" s="0" t="n">
        <v>800</v>
      </c>
      <c r="E260" s="0">
        <f>VLOOKUP(C260,'Item Tier Lookup'!$A:$B,2,FALSE)</f>
        <v/>
      </c>
      <c r="F260" s="0">
        <f>VLOOKUP(E260,'Tier Params'!$A:$B,2,FALSE)</f>
        <v/>
      </c>
      <c r="G260" s="0">
        <f>VLOOKUP(E260,'Tier Params'!$A:$C,3,FALSE)</f>
        <v/>
      </c>
      <c r="H260" s="0">
        <f>CEILING(D260/G260,1)</f>
        <v/>
      </c>
      <c r="I260" s="0">
        <f>H260*F260</f>
        <v/>
      </c>
    </row>
    <row r="261">
      <c r="A261" s="0" t="inlineStr">
        <is>
          <t>'Reference sheet'!N263</t>
        </is>
      </c>
      <c r="B261" s="0" t="inlineStr">
        <is>
          <t>Structure Hangar Array</t>
        </is>
      </c>
      <c r="C261" s="0" t="inlineStr">
        <is>
          <t>Ionic Solutions</t>
        </is>
      </c>
      <c r="D261" s="0" t="n">
        <v>120000</v>
      </c>
      <c r="E261" s="0">
        <f>VLOOKUP(C261,'Item Tier Lookup'!$A:$B,2,FALSE)</f>
        <v/>
      </c>
      <c r="F261" s="0">
        <f>VLOOKUP(E261,'Tier Params'!$A:$B,2,FALSE)</f>
        <v/>
      </c>
      <c r="G261" s="0">
        <f>VLOOKUP(E261,'Tier Params'!$A:$C,3,FALSE)</f>
        <v/>
      </c>
      <c r="H261" s="0">
        <f>CEILING(D261/G261,1)</f>
        <v/>
      </c>
      <c r="I261" s="0">
        <f>H261*F261</f>
        <v/>
      </c>
    </row>
    <row r="262">
      <c r="A262" s="0" t="inlineStr">
        <is>
          <t>'Reference sheet'!N264</t>
        </is>
      </c>
      <c r="B262" s="0" t="inlineStr">
        <is>
          <t>Structure Hangar Array</t>
        </is>
      </c>
      <c r="C262" s="0" t="inlineStr">
        <is>
          <t>Superconductors</t>
        </is>
      </c>
      <c r="D262" s="0" t="n">
        <v>100</v>
      </c>
      <c r="E262" s="0">
        <f>VLOOKUP(C262,'Item Tier Lookup'!$A:$B,2,FALSE)</f>
        <v/>
      </c>
      <c r="F262" s="0">
        <f>VLOOKUP(E262,'Tier Params'!$A:$B,2,FALSE)</f>
        <v/>
      </c>
      <c r="G262" s="0">
        <f>VLOOKUP(E262,'Tier Params'!$A:$C,3,FALSE)</f>
        <v/>
      </c>
      <c r="H262" s="0">
        <f>CEILING(D262/G262,1)</f>
        <v/>
      </c>
      <c r="I262" s="0">
        <f>H262*F262</f>
        <v/>
      </c>
    </row>
    <row r="263">
      <c r="A263" s="0" t="inlineStr">
        <is>
          <t>'Reference sheet'!N265</t>
        </is>
      </c>
      <c r="B263" s="0" t="inlineStr">
        <is>
          <t>Structure Hangar Array</t>
        </is>
      </c>
      <c r="C263" s="0" t="inlineStr">
        <is>
          <t>Plasmoids</t>
        </is>
      </c>
      <c r="D263" s="0" t="n">
        <v>800</v>
      </c>
      <c r="E263" s="0">
        <f>VLOOKUP(C263,'Item Tier Lookup'!$A:$B,2,FALSE)</f>
        <v/>
      </c>
      <c r="F263" s="0">
        <f>VLOOKUP(E263,'Tier Params'!$A:$B,2,FALSE)</f>
        <v/>
      </c>
      <c r="G263" s="0">
        <f>VLOOKUP(E263,'Tier Params'!$A:$C,3,FALSE)</f>
        <v/>
      </c>
      <c r="H263" s="0">
        <f>CEILING(D263/G263,1)</f>
        <v/>
      </c>
      <c r="I263" s="0">
        <f>H263*F263</f>
        <v/>
      </c>
    </row>
    <row r="264">
      <c r="A264" s="0" t="inlineStr">
        <is>
          <t>'Reference sheet'!N266</t>
        </is>
      </c>
      <c r="B264" s="0" t="inlineStr">
        <is>
          <t>Structure Hangar Array</t>
        </is>
      </c>
      <c r="C264" s="0" t="inlineStr">
        <is>
          <t>Suspended Plasma</t>
        </is>
      </c>
      <c r="D264" s="0" t="n">
        <v>120000</v>
      </c>
      <c r="E264" s="0">
        <f>VLOOKUP(C264,'Item Tier Lookup'!$A:$B,2,FALSE)</f>
        <v/>
      </c>
      <c r="F264" s="0">
        <f>VLOOKUP(E264,'Tier Params'!$A:$B,2,FALSE)</f>
        <v/>
      </c>
      <c r="G264" s="0">
        <f>VLOOKUP(E264,'Tier Params'!$A:$C,3,FALSE)</f>
        <v/>
      </c>
      <c r="H264" s="0">
        <f>CEILING(D264/G264,1)</f>
        <v/>
      </c>
      <c r="I264" s="0">
        <f>H264*F264</f>
        <v/>
      </c>
    </row>
    <row r="265">
      <c r="A265" s="0" t="inlineStr">
        <is>
          <t>'Reference sheet'!N267</t>
        </is>
      </c>
      <c r="B265" s="0" t="inlineStr">
        <is>
          <t>Structure Hangar Array</t>
        </is>
      </c>
      <c r="C265" s="0" t="inlineStr">
        <is>
          <t>Water</t>
        </is>
      </c>
      <c r="D265" s="0" t="n">
        <v>800</v>
      </c>
      <c r="E265" s="0">
        <f>VLOOKUP(C265,'Item Tier Lookup'!$A:$B,2,FALSE)</f>
        <v/>
      </c>
      <c r="F265" s="0">
        <f>VLOOKUP(E265,'Tier Params'!$A:$B,2,FALSE)</f>
        <v/>
      </c>
      <c r="G265" s="0">
        <f>VLOOKUP(E265,'Tier Params'!$A:$C,3,FALSE)</f>
        <v/>
      </c>
      <c r="H265" s="0">
        <f>CEILING(D265/G265,1)</f>
        <v/>
      </c>
      <c r="I265" s="0">
        <f>H265*F265</f>
        <v/>
      </c>
    </row>
    <row r="266">
      <c r="A266" s="0" t="inlineStr">
        <is>
          <t>'Reference sheet'!N268</t>
        </is>
      </c>
      <c r="B266" s="0" t="inlineStr">
        <is>
          <t>Structure Hangar Array</t>
        </is>
      </c>
      <c r="C266" s="0" t="inlineStr">
        <is>
          <t>Aqueous Liquids</t>
        </is>
      </c>
      <c r="D266" s="0" t="n">
        <v>120000</v>
      </c>
      <c r="E266" s="0">
        <f>VLOOKUP(C266,'Item Tier Lookup'!$A:$B,2,FALSE)</f>
        <v/>
      </c>
      <c r="F266" s="0">
        <f>VLOOKUP(E266,'Tier Params'!$A:$B,2,FALSE)</f>
        <v/>
      </c>
      <c r="G266" s="0">
        <f>VLOOKUP(E266,'Tier Params'!$A:$C,3,FALSE)</f>
        <v/>
      </c>
      <c r="H266" s="0">
        <f>CEILING(D266/G266,1)</f>
        <v/>
      </c>
      <c r="I266" s="0">
        <f>H266*F266</f>
        <v/>
      </c>
    </row>
    <row r="267">
      <c r="A267" s="0" t="inlineStr">
        <is>
          <t>'Reference sheet'!N269</t>
        </is>
      </c>
      <c r="B267" s="0" t="inlineStr">
        <is>
          <t>Structure Hangar Array</t>
        </is>
      </c>
      <c r="C267" s="0" t="inlineStr">
        <is>
          <t>Reactive Metals</t>
        </is>
      </c>
      <c r="D267" s="0" t="n">
        <v>200</v>
      </c>
      <c r="E267" s="0">
        <f>VLOOKUP(C267,'Item Tier Lookup'!$A:$B,2,FALSE)</f>
        <v/>
      </c>
      <c r="F267" s="0">
        <f>VLOOKUP(E267,'Tier Params'!$A:$B,2,FALSE)</f>
        <v/>
      </c>
      <c r="G267" s="0">
        <f>VLOOKUP(E267,'Tier Params'!$A:$C,3,FALSE)</f>
        <v/>
      </c>
      <c r="H267" s="0">
        <f>CEILING(D267/G267,1)</f>
        <v/>
      </c>
      <c r="I267" s="0">
        <f>H267*F267</f>
        <v/>
      </c>
    </row>
    <row r="268">
      <c r="A268" s="0" t="inlineStr">
        <is>
          <t>'Reference sheet'!N270</t>
        </is>
      </c>
      <c r="B268" s="0" t="inlineStr">
        <is>
          <t>Structure Hangar Array</t>
        </is>
      </c>
      <c r="C268" s="0" t="inlineStr">
        <is>
          <t>Base Metals</t>
        </is>
      </c>
      <c r="D268" s="0" t="n">
        <v>30000</v>
      </c>
      <c r="E268" s="0">
        <f>VLOOKUP(C268,'Item Tier Lookup'!$A:$B,2,FALSE)</f>
        <v/>
      </c>
      <c r="F268" s="0">
        <f>VLOOKUP(E268,'Tier Params'!$A:$B,2,FALSE)</f>
        <v/>
      </c>
      <c r="G268" s="0">
        <f>VLOOKUP(E268,'Tier Params'!$A:$C,3,FALSE)</f>
        <v/>
      </c>
      <c r="H268" s="0">
        <f>CEILING(D268/G268,1)</f>
        <v/>
      </c>
      <c r="I268" s="0">
        <f>H268*F268</f>
        <v/>
      </c>
    </row>
    <row r="269">
      <c r="A269" s="0" t="inlineStr">
        <is>
          <t>'Reference sheet'!N271</t>
        </is>
      </c>
      <c r="B269" s="0" t="inlineStr">
        <is>
          <t>Structure Hangar Array</t>
        </is>
      </c>
      <c r="C269" s="0" t="inlineStr">
        <is>
          <t>Recursive Computing Module</t>
        </is>
      </c>
      <c r="D269" s="0" t="n">
        <v>3</v>
      </c>
      <c r="E269" s="0">
        <f>VLOOKUP(C269,'Item Tier Lookup'!$A:$B,2,FALSE)</f>
        <v/>
      </c>
      <c r="F269" s="0">
        <f>VLOOKUP(E269,'Tier Params'!$A:$B,2,FALSE)</f>
        <v/>
      </c>
      <c r="G269" s="0">
        <f>VLOOKUP(E269,'Tier Params'!$A:$C,3,FALSE)</f>
        <v/>
      </c>
      <c r="H269" s="0">
        <f>CEILING(D269/G269,1)</f>
        <v/>
      </c>
      <c r="I269" s="0">
        <f>H269*F269</f>
        <v/>
      </c>
    </row>
    <row r="270">
      <c r="A270" s="0" t="inlineStr">
        <is>
          <t>'Reference sheet'!N272</t>
        </is>
      </c>
      <c r="B270" s="0" t="inlineStr">
        <is>
          <t>Structure Hangar Array</t>
        </is>
      </c>
      <c r="C270" s="0" t="inlineStr">
        <is>
          <t>Synthetic Synapses</t>
        </is>
      </c>
      <c r="D270" s="0" t="n">
        <v>18</v>
      </c>
      <c r="E270" s="0">
        <f>VLOOKUP(C270,'Item Tier Lookup'!$A:$B,2,FALSE)</f>
        <v/>
      </c>
      <c r="F270" s="0">
        <f>VLOOKUP(E270,'Tier Params'!$A:$B,2,FALSE)</f>
        <v/>
      </c>
      <c r="G270" s="0">
        <f>VLOOKUP(E270,'Tier Params'!$A:$C,3,FALSE)</f>
        <v/>
      </c>
      <c r="H270" s="0">
        <f>CEILING(D270/G270,1)</f>
        <v/>
      </c>
      <c r="I270" s="0">
        <f>H270*F270</f>
        <v/>
      </c>
    </row>
    <row r="271">
      <c r="A271" s="0" t="inlineStr">
        <is>
          <t>'Reference sheet'!N273</t>
        </is>
      </c>
      <c r="B271" s="0" t="inlineStr">
        <is>
          <t>Structure Hangar Array</t>
        </is>
      </c>
      <c r="C271" s="0" t="inlineStr">
        <is>
          <t>Supertensile Plastics</t>
        </is>
      </c>
      <c r="D271" s="0" t="n">
        <v>60</v>
      </c>
      <c r="E271" s="0">
        <f>VLOOKUP(C271,'Item Tier Lookup'!$A:$B,2,FALSE)</f>
        <v/>
      </c>
      <c r="F271" s="0">
        <f>VLOOKUP(E271,'Tier Params'!$A:$B,2,FALSE)</f>
        <v/>
      </c>
      <c r="G271" s="0">
        <f>VLOOKUP(E271,'Tier Params'!$A:$C,3,FALSE)</f>
        <v/>
      </c>
      <c r="H271" s="0">
        <f>CEILING(D271/G271,1)</f>
        <v/>
      </c>
      <c r="I271" s="0">
        <f>H271*F271</f>
        <v/>
      </c>
    </row>
    <row r="272">
      <c r="A272" s="0" t="inlineStr">
        <is>
          <t>'Reference sheet'!N274</t>
        </is>
      </c>
      <c r="B272" s="0" t="inlineStr">
        <is>
          <t>Structure Hangar Array</t>
        </is>
      </c>
      <c r="C272" s="0" t="inlineStr">
        <is>
          <t>Oxygen</t>
        </is>
      </c>
      <c r="D272" s="0" t="n">
        <v>480</v>
      </c>
      <c r="E272" s="0">
        <f>VLOOKUP(C272,'Item Tier Lookup'!$A:$B,2,FALSE)</f>
        <v/>
      </c>
      <c r="F272" s="0">
        <f>VLOOKUP(E272,'Tier Params'!$A:$B,2,FALSE)</f>
        <v/>
      </c>
      <c r="G272" s="0">
        <f>VLOOKUP(E272,'Tier Params'!$A:$C,3,FALSE)</f>
        <v/>
      </c>
      <c r="H272" s="0">
        <f>CEILING(D272/G272,1)</f>
        <v/>
      </c>
      <c r="I272" s="0">
        <f>H272*F272</f>
        <v/>
      </c>
    </row>
    <row r="273">
      <c r="A273" s="0" t="inlineStr">
        <is>
          <t>'Reference sheet'!N275</t>
        </is>
      </c>
      <c r="B273" s="0" t="inlineStr">
        <is>
          <t>Structure Hangar Array</t>
        </is>
      </c>
      <c r="C273" s="0" t="inlineStr">
        <is>
          <t>Noble Gas</t>
        </is>
      </c>
      <c r="D273" s="0" t="n">
        <v>72000</v>
      </c>
      <c r="E273" s="0">
        <f>VLOOKUP(C273,'Item Tier Lookup'!$A:$B,2,FALSE)</f>
        <v/>
      </c>
      <c r="F273" s="0">
        <f>VLOOKUP(E273,'Tier Params'!$A:$B,2,FALSE)</f>
        <v/>
      </c>
      <c r="G273" s="0">
        <f>VLOOKUP(E273,'Tier Params'!$A:$C,3,FALSE)</f>
        <v/>
      </c>
      <c r="H273" s="0">
        <f>CEILING(D273/G273,1)</f>
        <v/>
      </c>
      <c r="I273" s="0">
        <f>H273*F273</f>
        <v/>
      </c>
    </row>
    <row r="274">
      <c r="A274" s="0" t="inlineStr">
        <is>
          <t>'Reference sheet'!N276</t>
        </is>
      </c>
      <c r="B274" s="0" t="inlineStr">
        <is>
          <t>Structure Hangar Array</t>
        </is>
      </c>
      <c r="C274" s="0" t="inlineStr">
        <is>
          <t>Biomass</t>
        </is>
      </c>
      <c r="D274" s="0" t="n">
        <v>480</v>
      </c>
      <c r="E274" s="0">
        <f>VLOOKUP(C274,'Item Tier Lookup'!$A:$B,2,FALSE)</f>
        <v/>
      </c>
      <c r="F274" s="0">
        <f>VLOOKUP(E274,'Tier Params'!$A:$B,2,FALSE)</f>
        <v/>
      </c>
      <c r="G274" s="0">
        <f>VLOOKUP(E274,'Tier Params'!$A:$C,3,FALSE)</f>
        <v/>
      </c>
      <c r="H274" s="0">
        <f>CEILING(D274/G274,1)</f>
        <v/>
      </c>
      <c r="I274" s="0">
        <f>H274*F274</f>
        <v/>
      </c>
    </row>
    <row r="275">
      <c r="A275" s="0" t="inlineStr">
        <is>
          <t>'Reference sheet'!N277</t>
        </is>
      </c>
      <c r="B275" s="0" t="inlineStr">
        <is>
          <t>Structure Hangar Array</t>
        </is>
      </c>
      <c r="C275" s="0" t="inlineStr">
        <is>
          <t>Planktic Colonies</t>
        </is>
      </c>
      <c r="D275" s="0" t="n">
        <v>72000</v>
      </c>
      <c r="E275" s="0">
        <f>VLOOKUP(C275,'Item Tier Lookup'!$A:$B,2,FALSE)</f>
        <v/>
      </c>
      <c r="F275" s="0">
        <f>VLOOKUP(E275,'Tier Params'!$A:$B,2,FALSE)</f>
        <v/>
      </c>
      <c r="G275" s="0">
        <f>VLOOKUP(E275,'Tier Params'!$A:$C,3,FALSE)</f>
        <v/>
      </c>
      <c r="H275" s="0">
        <f>CEILING(D275/G275,1)</f>
        <v/>
      </c>
      <c r="I275" s="0">
        <f>H275*F275</f>
        <v/>
      </c>
    </row>
    <row r="276">
      <c r="A276" s="0" t="inlineStr">
        <is>
          <t>'Reference sheet'!N278</t>
        </is>
      </c>
      <c r="B276" s="0" t="inlineStr">
        <is>
          <t>Structure Hangar Array</t>
        </is>
      </c>
      <c r="C276" s="0" t="inlineStr">
        <is>
          <t>Test Cultures</t>
        </is>
      </c>
      <c r="D276" s="0" t="n">
        <v>60</v>
      </c>
      <c r="E276" s="0">
        <f>VLOOKUP(C276,'Item Tier Lookup'!$A:$B,2,FALSE)</f>
        <v/>
      </c>
      <c r="F276" s="0">
        <f>VLOOKUP(E276,'Tier Params'!$A:$B,2,FALSE)</f>
        <v/>
      </c>
      <c r="G276" s="0">
        <f>VLOOKUP(E276,'Tier Params'!$A:$C,3,FALSE)</f>
        <v/>
      </c>
      <c r="H276" s="0">
        <f>CEILING(D276/G276,1)</f>
        <v/>
      </c>
      <c r="I276" s="0">
        <f>H276*F276</f>
        <v/>
      </c>
    </row>
    <row r="277">
      <c r="A277" s="0" t="inlineStr">
        <is>
          <t>'Reference sheet'!N279</t>
        </is>
      </c>
      <c r="B277" s="0" t="inlineStr">
        <is>
          <t>Structure Hangar Array</t>
        </is>
      </c>
      <c r="C277" s="0" t="inlineStr">
        <is>
          <t>Bacteria</t>
        </is>
      </c>
      <c r="D277" s="0" t="n">
        <v>480</v>
      </c>
      <c r="E277" s="0">
        <f>VLOOKUP(C277,'Item Tier Lookup'!$A:$B,2,FALSE)</f>
        <v/>
      </c>
      <c r="F277" s="0">
        <f>VLOOKUP(E277,'Tier Params'!$A:$B,2,FALSE)</f>
        <v/>
      </c>
      <c r="G277" s="0">
        <f>VLOOKUP(E277,'Tier Params'!$A:$C,3,FALSE)</f>
        <v/>
      </c>
      <c r="H277" s="0">
        <f>CEILING(D277/G277,1)</f>
        <v/>
      </c>
      <c r="I277" s="0">
        <f>H277*F277</f>
        <v/>
      </c>
    </row>
    <row r="278">
      <c r="A278" s="0" t="inlineStr">
        <is>
          <t>'Reference sheet'!N280</t>
        </is>
      </c>
      <c r="B278" s="0" t="inlineStr">
        <is>
          <t>Structure Hangar Array</t>
        </is>
      </c>
      <c r="C278" s="0" t="inlineStr">
        <is>
          <t>Microorganisms</t>
        </is>
      </c>
      <c r="D278" s="0" t="n">
        <v>72000</v>
      </c>
      <c r="E278" s="0">
        <f>VLOOKUP(C278,'Item Tier Lookup'!$A:$B,2,FALSE)</f>
        <v/>
      </c>
      <c r="F278" s="0">
        <f>VLOOKUP(E278,'Tier Params'!$A:$B,2,FALSE)</f>
        <v/>
      </c>
      <c r="G278" s="0">
        <f>VLOOKUP(E278,'Tier Params'!$A:$C,3,FALSE)</f>
        <v/>
      </c>
      <c r="H278" s="0">
        <f>CEILING(D278/G278,1)</f>
        <v/>
      </c>
      <c r="I278" s="0">
        <f>H278*F278</f>
        <v/>
      </c>
    </row>
    <row r="279">
      <c r="A279" s="0" t="inlineStr">
        <is>
          <t>'Reference sheet'!N281</t>
        </is>
      </c>
      <c r="B279" s="0" t="inlineStr">
        <is>
          <t>Structure Hangar Array</t>
        </is>
      </c>
      <c r="C279" s="0" t="inlineStr">
        <is>
          <t>Water</t>
        </is>
      </c>
      <c r="D279" s="0" t="n">
        <v>480</v>
      </c>
      <c r="E279" s="0">
        <f>VLOOKUP(C279,'Item Tier Lookup'!$A:$B,2,FALSE)</f>
        <v/>
      </c>
      <c r="F279" s="0">
        <f>VLOOKUP(E279,'Tier Params'!$A:$B,2,FALSE)</f>
        <v/>
      </c>
      <c r="G279" s="0">
        <f>VLOOKUP(E279,'Tier Params'!$A:$C,3,FALSE)</f>
        <v/>
      </c>
      <c r="H279" s="0">
        <f>CEILING(D279/G279,1)</f>
        <v/>
      </c>
      <c r="I279" s="0">
        <f>H279*F279</f>
        <v/>
      </c>
    </row>
    <row r="280">
      <c r="A280" s="0" t="inlineStr">
        <is>
          <t>'Reference sheet'!N282</t>
        </is>
      </c>
      <c r="B280" s="0" t="inlineStr">
        <is>
          <t>Structure Hangar Array</t>
        </is>
      </c>
      <c r="C280" s="0" t="inlineStr">
        <is>
          <t>Aqueous Liquids</t>
        </is>
      </c>
      <c r="D280" s="0" t="n">
        <v>72000</v>
      </c>
      <c r="E280" s="0">
        <f>VLOOKUP(C280,'Item Tier Lookup'!$A:$B,2,FALSE)</f>
        <v/>
      </c>
      <c r="F280" s="0">
        <f>VLOOKUP(E280,'Tier Params'!$A:$B,2,FALSE)</f>
        <v/>
      </c>
      <c r="G280" s="0">
        <f>VLOOKUP(E280,'Tier Params'!$A:$C,3,FALSE)</f>
        <v/>
      </c>
      <c r="H280" s="0">
        <f>CEILING(D280/G280,1)</f>
        <v/>
      </c>
      <c r="I280" s="0">
        <f>H280*F280</f>
        <v/>
      </c>
    </row>
    <row r="281">
      <c r="A281" s="0" t="inlineStr">
        <is>
          <t>'Reference sheet'!N283</t>
        </is>
      </c>
      <c r="B281" s="0" t="inlineStr">
        <is>
          <t>Structure Hangar Array</t>
        </is>
      </c>
      <c r="C281" s="0" t="inlineStr">
        <is>
          <t>Transcranial Microcontrollers</t>
        </is>
      </c>
      <c r="D281" s="0" t="n">
        <v>18</v>
      </c>
      <c r="E281" s="0">
        <f>VLOOKUP(C281,'Item Tier Lookup'!$A:$B,2,FALSE)</f>
        <v/>
      </c>
      <c r="F281" s="0">
        <f>VLOOKUP(E281,'Tier Params'!$A:$B,2,FALSE)</f>
        <v/>
      </c>
      <c r="G281" s="0">
        <f>VLOOKUP(E281,'Tier Params'!$A:$C,3,FALSE)</f>
        <v/>
      </c>
      <c r="H281" s="0">
        <f>CEILING(D281/G281,1)</f>
        <v/>
      </c>
      <c r="I281" s="0">
        <f>H281*F281</f>
        <v/>
      </c>
    </row>
    <row r="282">
      <c r="A282" s="0" t="inlineStr">
        <is>
          <t>'Reference sheet'!N284</t>
        </is>
      </c>
      <c r="B282" s="0" t="inlineStr">
        <is>
          <t>Structure Hangar Array</t>
        </is>
      </c>
      <c r="C282" s="0" t="inlineStr">
        <is>
          <t>Biocells</t>
        </is>
      </c>
      <c r="D282" s="0" t="n">
        <v>60</v>
      </c>
      <c r="E282" s="0">
        <f>VLOOKUP(C282,'Item Tier Lookup'!$A:$B,2,FALSE)</f>
        <v/>
      </c>
      <c r="F282" s="0">
        <f>VLOOKUP(E282,'Tier Params'!$A:$B,2,FALSE)</f>
        <v/>
      </c>
      <c r="G282" s="0">
        <f>VLOOKUP(E282,'Tier Params'!$A:$C,3,FALSE)</f>
        <v/>
      </c>
      <c r="H282" s="0">
        <f>CEILING(D282/G282,1)</f>
        <v/>
      </c>
      <c r="I282" s="0">
        <f>H282*F282</f>
        <v/>
      </c>
    </row>
    <row r="283">
      <c r="A283" s="0" t="inlineStr">
        <is>
          <t>'Reference sheet'!N285</t>
        </is>
      </c>
      <c r="B283" s="0" t="inlineStr">
        <is>
          <t>Structure Hangar Array</t>
        </is>
      </c>
      <c r="C283" s="0" t="inlineStr">
        <is>
          <t>Biofuels</t>
        </is>
      </c>
      <c r="D283" s="0" t="n">
        <v>480</v>
      </c>
      <c r="E283" s="0">
        <f>VLOOKUP(C283,'Item Tier Lookup'!$A:$B,2,FALSE)</f>
        <v/>
      </c>
      <c r="F283" s="0">
        <f>VLOOKUP(E283,'Tier Params'!$A:$B,2,FALSE)</f>
        <v/>
      </c>
      <c r="G283" s="0">
        <f>VLOOKUP(E283,'Tier Params'!$A:$C,3,FALSE)</f>
        <v/>
      </c>
      <c r="H283" s="0">
        <f>CEILING(D283/G283,1)</f>
        <v/>
      </c>
      <c r="I283" s="0">
        <f>H283*F283</f>
        <v/>
      </c>
    </row>
    <row r="284">
      <c r="A284" s="0" t="inlineStr">
        <is>
          <t>'Reference sheet'!N286</t>
        </is>
      </c>
      <c r="B284" s="0" t="inlineStr">
        <is>
          <t>Structure Hangar Array</t>
        </is>
      </c>
      <c r="C284" s="0" t="inlineStr">
        <is>
          <t>Carbon Compounds</t>
        </is>
      </c>
      <c r="D284" s="0" t="n">
        <v>72000</v>
      </c>
      <c r="E284" s="0">
        <f>VLOOKUP(C284,'Item Tier Lookup'!$A:$B,2,FALSE)</f>
        <v/>
      </c>
      <c r="F284" s="0">
        <f>VLOOKUP(E284,'Tier Params'!$A:$B,2,FALSE)</f>
        <v/>
      </c>
      <c r="G284" s="0">
        <f>VLOOKUP(E284,'Tier Params'!$A:$C,3,FALSE)</f>
        <v/>
      </c>
      <c r="H284" s="0">
        <f>CEILING(D284/G284,1)</f>
        <v/>
      </c>
      <c r="I284" s="0">
        <f>H284*F284</f>
        <v/>
      </c>
    </row>
    <row r="285">
      <c r="A285" s="0" t="inlineStr">
        <is>
          <t>'Reference sheet'!N287</t>
        </is>
      </c>
      <c r="B285" s="0" t="inlineStr">
        <is>
          <t>Structure Hangar Array</t>
        </is>
      </c>
      <c r="C285" s="0" t="inlineStr">
        <is>
          <t>Precious Metals</t>
        </is>
      </c>
      <c r="D285" s="0" t="n">
        <v>480</v>
      </c>
      <c r="E285" s="0">
        <f>VLOOKUP(C285,'Item Tier Lookup'!$A:$B,2,FALSE)</f>
        <v/>
      </c>
      <c r="F285" s="0">
        <f>VLOOKUP(E285,'Tier Params'!$A:$B,2,FALSE)</f>
        <v/>
      </c>
      <c r="G285" s="0">
        <f>VLOOKUP(E285,'Tier Params'!$A:$C,3,FALSE)</f>
        <v/>
      </c>
      <c r="H285" s="0">
        <f>CEILING(D285/G285,1)</f>
        <v/>
      </c>
      <c r="I285" s="0">
        <f>H285*F285</f>
        <v/>
      </c>
    </row>
    <row r="286">
      <c r="A286" s="0" t="inlineStr">
        <is>
          <t>'Reference sheet'!N288</t>
        </is>
      </c>
      <c r="B286" s="0" t="inlineStr">
        <is>
          <t>Structure Hangar Array</t>
        </is>
      </c>
      <c r="C286" s="0" t="inlineStr">
        <is>
          <t>Noble Metals</t>
        </is>
      </c>
      <c r="D286" s="0" t="n">
        <v>72000</v>
      </c>
      <c r="E286" s="0">
        <f>VLOOKUP(C286,'Item Tier Lookup'!$A:$B,2,FALSE)</f>
        <v/>
      </c>
      <c r="F286" s="0">
        <f>VLOOKUP(E286,'Tier Params'!$A:$B,2,FALSE)</f>
        <v/>
      </c>
      <c r="G286" s="0">
        <f>VLOOKUP(E286,'Tier Params'!$A:$C,3,FALSE)</f>
        <v/>
      </c>
      <c r="H286" s="0">
        <f>CEILING(D286/G286,1)</f>
        <v/>
      </c>
      <c r="I286" s="0">
        <f>H286*F286</f>
        <v/>
      </c>
    </row>
    <row r="287">
      <c r="A287" s="0" t="inlineStr">
        <is>
          <t>'Reference sheet'!N289</t>
        </is>
      </c>
      <c r="B287" s="0" t="inlineStr">
        <is>
          <t>Structure Hangar Array</t>
        </is>
      </c>
      <c r="C287" s="0" t="inlineStr">
        <is>
          <t>Nanites</t>
        </is>
      </c>
      <c r="D287" s="0" t="n">
        <v>60</v>
      </c>
      <c r="E287" s="0">
        <f>VLOOKUP(C287,'Item Tier Lookup'!$A:$B,2,FALSE)</f>
        <v/>
      </c>
      <c r="F287" s="0">
        <f>VLOOKUP(E287,'Tier Params'!$A:$B,2,FALSE)</f>
        <v/>
      </c>
      <c r="G287" s="0">
        <f>VLOOKUP(E287,'Tier Params'!$A:$C,3,FALSE)</f>
        <v/>
      </c>
      <c r="H287" s="0">
        <f>CEILING(D287/G287,1)</f>
        <v/>
      </c>
      <c r="I287" s="0">
        <f>H287*F287</f>
        <v/>
      </c>
    </row>
    <row r="288">
      <c r="A288" s="0" t="inlineStr">
        <is>
          <t>'Reference sheet'!N290</t>
        </is>
      </c>
      <c r="B288" s="0" t="inlineStr">
        <is>
          <t>Structure Hangar Array</t>
        </is>
      </c>
      <c r="C288" s="0" t="inlineStr">
        <is>
          <t>Bacteria</t>
        </is>
      </c>
      <c r="D288" s="0" t="n">
        <v>480</v>
      </c>
      <c r="E288" s="0">
        <f>VLOOKUP(C288,'Item Tier Lookup'!$A:$B,2,FALSE)</f>
        <v/>
      </c>
      <c r="F288" s="0">
        <f>VLOOKUP(E288,'Tier Params'!$A:$B,2,FALSE)</f>
        <v/>
      </c>
      <c r="G288" s="0">
        <f>VLOOKUP(E288,'Tier Params'!$A:$C,3,FALSE)</f>
        <v/>
      </c>
      <c r="H288" s="0">
        <f>CEILING(D288/G288,1)</f>
        <v/>
      </c>
      <c r="I288" s="0">
        <f>H288*F288</f>
        <v/>
      </c>
    </row>
    <row r="289">
      <c r="A289" s="0" t="inlineStr">
        <is>
          <t>'Reference sheet'!N291</t>
        </is>
      </c>
      <c r="B289" s="0" t="inlineStr">
        <is>
          <t>Structure Hangar Array</t>
        </is>
      </c>
      <c r="C289" s="0" t="inlineStr">
        <is>
          <t>Microorganisms</t>
        </is>
      </c>
      <c r="D289" s="0" t="n">
        <v>72000</v>
      </c>
      <c r="E289" s="0">
        <f>VLOOKUP(C289,'Item Tier Lookup'!$A:$B,2,FALSE)</f>
        <v/>
      </c>
      <c r="F289" s="0">
        <f>VLOOKUP(E289,'Tier Params'!$A:$B,2,FALSE)</f>
        <v/>
      </c>
      <c r="G289" s="0">
        <f>VLOOKUP(E289,'Tier Params'!$A:$C,3,FALSE)</f>
        <v/>
      </c>
      <c r="H289" s="0">
        <f>CEILING(D289/G289,1)</f>
        <v/>
      </c>
      <c r="I289" s="0">
        <f>H289*F289</f>
        <v/>
      </c>
    </row>
    <row r="290">
      <c r="A290" s="0" t="inlineStr">
        <is>
          <t>'Reference sheet'!N292</t>
        </is>
      </c>
      <c r="B290" s="0" t="inlineStr">
        <is>
          <t>Structure Hangar Array</t>
        </is>
      </c>
      <c r="C290" s="0" t="inlineStr">
        <is>
          <t>Reactive Metals</t>
        </is>
      </c>
      <c r="D290" s="0" t="n">
        <v>480</v>
      </c>
      <c r="E290" s="0">
        <f>VLOOKUP(C290,'Item Tier Lookup'!$A:$B,2,FALSE)</f>
        <v/>
      </c>
      <c r="F290" s="0">
        <f>VLOOKUP(E290,'Tier Params'!$A:$B,2,FALSE)</f>
        <v/>
      </c>
      <c r="G290" s="0">
        <f>VLOOKUP(E290,'Tier Params'!$A:$C,3,FALSE)</f>
        <v/>
      </c>
      <c r="H290" s="0">
        <f>CEILING(D290/G290,1)</f>
        <v/>
      </c>
      <c r="I290" s="0">
        <f>H290*F290</f>
        <v/>
      </c>
    </row>
    <row r="291">
      <c r="A291" s="0" t="inlineStr">
        <is>
          <t>'Reference sheet'!N293</t>
        </is>
      </c>
      <c r="B291" s="0" t="inlineStr">
        <is>
          <t>Structure Hangar Array</t>
        </is>
      </c>
      <c r="C291" s="0" t="inlineStr">
        <is>
          <t>Base Metals</t>
        </is>
      </c>
      <c r="D291" s="0" t="n">
        <v>72000</v>
      </c>
      <c r="E291" s="0">
        <f>VLOOKUP(C291,'Item Tier Lookup'!$A:$B,2,FALSE)</f>
        <v/>
      </c>
      <c r="F291" s="0">
        <f>VLOOKUP(E291,'Tier Params'!$A:$B,2,FALSE)</f>
        <v/>
      </c>
      <c r="G291" s="0">
        <f>VLOOKUP(E291,'Tier Params'!$A:$C,3,FALSE)</f>
        <v/>
      </c>
      <c r="H291" s="0">
        <f>CEILING(D291/G291,1)</f>
        <v/>
      </c>
      <c r="I291" s="0">
        <f>H291*F291</f>
        <v/>
      </c>
    </row>
    <row r="292">
      <c r="A292" s="0" t="inlineStr">
        <is>
          <t>'Reference sheet'!N294</t>
        </is>
      </c>
      <c r="B292" s="0" t="inlineStr">
        <is>
          <t>Structure Hangar Array</t>
        </is>
      </c>
      <c r="C292" s="0" t="inlineStr">
        <is>
          <t>Guidance Systems</t>
        </is>
      </c>
      <c r="D292" s="0" t="n">
        <v>18</v>
      </c>
      <c r="E292" s="0">
        <f>VLOOKUP(C292,'Item Tier Lookup'!$A:$B,2,FALSE)</f>
        <v/>
      </c>
      <c r="F292" s="0">
        <f>VLOOKUP(E292,'Tier Params'!$A:$B,2,FALSE)</f>
        <v/>
      </c>
      <c r="G292" s="0">
        <f>VLOOKUP(E292,'Tier Params'!$A:$C,3,FALSE)</f>
        <v/>
      </c>
      <c r="H292" s="0">
        <f>CEILING(D292/G292,1)</f>
        <v/>
      </c>
      <c r="I292" s="0">
        <f>H292*F292</f>
        <v/>
      </c>
    </row>
    <row r="293">
      <c r="A293" s="0" t="inlineStr">
        <is>
          <t>'Reference sheet'!N295</t>
        </is>
      </c>
      <c r="B293" s="0" t="inlineStr">
        <is>
          <t>Structure Hangar Array</t>
        </is>
      </c>
      <c r="C293" s="0" t="inlineStr">
        <is>
          <t>Water-Cooled CPU</t>
        </is>
      </c>
      <c r="D293" s="0" t="n">
        <v>60</v>
      </c>
      <c r="E293" s="0">
        <f>VLOOKUP(C293,'Item Tier Lookup'!$A:$B,2,FALSE)</f>
        <v/>
      </c>
      <c r="F293" s="0">
        <f>VLOOKUP(E293,'Tier Params'!$A:$B,2,FALSE)</f>
        <v/>
      </c>
      <c r="G293" s="0">
        <f>VLOOKUP(E293,'Tier Params'!$A:$C,3,FALSE)</f>
        <v/>
      </c>
      <c r="H293" s="0">
        <f>CEILING(D293/G293,1)</f>
        <v/>
      </c>
      <c r="I293" s="0">
        <f>H293*F293</f>
        <v/>
      </c>
    </row>
    <row r="294">
      <c r="A294" s="0" t="inlineStr">
        <is>
          <t>'Reference sheet'!N296</t>
        </is>
      </c>
      <c r="B294" s="0" t="inlineStr">
        <is>
          <t>Structure Hangar Array</t>
        </is>
      </c>
      <c r="C294" s="0" t="inlineStr">
        <is>
          <t>Water</t>
        </is>
      </c>
      <c r="D294" s="0" t="n">
        <v>480</v>
      </c>
      <c r="E294" s="0">
        <f>VLOOKUP(C294,'Item Tier Lookup'!$A:$B,2,FALSE)</f>
        <v/>
      </c>
      <c r="F294" s="0">
        <f>VLOOKUP(E294,'Tier Params'!$A:$B,2,FALSE)</f>
        <v/>
      </c>
      <c r="G294" s="0">
        <f>VLOOKUP(E294,'Tier Params'!$A:$C,3,FALSE)</f>
        <v/>
      </c>
      <c r="H294" s="0">
        <f>CEILING(D294/G294,1)</f>
        <v/>
      </c>
      <c r="I294" s="0">
        <f>H294*F294</f>
        <v/>
      </c>
    </row>
    <row r="295">
      <c r="A295" s="0" t="inlineStr">
        <is>
          <t>'Reference sheet'!N297</t>
        </is>
      </c>
      <c r="B295" s="0" t="inlineStr">
        <is>
          <t>Structure Hangar Array</t>
        </is>
      </c>
      <c r="C295" s="0" t="inlineStr">
        <is>
          <t>Aqueous Liquids</t>
        </is>
      </c>
      <c r="D295" s="0" t="n">
        <v>72000</v>
      </c>
      <c r="E295" s="0">
        <f>VLOOKUP(C295,'Item Tier Lookup'!$A:$B,2,FALSE)</f>
        <v/>
      </c>
      <c r="F295" s="0">
        <f>VLOOKUP(E295,'Tier Params'!$A:$B,2,FALSE)</f>
        <v/>
      </c>
      <c r="G295" s="0">
        <f>VLOOKUP(E295,'Tier Params'!$A:$C,3,FALSE)</f>
        <v/>
      </c>
      <c r="H295" s="0">
        <f>CEILING(D295/G295,1)</f>
        <v/>
      </c>
      <c r="I295" s="0">
        <f>H295*F295</f>
        <v/>
      </c>
    </row>
    <row r="296">
      <c r="A296" s="0" t="inlineStr">
        <is>
          <t>'Reference sheet'!N298</t>
        </is>
      </c>
      <c r="B296" s="0" t="inlineStr">
        <is>
          <t>Structure Hangar Array</t>
        </is>
      </c>
      <c r="C296" s="0" t="inlineStr">
        <is>
          <t>Reactive Metals</t>
        </is>
      </c>
      <c r="D296" s="0" t="n">
        <v>480</v>
      </c>
      <c r="E296" s="0">
        <f>VLOOKUP(C296,'Item Tier Lookup'!$A:$B,2,FALSE)</f>
        <v/>
      </c>
      <c r="F296" s="0">
        <f>VLOOKUP(E296,'Tier Params'!$A:$B,2,FALSE)</f>
        <v/>
      </c>
      <c r="G296" s="0">
        <f>VLOOKUP(E296,'Tier Params'!$A:$C,3,FALSE)</f>
        <v/>
      </c>
      <c r="H296" s="0">
        <f>CEILING(D296/G296,1)</f>
        <v/>
      </c>
      <c r="I296" s="0">
        <f>H296*F296</f>
        <v/>
      </c>
    </row>
    <row r="297">
      <c r="A297" s="0" t="inlineStr">
        <is>
          <t>'Reference sheet'!N299</t>
        </is>
      </c>
      <c r="B297" s="0" t="inlineStr">
        <is>
          <t>Structure Hangar Array</t>
        </is>
      </c>
      <c r="C297" s="0" t="inlineStr">
        <is>
          <t>Base Metals</t>
        </is>
      </c>
      <c r="D297" s="0" t="n">
        <v>72000</v>
      </c>
      <c r="E297" s="0">
        <f>VLOOKUP(C297,'Item Tier Lookup'!$A:$B,2,FALSE)</f>
        <v/>
      </c>
      <c r="F297" s="0">
        <f>VLOOKUP(E297,'Tier Params'!$A:$B,2,FALSE)</f>
        <v/>
      </c>
      <c r="G297" s="0">
        <f>VLOOKUP(E297,'Tier Params'!$A:$C,3,FALSE)</f>
        <v/>
      </c>
      <c r="H297" s="0">
        <f>CEILING(D297/G297,1)</f>
        <v/>
      </c>
      <c r="I297" s="0">
        <f>H297*F297</f>
        <v/>
      </c>
    </row>
    <row r="298">
      <c r="A298" s="0" t="inlineStr">
        <is>
          <t>'Reference sheet'!N300</t>
        </is>
      </c>
      <c r="B298" s="0" t="inlineStr">
        <is>
          <t>Structure Hangar Array</t>
        </is>
      </c>
      <c r="C298" s="0" t="inlineStr">
        <is>
          <t>Transmitter</t>
        </is>
      </c>
      <c r="D298" s="0" t="n">
        <v>60</v>
      </c>
      <c r="E298" s="0">
        <f>VLOOKUP(C298,'Item Tier Lookup'!$A:$B,2,FALSE)</f>
        <v/>
      </c>
      <c r="F298" s="0">
        <f>VLOOKUP(E298,'Tier Params'!$A:$B,2,FALSE)</f>
        <v/>
      </c>
      <c r="G298" s="0">
        <f>VLOOKUP(E298,'Tier Params'!$A:$C,3,FALSE)</f>
        <v/>
      </c>
      <c r="H298" s="0">
        <f>CEILING(D298/G298,1)</f>
        <v/>
      </c>
      <c r="I298" s="0">
        <f>H298*F298</f>
        <v/>
      </c>
    </row>
    <row r="299">
      <c r="A299" s="0" t="inlineStr">
        <is>
          <t>'Reference sheet'!N301</t>
        </is>
      </c>
      <c r="B299" s="0" t="inlineStr">
        <is>
          <t>Structure Hangar Array</t>
        </is>
      </c>
      <c r="C299" s="0" t="inlineStr">
        <is>
          <t>Chiral Structures</t>
        </is>
      </c>
      <c r="D299" s="0" t="n">
        <v>480</v>
      </c>
      <c r="E299" s="0">
        <f>VLOOKUP(C299,'Item Tier Lookup'!$A:$B,2,FALSE)</f>
        <v/>
      </c>
      <c r="F299" s="0">
        <f>VLOOKUP(E299,'Tier Params'!$A:$B,2,FALSE)</f>
        <v/>
      </c>
      <c r="G299" s="0">
        <f>VLOOKUP(E299,'Tier Params'!$A:$C,3,FALSE)</f>
        <v/>
      </c>
      <c r="H299" s="0">
        <f>CEILING(D299/G299,1)</f>
        <v/>
      </c>
      <c r="I299" s="0">
        <f>H299*F299</f>
        <v/>
      </c>
    </row>
    <row r="300">
      <c r="A300" s="0" t="inlineStr">
        <is>
          <t>'Reference sheet'!N302</t>
        </is>
      </c>
      <c r="B300" s="0" t="inlineStr">
        <is>
          <t>Structure Hangar Array</t>
        </is>
      </c>
      <c r="C300" s="0" t="inlineStr">
        <is>
          <t>Non-CS Crystals</t>
        </is>
      </c>
      <c r="D300" s="0" t="n">
        <v>72000</v>
      </c>
      <c r="E300" s="0">
        <f>VLOOKUP(C300,'Item Tier Lookup'!$A:$B,2,FALSE)</f>
        <v/>
      </c>
      <c r="F300" s="0">
        <f>VLOOKUP(E300,'Tier Params'!$A:$B,2,FALSE)</f>
        <v/>
      </c>
      <c r="G300" s="0">
        <f>VLOOKUP(E300,'Tier Params'!$A:$C,3,FALSE)</f>
        <v/>
      </c>
      <c r="H300" s="0">
        <f>CEILING(D300/G300,1)</f>
        <v/>
      </c>
      <c r="I300" s="0">
        <f>H300*F300</f>
        <v/>
      </c>
    </row>
    <row r="301">
      <c r="A301" s="0" t="inlineStr">
        <is>
          <t>'Reference sheet'!N303</t>
        </is>
      </c>
      <c r="B301" s="0" t="inlineStr">
        <is>
          <t>Structure Hangar Array</t>
        </is>
      </c>
      <c r="C301" s="0" t="inlineStr">
        <is>
          <t>Plasmoids</t>
        </is>
      </c>
      <c r="D301" s="0" t="n">
        <v>480</v>
      </c>
      <c r="E301" s="0">
        <f>VLOOKUP(C301,'Item Tier Lookup'!$A:$B,2,FALSE)</f>
        <v/>
      </c>
      <c r="F301" s="0">
        <f>VLOOKUP(E301,'Tier Params'!$A:$B,2,FALSE)</f>
        <v/>
      </c>
      <c r="G301" s="0">
        <f>VLOOKUP(E301,'Tier Params'!$A:$C,3,FALSE)</f>
        <v/>
      </c>
      <c r="H301" s="0">
        <f>CEILING(D301/G301,1)</f>
        <v/>
      </c>
      <c r="I301" s="0">
        <f>H301*F301</f>
        <v/>
      </c>
    </row>
    <row r="302">
      <c r="A302" s="0" t="inlineStr">
        <is>
          <t>'Reference sheet'!N304</t>
        </is>
      </c>
      <c r="B302" s="0" t="inlineStr">
        <is>
          <t>Structure Hangar Array</t>
        </is>
      </c>
      <c r="C302" s="0" t="inlineStr">
        <is>
          <t>Suspended Plasma</t>
        </is>
      </c>
      <c r="D302" s="0" t="n">
        <v>72000</v>
      </c>
      <c r="E302" s="0">
        <f>VLOOKUP(C302,'Item Tier Lookup'!$A:$B,2,FALSE)</f>
        <v/>
      </c>
      <c r="F302" s="0">
        <f>VLOOKUP(E302,'Tier Params'!$A:$B,2,FALSE)</f>
        <v/>
      </c>
      <c r="G302" s="0">
        <f>VLOOKUP(E302,'Tier Params'!$A:$C,3,FALSE)</f>
        <v/>
      </c>
      <c r="H302" s="0">
        <f>CEILING(D302/G302,1)</f>
        <v/>
      </c>
      <c r="I302" s="0">
        <f>H302*F302</f>
        <v/>
      </c>
    </row>
    <row r="303">
      <c r="A303" s="0" t="inlineStr">
        <is>
          <t>'Reference sheet'!N305</t>
        </is>
      </c>
      <c r="B303" s="0" t="inlineStr">
        <is>
          <t>Structure Hangar Array</t>
        </is>
      </c>
      <c r="C303" s="0" t="inlineStr">
        <is>
          <t>Self-Harmonizing Power Core</t>
        </is>
      </c>
      <c r="D303" s="0" t="n">
        <v>3</v>
      </c>
      <c r="E303" s="0">
        <f>VLOOKUP(C303,'Item Tier Lookup'!$A:$B,2,FALSE)</f>
        <v/>
      </c>
      <c r="F303" s="0">
        <f>VLOOKUP(E303,'Tier Params'!$A:$B,2,FALSE)</f>
        <v/>
      </c>
      <c r="G303" s="0">
        <f>VLOOKUP(E303,'Tier Params'!$A:$C,3,FALSE)</f>
        <v/>
      </c>
      <c r="H303" s="0">
        <f>CEILING(D303/G303,1)</f>
        <v/>
      </c>
      <c r="I303" s="0">
        <f>H303*F303</f>
        <v/>
      </c>
    </row>
    <row r="304">
      <c r="A304" s="0" t="inlineStr">
        <is>
          <t>'Reference sheet'!N306</t>
        </is>
      </c>
      <c r="B304" s="0" t="inlineStr">
        <is>
          <t>Structure Hangar Array</t>
        </is>
      </c>
      <c r="C304" s="0" t="inlineStr">
        <is>
          <t>Nuclear Reactors</t>
        </is>
      </c>
      <c r="D304" s="0" t="n">
        <v>18</v>
      </c>
      <c r="E304" s="0">
        <f>VLOOKUP(C304,'Item Tier Lookup'!$A:$B,2,FALSE)</f>
        <v/>
      </c>
      <c r="F304" s="0">
        <f>VLOOKUP(E304,'Tier Params'!$A:$B,2,FALSE)</f>
        <v/>
      </c>
      <c r="G304" s="0">
        <f>VLOOKUP(E304,'Tier Params'!$A:$C,3,FALSE)</f>
        <v/>
      </c>
      <c r="H304" s="0">
        <f>CEILING(D304/G304,1)</f>
        <v/>
      </c>
      <c r="I304" s="0">
        <f>H304*F304</f>
        <v/>
      </c>
    </row>
    <row r="305">
      <c r="A305" s="0" t="inlineStr">
        <is>
          <t>'Reference sheet'!N307</t>
        </is>
      </c>
      <c r="B305" s="0" t="inlineStr">
        <is>
          <t>Structure Hangar Array</t>
        </is>
      </c>
      <c r="C305" s="0" t="inlineStr">
        <is>
          <t>Enriched Uranium</t>
        </is>
      </c>
      <c r="D305" s="0" t="n">
        <v>60</v>
      </c>
      <c r="E305" s="0">
        <f>VLOOKUP(C305,'Item Tier Lookup'!$A:$B,2,FALSE)</f>
        <v/>
      </c>
      <c r="F305" s="0">
        <f>VLOOKUP(E305,'Tier Params'!$A:$B,2,FALSE)</f>
        <v/>
      </c>
      <c r="G305" s="0">
        <f>VLOOKUP(E305,'Tier Params'!$A:$C,3,FALSE)</f>
        <v/>
      </c>
      <c r="H305" s="0">
        <f>CEILING(D305/G305,1)</f>
        <v/>
      </c>
      <c r="I305" s="0">
        <f>H305*F305</f>
        <v/>
      </c>
    </row>
    <row r="306">
      <c r="A306" s="0" t="inlineStr">
        <is>
          <t>'Reference sheet'!N308</t>
        </is>
      </c>
      <c r="B306" s="0" t="inlineStr">
        <is>
          <t>Structure Hangar Array</t>
        </is>
      </c>
      <c r="C306" s="0" t="inlineStr">
        <is>
          <t>Toxic Metals</t>
        </is>
      </c>
      <c r="D306" s="0" t="n">
        <v>480</v>
      </c>
      <c r="E306" s="0">
        <f>VLOOKUP(C306,'Item Tier Lookup'!$A:$B,2,FALSE)</f>
        <v/>
      </c>
      <c r="F306" s="0">
        <f>VLOOKUP(E306,'Tier Params'!$A:$B,2,FALSE)</f>
        <v/>
      </c>
      <c r="G306" s="0">
        <f>VLOOKUP(E306,'Tier Params'!$A:$C,3,FALSE)</f>
        <v/>
      </c>
      <c r="H306" s="0">
        <f>CEILING(D306/G306,1)</f>
        <v/>
      </c>
      <c r="I306" s="0">
        <f>H306*F306</f>
        <v/>
      </c>
    </row>
    <row r="307">
      <c r="A307" s="0" t="inlineStr">
        <is>
          <t>'Reference sheet'!N309</t>
        </is>
      </c>
      <c r="B307" s="0" t="inlineStr">
        <is>
          <t>Structure Hangar Array</t>
        </is>
      </c>
      <c r="C307" s="0" t="inlineStr">
        <is>
          <t>Heavy Metals</t>
        </is>
      </c>
      <c r="D307" s="0" t="n">
        <v>72000</v>
      </c>
      <c r="E307" s="0">
        <f>VLOOKUP(C307,'Item Tier Lookup'!$A:$B,2,FALSE)</f>
        <v/>
      </c>
      <c r="F307" s="0">
        <f>VLOOKUP(E307,'Tier Params'!$A:$B,2,FALSE)</f>
        <v/>
      </c>
      <c r="G307" s="0">
        <f>VLOOKUP(E307,'Tier Params'!$A:$C,3,FALSE)</f>
        <v/>
      </c>
      <c r="H307" s="0">
        <f>CEILING(D307/G307,1)</f>
        <v/>
      </c>
      <c r="I307" s="0">
        <f>H307*F307</f>
        <v/>
      </c>
    </row>
    <row r="308">
      <c r="A308" s="0" t="inlineStr">
        <is>
          <t>'Reference sheet'!N310</t>
        </is>
      </c>
      <c r="B308" s="0" t="inlineStr">
        <is>
          <t>Structure Hangar Array</t>
        </is>
      </c>
      <c r="C308" s="0" t="inlineStr">
        <is>
          <t>Precious Metals</t>
        </is>
      </c>
      <c r="D308" s="0" t="n">
        <v>480</v>
      </c>
      <c r="E308" s="0">
        <f>VLOOKUP(C308,'Item Tier Lookup'!$A:$B,2,FALSE)</f>
        <v/>
      </c>
      <c r="F308" s="0">
        <f>VLOOKUP(E308,'Tier Params'!$A:$B,2,FALSE)</f>
        <v/>
      </c>
      <c r="G308" s="0">
        <f>VLOOKUP(E308,'Tier Params'!$A:$C,3,FALSE)</f>
        <v/>
      </c>
      <c r="H308" s="0">
        <f>CEILING(D308/G308,1)</f>
        <v/>
      </c>
      <c r="I308" s="0">
        <f>H308*F308</f>
        <v/>
      </c>
    </row>
    <row r="309">
      <c r="A309" s="0" t="inlineStr">
        <is>
          <t>'Reference sheet'!N311</t>
        </is>
      </c>
      <c r="B309" s="0" t="inlineStr">
        <is>
          <t>Structure Hangar Array</t>
        </is>
      </c>
      <c r="C309" s="0" t="inlineStr">
        <is>
          <t>Noble Metals</t>
        </is>
      </c>
      <c r="D309" s="0" t="n">
        <v>72000</v>
      </c>
      <c r="E309" s="0">
        <f>VLOOKUP(C309,'Item Tier Lookup'!$A:$B,2,FALSE)</f>
        <v/>
      </c>
      <c r="F309" s="0">
        <f>VLOOKUP(E309,'Tier Params'!$A:$B,2,FALSE)</f>
        <v/>
      </c>
      <c r="G309" s="0">
        <f>VLOOKUP(E309,'Tier Params'!$A:$C,3,FALSE)</f>
        <v/>
      </c>
      <c r="H309" s="0">
        <f>CEILING(D309/G309,1)</f>
        <v/>
      </c>
      <c r="I309" s="0">
        <f>H309*F309</f>
        <v/>
      </c>
    </row>
    <row r="310">
      <c r="A310" s="0" t="inlineStr">
        <is>
          <t>'Reference sheet'!N312</t>
        </is>
      </c>
      <c r="B310" s="0" t="inlineStr">
        <is>
          <t>Structure Hangar Array</t>
        </is>
      </c>
      <c r="C310" s="0" t="inlineStr">
        <is>
          <t>Microfiber Shielding</t>
        </is>
      </c>
      <c r="D310" s="0" t="n">
        <v>60</v>
      </c>
      <c r="E310" s="0">
        <f>VLOOKUP(C310,'Item Tier Lookup'!$A:$B,2,FALSE)</f>
        <v/>
      </c>
      <c r="F310" s="0">
        <f>VLOOKUP(E310,'Tier Params'!$A:$B,2,FALSE)</f>
        <v/>
      </c>
      <c r="G310" s="0">
        <f>VLOOKUP(E310,'Tier Params'!$A:$C,3,FALSE)</f>
        <v/>
      </c>
      <c r="H310" s="0">
        <f>CEILING(D310/G310,1)</f>
        <v/>
      </c>
      <c r="I310" s="0">
        <f>H310*F310</f>
        <v/>
      </c>
    </row>
    <row r="311">
      <c r="A311" s="0" t="inlineStr">
        <is>
          <t>'Reference sheet'!N313</t>
        </is>
      </c>
      <c r="B311" s="0" t="inlineStr">
        <is>
          <t>Structure Hangar Array</t>
        </is>
      </c>
      <c r="C311" s="0" t="inlineStr">
        <is>
          <t>Silicon</t>
        </is>
      </c>
      <c r="D311" s="0" t="n">
        <v>480</v>
      </c>
      <c r="E311" s="0">
        <f>VLOOKUP(C311,'Item Tier Lookup'!$A:$B,2,FALSE)</f>
        <v/>
      </c>
      <c r="F311" s="0">
        <f>VLOOKUP(E311,'Tier Params'!$A:$B,2,FALSE)</f>
        <v/>
      </c>
      <c r="G311" s="0">
        <f>VLOOKUP(E311,'Tier Params'!$A:$C,3,FALSE)</f>
        <v/>
      </c>
      <c r="H311" s="0">
        <f>CEILING(D311/G311,1)</f>
        <v/>
      </c>
      <c r="I311" s="0">
        <f>H311*F311</f>
        <v/>
      </c>
    </row>
    <row r="312">
      <c r="A312" s="0" t="inlineStr">
        <is>
          <t>'Reference sheet'!N314</t>
        </is>
      </c>
      <c r="B312" s="0" t="inlineStr">
        <is>
          <t>Structure Hangar Array</t>
        </is>
      </c>
      <c r="C312" s="0" t="inlineStr">
        <is>
          <t>Felsic Magma</t>
        </is>
      </c>
      <c r="D312" s="0" t="n">
        <v>72000</v>
      </c>
      <c r="E312" s="0">
        <f>VLOOKUP(C312,'Item Tier Lookup'!$A:$B,2,FALSE)</f>
        <v/>
      </c>
      <c r="F312" s="0">
        <f>VLOOKUP(E312,'Tier Params'!$A:$B,2,FALSE)</f>
        <v/>
      </c>
      <c r="G312" s="0">
        <f>VLOOKUP(E312,'Tier Params'!$A:$C,3,FALSE)</f>
        <v/>
      </c>
      <c r="H312" s="0">
        <f>CEILING(D312/G312,1)</f>
        <v/>
      </c>
      <c r="I312" s="0">
        <f>H312*F312</f>
        <v/>
      </c>
    </row>
    <row r="313">
      <c r="A313" s="0" t="inlineStr">
        <is>
          <t>'Reference sheet'!N315</t>
        </is>
      </c>
      <c r="B313" s="0" t="inlineStr">
        <is>
          <t>Structure Hangar Array</t>
        </is>
      </c>
      <c r="C313" s="0" t="inlineStr">
        <is>
          <t>Industrial Fibers</t>
        </is>
      </c>
      <c r="D313" s="0" t="n">
        <v>480</v>
      </c>
      <c r="E313" s="0">
        <f>VLOOKUP(C313,'Item Tier Lookup'!$A:$B,2,FALSE)</f>
        <v/>
      </c>
      <c r="F313" s="0">
        <f>VLOOKUP(E313,'Tier Params'!$A:$B,2,FALSE)</f>
        <v/>
      </c>
      <c r="G313" s="0">
        <f>VLOOKUP(E313,'Tier Params'!$A:$C,3,FALSE)</f>
        <v/>
      </c>
      <c r="H313" s="0">
        <f>CEILING(D313/G313,1)</f>
        <v/>
      </c>
      <c r="I313" s="0">
        <f>H313*F313</f>
        <v/>
      </c>
    </row>
    <row r="314">
      <c r="A314" s="0" t="inlineStr">
        <is>
          <t>'Reference sheet'!N316</t>
        </is>
      </c>
      <c r="B314" s="0" t="inlineStr">
        <is>
          <t>Structure Hangar Array</t>
        </is>
      </c>
      <c r="C314" s="0" t="inlineStr">
        <is>
          <t>Autotrophs</t>
        </is>
      </c>
      <c r="D314" s="0" t="n">
        <v>72000</v>
      </c>
      <c r="E314" s="0">
        <f>VLOOKUP(C314,'Item Tier Lookup'!$A:$B,2,FALSE)</f>
        <v/>
      </c>
      <c r="F314" s="0">
        <f>VLOOKUP(E314,'Tier Params'!$A:$B,2,FALSE)</f>
        <v/>
      </c>
      <c r="G314" s="0">
        <f>VLOOKUP(E314,'Tier Params'!$A:$C,3,FALSE)</f>
        <v/>
      </c>
      <c r="H314" s="0">
        <f>CEILING(D314/G314,1)</f>
        <v/>
      </c>
      <c r="I314" s="0">
        <f>H314*F314</f>
        <v/>
      </c>
    </row>
    <row r="315">
      <c r="A315" s="0" t="inlineStr">
        <is>
          <t>'Reference sheet'!N317</t>
        </is>
      </c>
      <c r="B315" s="0" t="inlineStr">
        <is>
          <t>Structure Hangar Array</t>
        </is>
      </c>
      <c r="C315" s="0" t="inlineStr">
        <is>
          <t>Camera Drones</t>
        </is>
      </c>
      <c r="D315" s="0" t="n">
        <v>18</v>
      </c>
      <c r="E315" s="0">
        <f>VLOOKUP(C315,'Item Tier Lookup'!$A:$B,2,FALSE)</f>
        <v/>
      </c>
      <c r="F315" s="0">
        <f>VLOOKUP(E315,'Tier Params'!$A:$B,2,FALSE)</f>
        <v/>
      </c>
      <c r="G315" s="0">
        <f>VLOOKUP(E315,'Tier Params'!$A:$C,3,FALSE)</f>
        <v/>
      </c>
      <c r="H315" s="0">
        <f>CEILING(D315/G315,1)</f>
        <v/>
      </c>
      <c r="I315" s="0">
        <f>H315*F315</f>
        <v/>
      </c>
    </row>
    <row r="316">
      <c r="A316" s="0" t="inlineStr">
        <is>
          <t>'Reference sheet'!N318</t>
        </is>
      </c>
      <c r="B316" s="0" t="inlineStr">
        <is>
          <t>Structure Hangar Array</t>
        </is>
      </c>
      <c r="C316" s="0" t="inlineStr">
        <is>
          <t>Rocket Fuel</t>
        </is>
      </c>
      <c r="D316" s="0" t="n">
        <v>60</v>
      </c>
      <c r="E316" s="0">
        <f>VLOOKUP(C316,'Item Tier Lookup'!$A:$B,2,FALSE)</f>
        <v/>
      </c>
      <c r="F316" s="0">
        <f>VLOOKUP(E316,'Tier Params'!$A:$B,2,FALSE)</f>
        <v/>
      </c>
      <c r="G316" s="0">
        <f>VLOOKUP(E316,'Tier Params'!$A:$C,3,FALSE)</f>
        <v/>
      </c>
      <c r="H316" s="0">
        <f>CEILING(D316/G316,1)</f>
        <v/>
      </c>
      <c r="I316" s="0">
        <f>H316*F316</f>
        <v/>
      </c>
    </row>
    <row r="317">
      <c r="A317" s="0" t="inlineStr">
        <is>
          <t>'Reference sheet'!N319</t>
        </is>
      </c>
      <c r="B317" s="0" t="inlineStr">
        <is>
          <t>Structure Hangar Array</t>
        </is>
      </c>
      <c r="C317" s="0" t="inlineStr">
        <is>
          <t>Electrolytes</t>
        </is>
      </c>
      <c r="D317" s="0" t="n">
        <v>480</v>
      </c>
      <c r="E317" s="0">
        <f>VLOOKUP(C317,'Item Tier Lookup'!$A:$B,2,FALSE)</f>
        <v/>
      </c>
      <c r="F317" s="0">
        <f>VLOOKUP(E317,'Tier Params'!$A:$B,2,FALSE)</f>
        <v/>
      </c>
      <c r="G317" s="0">
        <f>VLOOKUP(E317,'Tier Params'!$A:$C,3,FALSE)</f>
        <v/>
      </c>
      <c r="H317" s="0">
        <f>CEILING(D317/G317,1)</f>
        <v/>
      </c>
      <c r="I317" s="0">
        <f>H317*F317</f>
        <v/>
      </c>
    </row>
    <row r="318">
      <c r="A318" s="0" t="inlineStr">
        <is>
          <t>'Reference sheet'!N320</t>
        </is>
      </c>
      <c r="B318" s="0" t="inlineStr">
        <is>
          <t>Structure Hangar Array</t>
        </is>
      </c>
      <c r="C318" s="0" t="inlineStr">
        <is>
          <t>Ionic Solutions</t>
        </is>
      </c>
      <c r="D318" s="0" t="n">
        <v>72000</v>
      </c>
      <c r="E318" s="0">
        <f>VLOOKUP(C318,'Item Tier Lookup'!$A:$B,2,FALSE)</f>
        <v/>
      </c>
      <c r="F318" s="0">
        <f>VLOOKUP(E318,'Tier Params'!$A:$B,2,FALSE)</f>
        <v/>
      </c>
      <c r="G318" s="0">
        <f>VLOOKUP(E318,'Tier Params'!$A:$C,3,FALSE)</f>
        <v/>
      </c>
      <c r="H318" s="0">
        <f>CEILING(D318/G318,1)</f>
        <v/>
      </c>
      <c r="I318" s="0">
        <f>H318*F318</f>
        <v/>
      </c>
    </row>
    <row r="319">
      <c r="A319" s="0" t="inlineStr">
        <is>
          <t>'Reference sheet'!N321</t>
        </is>
      </c>
      <c r="B319" s="0" t="inlineStr">
        <is>
          <t>Structure Hangar Array</t>
        </is>
      </c>
      <c r="C319" s="0" t="inlineStr">
        <is>
          <t>Plasmoids</t>
        </is>
      </c>
      <c r="D319" s="0" t="n">
        <v>480</v>
      </c>
      <c r="E319" s="0">
        <f>VLOOKUP(C319,'Item Tier Lookup'!$A:$B,2,FALSE)</f>
        <v/>
      </c>
      <c r="F319" s="0">
        <f>VLOOKUP(E319,'Tier Params'!$A:$B,2,FALSE)</f>
        <v/>
      </c>
      <c r="G319" s="0">
        <f>VLOOKUP(E319,'Tier Params'!$A:$C,3,FALSE)</f>
        <v/>
      </c>
      <c r="H319" s="0">
        <f>CEILING(D319/G319,1)</f>
        <v/>
      </c>
      <c r="I319" s="0">
        <f>H319*F319</f>
        <v/>
      </c>
    </row>
    <row r="320">
      <c r="A320" s="0" t="inlineStr">
        <is>
          <t>'Reference sheet'!N322</t>
        </is>
      </c>
      <c r="B320" s="0" t="inlineStr">
        <is>
          <t>Structure Hangar Array</t>
        </is>
      </c>
      <c r="C320" s="0" t="inlineStr">
        <is>
          <t>Suspended Plasma</t>
        </is>
      </c>
      <c r="D320" s="0" t="n">
        <v>72000</v>
      </c>
      <c r="E320" s="0">
        <f>VLOOKUP(C320,'Item Tier Lookup'!$A:$B,2,FALSE)</f>
        <v/>
      </c>
      <c r="F320" s="0">
        <f>VLOOKUP(E320,'Tier Params'!$A:$B,2,FALSE)</f>
        <v/>
      </c>
      <c r="G320" s="0">
        <f>VLOOKUP(E320,'Tier Params'!$A:$C,3,FALSE)</f>
        <v/>
      </c>
      <c r="H320" s="0">
        <f>CEILING(D320/G320,1)</f>
        <v/>
      </c>
      <c r="I320" s="0">
        <f>H320*F320</f>
        <v/>
      </c>
    </row>
    <row r="321">
      <c r="A321" s="0" t="inlineStr">
        <is>
          <t>'Reference sheet'!N323</t>
        </is>
      </c>
      <c r="B321" s="0" t="inlineStr">
        <is>
          <t>Structure Hangar Array</t>
        </is>
      </c>
      <c r="C321" s="0" t="inlineStr">
        <is>
          <t>Silicate Glass</t>
        </is>
      </c>
      <c r="D321" s="0" t="n">
        <v>60</v>
      </c>
      <c r="E321" s="0">
        <f>VLOOKUP(C321,'Item Tier Lookup'!$A:$B,2,FALSE)</f>
        <v/>
      </c>
      <c r="F321" s="0">
        <f>VLOOKUP(E321,'Tier Params'!$A:$B,2,FALSE)</f>
        <v/>
      </c>
      <c r="G321" s="0">
        <f>VLOOKUP(E321,'Tier Params'!$A:$C,3,FALSE)</f>
        <v/>
      </c>
      <c r="H321" s="0">
        <f>CEILING(D321/G321,1)</f>
        <v/>
      </c>
      <c r="I321" s="0">
        <f>H321*F321</f>
        <v/>
      </c>
    </row>
    <row r="322">
      <c r="A322" s="0" t="inlineStr">
        <is>
          <t>'Reference sheet'!N324</t>
        </is>
      </c>
      <c r="B322" s="0" t="inlineStr">
        <is>
          <t>Structure Hangar Array</t>
        </is>
      </c>
      <c r="C322" s="0" t="inlineStr">
        <is>
          <t>Oxidizing Compound</t>
        </is>
      </c>
      <c r="D322" s="0" t="n">
        <v>480</v>
      </c>
      <c r="E322" s="0">
        <f>VLOOKUP(C322,'Item Tier Lookup'!$A:$B,2,FALSE)</f>
        <v/>
      </c>
      <c r="F322" s="0">
        <f>VLOOKUP(E322,'Tier Params'!$A:$B,2,FALSE)</f>
        <v/>
      </c>
      <c r="G322" s="0">
        <f>VLOOKUP(E322,'Tier Params'!$A:$C,3,FALSE)</f>
        <v/>
      </c>
      <c r="H322" s="0">
        <f>CEILING(D322/G322,1)</f>
        <v/>
      </c>
      <c r="I322" s="0">
        <f>H322*F322</f>
        <v/>
      </c>
    </row>
    <row r="323">
      <c r="A323" s="0" t="inlineStr">
        <is>
          <t>'Reference sheet'!N325</t>
        </is>
      </c>
      <c r="B323" s="0" t="inlineStr">
        <is>
          <t>Structure Hangar Array</t>
        </is>
      </c>
      <c r="C323" s="0" t="inlineStr">
        <is>
          <t>Reactive Gas</t>
        </is>
      </c>
      <c r="D323" s="0" t="n">
        <v>72000</v>
      </c>
      <c r="E323" s="0">
        <f>VLOOKUP(C323,'Item Tier Lookup'!$A:$B,2,FALSE)</f>
        <v/>
      </c>
      <c r="F323" s="0">
        <f>VLOOKUP(E323,'Tier Params'!$A:$B,2,FALSE)</f>
        <v/>
      </c>
      <c r="G323" s="0">
        <f>VLOOKUP(E323,'Tier Params'!$A:$C,3,FALSE)</f>
        <v/>
      </c>
      <c r="H323" s="0">
        <f>CEILING(D323/G323,1)</f>
        <v/>
      </c>
      <c r="I323" s="0">
        <f>H323*F323</f>
        <v/>
      </c>
    </row>
    <row r="324">
      <c r="A324" s="0" t="inlineStr">
        <is>
          <t>'Reference sheet'!N326</t>
        </is>
      </c>
      <c r="B324" s="0" t="inlineStr">
        <is>
          <t>Structure Hangar Array</t>
        </is>
      </c>
      <c r="C324" s="0" t="inlineStr">
        <is>
          <t>Silicon</t>
        </is>
      </c>
      <c r="D324" s="0" t="n">
        <v>480</v>
      </c>
      <c r="E324" s="0">
        <f>VLOOKUP(C324,'Item Tier Lookup'!$A:$B,2,FALSE)</f>
        <v/>
      </c>
      <c r="F324" s="0">
        <f>VLOOKUP(E324,'Tier Params'!$A:$B,2,FALSE)</f>
        <v/>
      </c>
      <c r="G324" s="0">
        <f>VLOOKUP(E324,'Tier Params'!$A:$C,3,FALSE)</f>
        <v/>
      </c>
      <c r="H324" s="0">
        <f>CEILING(D324/G324,1)</f>
        <v/>
      </c>
      <c r="I324" s="0">
        <f>H324*F324</f>
        <v/>
      </c>
    </row>
    <row r="325">
      <c r="A325" s="0" t="inlineStr">
        <is>
          <t>'Reference sheet'!N327</t>
        </is>
      </c>
      <c r="B325" s="0" t="inlineStr">
        <is>
          <t>Structure Hangar Array</t>
        </is>
      </c>
      <c r="C325" s="0" t="inlineStr">
        <is>
          <t>Felsic Magma</t>
        </is>
      </c>
      <c r="D325" s="0" t="n">
        <v>72000</v>
      </c>
      <c r="E325" s="0">
        <f>VLOOKUP(C325,'Item Tier Lookup'!$A:$B,2,FALSE)</f>
        <v/>
      </c>
      <c r="F325" s="0">
        <f>VLOOKUP(E325,'Tier Params'!$A:$B,2,FALSE)</f>
        <v/>
      </c>
      <c r="G325" s="0">
        <f>VLOOKUP(E325,'Tier Params'!$A:$C,3,FALSE)</f>
        <v/>
      </c>
      <c r="H325" s="0">
        <f>CEILING(D325/G325,1)</f>
        <v/>
      </c>
      <c r="I325" s="0">
        <f>H325*F325</f>
        <v/>
      </c>
    </row>
    <row r="326">
      <c r="A326" s="0" t="inlineStr">
        <is>
          <t>'Reference sheet'!N328</t>
        </is>
      </c>
      <c r="B326" s="0" t="inlineStr">
        <is>
          <t>Structure Hangar Array</t>
        </is>
      </c>
      <c r="C326" s="0" t="inlineStr">
        <is>
          <t>Hermetic Membranes</t>
        </is>
      </c>
      <c r="D326" s="0" t="n">
        <v>18</v>
      </c>
      <c r="E326" s="0">
        <f>VLOOKUP(C326,'Item Tier Lookup'!$A:$B,2,FALSE)</f>
        <v/>
      </c>
      <c r="F326" s="0">
        <f>VLOOKUP(E326,'Tier Params'!$A:$B,2,FALSE)</f>
        <v/>
      </c>
      <c r="G326" s="0">
        <f>VLOOKUP(E326,'Tier Params'!$A:$C,3,FALSE)</f>
        <v/>
      </c>
      <c r="H326" s="0">
        <f>CEILING(D326/G326,1)</f>
        <v/>
      </c>
      <c r="I326" s="0">
        <f>H326*F326</f>
        <v/>
      </c>
    </row>
    <row r="327">
      <c r="A327" s="0" t="inlineStr">
        <is>
          <t>'Reference sheet'!N329</t>
        </is>
      </c>
      <c r="B327" s="0" t="inlineStr">
        <is>
          <t>Structure Hangar Array</t>
        </is>
      </c>
      <c r="C327" s="0" t="inlineStr">
        <is>
          <t>Polyaramids</t>
        </is>
      </c>
      <c r="D327" s="0" t="n">
        <v>60</v>
      </c>
      <c r="E327" s="0">
        <f>VLOOKUP(C327,'Item Tier Lookup'!$A:$B,2,FALSE)</f>
        <v/>
      </c>
      <c r="F327" s="0">
        <f>VLOOKUP(E327,'Tier Params'!$A:$B,2,FALSE)</f>
        <v/>
      </c>
      <c r="G327" s="0">
        <f>VLOOKUP(E327,'Tier Params'!$A:$C,3,FALSE)</f>
        <v/>
      </c>
      <c r="H327" s="0">
        <f>CEILING(D327/G327,1)</f>
        <v/>
      </c>
      <c r="I327" s="0">
        <f>H327*F327</f>
        <v/>
      </c>
    </row>
    <row r="328">
      <c r="A328" s="0" t="inlineStr">
        <is>
          <t>'Reference sheet'!N330</t>
        </is>
      </c>
      <c r="B328" s="0" t="inlineStr">
        <is>
          <t>Structure Hangar Array</t>
        </is>
      </c>
      <c r="C328" s="0" t="inlineStr">
        <is>
          <t>Oxidizing Compound</t>
        </is>
      </c>
      <c r="D328" s="0" t="n">
        <v>480</v>
      </c>
      <c r="E328" s="0">
        <f>VLOOKUP(C328,'Item Tier Lookup'!$A:$B,2,FALSE)</f>
        <v/>
      </c>
      <c r="F328" s="0">
        <f>VLOOKUP(E328,'Tier Params'!$A:$B,2,FALSE)</f>
        <v/>
      </c>
      <c r="G328" s="0">
        <f>VLOOKUP(E328,'Tier Params'!$A:$C,3,FALSE)</f>
        <v/>
      </c>
      <c r="H328" s="0">
        <f>CEILING(D328/G328,1)</f>
        <v/>
      </c>
      <c r="I328" s="0">
        <f>H328*F328</f>
        <v/>
      </c>
    </row>
    <row r="329">
      <c r="A329" s="0" t="inlineStr">
        <is>
          <t>'Reference sheet'!N331</t>
        </is>
      </c>
      <c r="B329" s="0" t="inlineStr">
        <is>
          <t>Structure Hangar Array</t>
        </is>
      </c>
      <c r="C329" s="0" t="inlineStr">
        <is>
          <t>Reactive Gas</t>
        </is>
      </c>
      <c r="D329" s="0" t="n">
        <v>72000</v>
      </c>
      <c r="E329" s="0">
        <f>VLOOKUP(C329,'Item Tier Lookup'!$A:$B,2,FALSE)</f>
        <v/>
      </c>
      <c r="F329" s="0">
        <f>VLOOKUP(E329,'Tier Params'!$A:$B,2,FALSE)</f>
        <v/>
      </c>
      <c r="G329" s="0">
        <f>VLOOKUP(E329,'Tier Params'!$A:$C,3,FALSE)</f>
        <v/>
      </c>
      <c r="H329" s="0">
        <f>CEILING(D329/G329,1)</f>
        <v/>
      </c>
      <c r="I329" s="0">
        <f>H329*F329</f>
        <v/>
      </c>
    </row>
    <row r="330">
      <c r="A330" s="0" t="inlineStr">
        <is>
          <t>'Reference sheet'!N332</t>
        </is>
      </c>
      <c r="B330" s="0" t="inlineStr">
        <is>
          <t>Structure Hangar Array</t>
        </is>
      </c>
      <c r="C330" s="0" t="inlineStr">
        <is>
          <t>Industrial Fibers</t>
        </is>
      </c>
      <c r="D330" s="0" t="n">
        <v>480</v>
      </c>
      <c r="E330" s="0">
        <f>VLOOKUP(C330,'Item Tier Lookup'!$A:$B,2,FALSE)</f>
        <v/>
      </c>
      <c r="F330" s="0">
        <f>VLOOKUP(E330,'Tier Params'!$A:$B,2,FALSE)</f>
        <v/>
      </c>
      <c r="G330" s="0">
        <f>VLOOKUP(E330,'Tier Params'!$A:$C,3,FALSE)</f>
        <v/>
      </c>
      <c r="H330" s="0">
        <f>CEILING(D330/G330,1)</f>
        <v/>
      </c>
      <c r="I330" s="0">
        <f>H330*F330</f>
        <v/>
      </c>
    </row>
    <row r="331">
      <c r="A331" s="0" t="inlineStr">
        <is>
          <t>'Reference sheet'!N333</t>
        </is>
      </c>
      <c r="B331" s="0" t="inlineStr">
        <is>
          <t>Structure Hangar Array</t>
        </is>
      </c>
      <c r="C331" s="0" t="inlineStr">
        <is>
          <t>Autotrophs</t>
        </is>
      </c>
      <c r="D331" s="0" t="n">
        <v>72000</v>
      </c>
      <c r="E331" s="0">
        <f>VLOOKUP(C331,'Item Tier Lookup'!$A:$B,2,FALSE)</f>
        <v/>
      </c>
      <c r="F331" s="0">
        <f>VLOOKUP(E331,'Tier Params'!$A:$B,2,FALSE)</f>
        <v/>
      </c>
      <c r="G331" s="0">
        <f>VLOOKUP(E331,'Tier Params'!$A:$C,3,FALSE)</f>
        <v/>
      </c>
      <c r="H331" s="0">
        <f>CEILING(D331/G331,1)</f>
        <v/>
      </c>
      <c r="I331" s="0">
        <f>H331*F331</f>
        <v/>
      </c>
    </row>
    <row r="332">
      <c r="A332" s="0" t="inlineStr">
        <is>
          <t>'Reference sheet'!N334</t>
        </is>
      </c>
      <c r="B332" s="0" t="inlineStr">
        <is>
          <t>Structure Hangar Array</t>
        </is>
      </c>
      <c r="C332" s="0" t="inlineStr">
        <is>
          <t>Genetically Enhanced Livestock</t>
        </is>
      </c>
      <c r="D332" s="0" t="n">
        <v>60</v>
      </c>
      <c r="E332" s="0">
        <f>VLOOKUP(C332,'Item Tier Lookup'!$A:$B,2,FALSE)</f>
        <v/>
      </c>
      <c r="F332" s="0">
        <f>VLOOKUP(E332,'Tier Params'!$A:$B,2,FALSE)</f>
        <v/>
      </c>
      <c r="G332" s="0">
        <f>VLOOKUP(E332,'Tier Params'!$A:$C,3,FALSE)</f>
        <v/>
      </c>
      <c r="H332" s="0">
        <f>CEILING(D332/G332,1)</f>
        <v/>
      </c>
      <c r="I332" s="0">
        <f>H332*F332</f>
        <v/>
      </c>
    </row>
    <row r="333">
      <c r="A333" s="0" t="inlineStr">
        <is>
          <t>'Reference sheet'!N335</t>
        </is>
      </c>
      <c r="B333" s="0" t="inlineStr">
        <is>
          <t>Structure Hangar Array</t>
        </is>
      </c>
      <c r="C333" s="0" t="inlineStr">
        <is>
          <t>Proteins</t>
        </is>
      </c>
      <c r="D333" s="0" t="n">
        <v>480</v>
      </c>
      <c r="E333" s="0">
        <f>VLOOKUP(C333,'Item Tier Lookup'!$A:$B,2,FALSE)</f>
        <v/>
      </c>
      <c r="F333" s="0">
        <f>VLOOKUP(E333,'Tier Params'!$A:$B,2,FALSE)</f>
        <v/>
      </c>
      <c r="G333" s="0">
        <f>VLOOKUP(E333,'Tier Params'!$A:$C,3,FALSE)</f>
        <v/>
      </c>
      <c r="H333" s="0">
        <f>CEILING(D333/G333,1)</f>
        <v/>
      </c>
      <c r="I333" s="0">
        <f>H333*F333</f>
        <v/>
      </c>
    </row>
    <row r="334">
      <c r="A334" s="0" t="inlineStr">
        <is>
          <t>'Reference sheet'!N336</t>
        </is>
      </c>
      <c r="B334" s="0" t="inlineStr">
        <is>
          <t>Structure Hangar Array</t>
        </is>
      </c>
      <c r="C334" s="0" t="inlineStr">
        <is>
          <t>Complex Organisms</t>
        </is>
      </c>
      <c r="D334" s="0" t="n">
        <v>72000</v>
      </c>
      <c r="E334" s="0">
        <f>VLOOKUP(C334,'Item Tier Lookup'!$A:$B,2,FALSE)</f>
        <v/>
      </c>
      <c r="F334" s="0">
        <f>VLOOKUP(E334,'Tier Params'!$A:$B,2,FALSE)</f>
        <v/>
      </c>
      <c r="G334" s="0">
        <f>VLOOKUP(E334,'Tier Params'!$A:$C,3,FALSE)</f>
        <v/>
      </c>
      <c r="H334" s="0">
        <f>CEILING(D334/G334,1)</f>
        <v/>
      </c>
      <c r="I334" s="0">
        <f>H334*F334</f>
        <v/>
      </c>
    </row>
    <row r="335">
      <c r="A335" s="0" t="inlineStr">
        <is>
          <t>'Reference sheet'!N337</t>
        </is>
      </c>
      <c r="B335" s="0" t="inlineStr">
        <is>
          <t>Structure Hangar Array</t>
        </is>
      </c>
      <c r="C335" s="0" t="inlineStr">
        <is>
          <t>Biomass</t>
        </is>
      </c>
      <c r="D335" s="0" t="n">
        <v>480</v>
      </c>
      <c r="E335" s="0">
        <f>VLOOKUP(C335,'Item Tier Lookup'!$A:$B,2,FALSE)</f>
        <v/>
      </c>
      <c r="F335" s="0">
        <f>VLOOKUP(E335,'Tier Params'!$A:$B,2,FALSE)</f>
        <v/>
      </c>
      <c r="G335" s="0">
        <f>VLOOKUP(E335,'Tier Params'!$A:$C,3,FALSE)</f>
        <v/>
      </c>
      <c r="H335" s="0">
        <f>CEILING(D335/G335,1)</f>
        <v/>
      </c>
      <c r="I335" s="0">
        <f>H335*F335</f>
        <v/>
      </c>
    </row>
    <row r="336">
      <c r="A336" s="0" t="inlineStr">
        <is>
          <t>'Reference sheet'!N338</t>
        </is>
      </c>
      <c r="B336" s="0" t="inlineStr">
        <is>
          <t>Structure Hangar Array</t>
        </is>
      </c>
      <c r="C336" s="0" t="inlineStr">
        <is>
          <t>Planktic Colonies</t>
        </is>
      </c>
      <c r="D336" s="0" t="n">
        <v>72000</v>
      </c>
      <c r="E336" s="0">
        <f>VLOOKUP(C336,'Item Tier Lookup'!$A:$B,2,FALSE)</f>
        <v/>
      </c>
      <c r="F336" s="0">
        <f>VLOOKUP(E336,'Tier Params'!$A:$B,2,FALSE)</f>
        <v/>
      </c>
      <c r="G336" s="0">
        <f>VLOOKUP(E336,'Tier Params'!$A:$C,3,FALSE)</f>
        <v/>
      </c>
      <c r="H336" s="0">
        <f>CEILING(D336/G336,1)</f>
        <v/>
      </c>
      <c r="I336" s="0">
        <f>H336*F336</f>
        <v/>
      </c>
    </row>
    <row r="337">
      <c r="A337" s="0" t="inlineStr">
        <is>
          <t>'Reference sheet'!N339</t>
        </is>
      </c>
      <c r="B337" s="0" t="inlineStr">
        <is>
          <t>Structure Hangar Array</t>
        </is>
      </c>
      <c r="C337" s="0" t="inlineStr">
        <is>
          <t>Sterile Conduits</t>
        </is>
      </c>
      <c r="D337" s="0" t="n">
        <v>3</v>
      </c>
      <c r="E337" s="0">
        <f>VLOOKUP(C337,'Item Tier Lookup'!$A:$B,2,FALSE)</f>
        <v/>
      </c>
      <c r="F337" s="0">
        <f>VLOOKUP(E337,'Tier Params'!$A:$B,2,FALSE)</f>
        <v/>
      </c>
      <c r="G337" s="0">
        <f>VLOOKUP(E337,'Tier Params'!$A:$C,3,FALSE)</f>
        <v/>
      </c>
      <c r="H337" s="0">
        <f>CEILING(D337/G337,1)</f>
        <v/>
      </c>
      <c r="I337" s="0">
        <f>H337*F337</f>
        <v/>
      </c>
    </row>
    <row r="338">
      <c r="A338" s="0" t="inlineStr">
        <is>
          <t>'Reference sheet'!N340</t>
        </is>
      </c>
      <c r="B338" s="0" t="inlineStr">
        <is>
          <t>Structure Hangar Array</t>
        </is>
      </c>
      <c r="C338" s="0" t="inlineStr">
        <is>
          <t>Water</t>
        </is>
      </c>
      <c r="D338" s="0" t="n">
        <v>120</v>
      </c>
      <c r="E338" s="0">
        <f>VLOOKUP(C338,'Item Tier Lookup'!$A:$B,2,FALSE)</f>
        <v/>
      </c>
      <c r="F338" s="0">
        <f>VLOOKUP(E338,'Tier Params'!$A:$B,2,FALSE)</f>
        <v/>
      </c>
      <c r="G338" s="0">
        <f>VLOOKUP(E338,'Tier Params'!$A:$C,3,FALSE)</f>
        <v/>
      </c>
      <c r="H338" s="0">
        <f>CEILING(D338/G338,1)</f>
        <v/>
      </c>
      <c r="I338" s="0">
        <f>H338*F338</f>
        <v/>
      </c>
    </row>
    <row r="339">
      <c r="A339" s="0" t="inlineStr">
        <is>
          <t>'Reference sheet'!N341</t>
        </is>
      </c>
      <c r="B339" s="0" t="inlineStr">
        <is>
          <t>Structure Hangar Array</t>
        </is>
      </c>
      <c r="C339" s="0" t="inlineStr">
        <is>
          <t>Aqueous Liquids</t>
        </is>
      </c>
      <c r="D339" s="0" t="n">
        <v>18000</v>
      </c>
      <c r="E339" s="0">
        <f>VLOOKUP(C339,'Item Tier Lookup'!$A:$B,2,FALSE)</f>
        <v/>
      </c>
      <c r="F339" s="0">
        <f>VLOOKUP(E339,'Tier Params'!$A:$B,2,FALSE)</f>
        <v/>
      </c>
      <c r="G339" s="0">
        <f>VLOOKUP(E339,'Tier Params'!$A:$C,3,FALSE)</f>
        <v/>
      </c>
      <c r="H339" s="0">
        <f>CEILING(D339/G339,1)</f>
        <v/>
      </c>
      <c r="I339" s="0">
        <f>H339*F339</f>
        <v/>
      </c>
    </row>
    <row r="340">
      <c r="A340" s="0" t="inlineStr">
        <is>
          <t>'Reference sheet'!N342</t>
        </is>
      </c>
      <c r="B340" s="0" t="inlineStr">
        <is>
          <t>Structure Hangar Array</t>
        </is>
      </c>
      <c r="C340" s="0" t="inlineStr">
        <is>
          <t>Vaccines</t>
        </is>
      </c>
      <c r="D340" s="0" t="n">
        <v>18</v>
      </c>
      <c r="E340" s="0">
        <f>VLOOKUP(C340,'Item Tier Lookup'!$A:$B,2,FALSE)</f>
        <v/>
      </c>
      <c r="F340" s="0">
        <f>VLOOKUP(E340,'Tier Params'!$A:$B,2,FALSE)</f>
        <v/>
      </c>
      <c r="G340" s="0">
        <f>VLOOKUP(E340,'Tier Params'!$A:$C,3,FALSE)</f>
        <v/>
      </c>
      <c r="H340" s="0">
        <f>CEILING(D340/G340,1)</f>
        <v/>
      </c>
      <c r="I340" s="0">
        <f>H340*F340</f>
        <v/>
      </c>
    </row>
    <row r="341">
      <c r="A341" s="0" t="inlineStr">
        <is>
          <t>'Reference sheet'!N343</t>
        </is>
      </c>
      <c r="B341" s="0" t="inlineStr">
        <is>
          <t>Structure Hangar Array</t>
        </is>
      </c>
      <c r="C341" s="0" t="inlineStr">
        <is>
          <t>Livestock</t>
        </is>
      </c>
      <c r="D341" s="0" t="n">
        <v>60</v>
      </c>
      <c r="E341" s="0">
        <f>VLOOKUP(C341,'Item Tier Lookup'!$A:$B,2,FALSE)</f>
        <v/>
      </c>
      <c r="F341" s="0">
        <f>VLOOKUP(E341,'Tier Params'!$A:$B,2,FALSE)</f>
        <v/>
      </c>
      <c r="G341" s="0">
        <f>VLOOKUP(E341,'Tier Params'!$A:$C,3,FALSE)</f>
        <v/>
      </c>
      <c r="H341" s="0">
        <f>CEILING(D341/G341,1)</f>
        <v/>
      </c>
      <c r="I341" s="0">
        <f>H341*F341</f>
        <v/>
      </c>
    </row>
    <row r="342">
      <c r="A342" s="0" t="inlineStr">
        <is>
          <t>'Reference sheet'!N344</t>
        </is>
      </c>
      <c r="B342" s="0" t="inlineStr">
        <is>
          <t>Structure Hangar Array</t>
        </is>
      </c>
      <c r="C342" s="0" t="inlineStr">
        <is>
          <t>Proteins</t>
        </is>
      </c>
      <c r="D342" s="0" t="n">
        <v>480</v>
      </c>
      <c r="E342" s="0">
        <f>VLOOKUP(C342,'Item Tier Lookup'!$A:$B,2,FALSE)</f>
        <v/>
      </c>
      <c r="F342" s="0">
        <f>VLOOKUP(E342,'Tier Params'!$A:$B,2,FALSE)</f>
        <v/>
      </c>
      <c r="G342" s="0">
        <f>VLOOKUP(E342,'Tier Params'!$A:$C,3,FALSE)</f>
        <v/>
      </c>
      <c r="H342" s="0">
        <f>CEILING(D342/G342,1)</f>
        <v/>
      </c>
      <c r="I342" s="0">
        <f>H342*F342</f>
        <v/>
      </c>
    </row>
    <row r="343">
      <c r="A343" s="0" t="inlineStr">
        <is>
          <t>'Reference sheet'!N345</t>
        </is>
      </c>
      <c r="B343" s="0" t="inlineStr">
        <is>
          <t>Structure Hangar Array</t>
        </is>
      </c>
      <c r="C343" s="0" t="inlineStr">
        <is>
          <t>Complex Organisms</t>
        </is>
      </c>
      <c r="D343" s="0" t="n">
        <v>72000</v>
      </c>
      <c r="E343" s="0">
        <f>VLOOKUP(C343,'Item Tier Lookup'!$A:$B,2,FALSE)</f>
        <v/>
      </c>
      <c r="F343" s="0">
        <f>VLOOKUP(E343,'Tier Params'!$A:$B,2,FALSE)</f>
        <v/>
      </c>
      <c r="G343" s="0">
        <f>VLOOKUP(E343,'Tier Params'!$A:$C,3,FALSE)</f>
        <v/>
      </c>
      <c r="H343" s="0">
        <f>CEILING(D343/G343,1)</f>
        <v/>
      </c>
      <c r="I343" s="0">
        <f>H343*F343</f>
        <v/>
      </c>
    </row>
    <row r="344">
      <c r="A344" s="0" t="inlineStr">
        <is>
          <t>'Reference sheet'!N346</t>
        </is>
      </c>
      <c r="B344" s="0" t="inlineStr">
        <is>
          <t>Structure Hangar Array</t>
        </is>
      </c>
      <c r="C344" s="0" t="inlineStr">
        <is>
          <t>Biofuels</t>
        </is>
      </c>
      <c r="D344" s="0" t="n">
        <v>480</v>
      </c>
      <c r="E344" s="0">
        <f>VLOOKUP(C344,'Item Tier Lookup'!$A:$B,2,FALSE)</f>
        <v/>
      </c>
      <c r="F344" s="0">
        <f>VLOOKUP(E344,'Tier Params'!$A:$B,2,FALSE)</f>
        <v/>
      </c>
      <c r="G344" s="0">
        <f>VLOOKUP(E344,'Tier Params'!$A:$C,3,FALSE)</f>
        <v/>
      </c>
      <c r="H344" s="0">
        <f>CEILING(D344/G344,1)</f>
        <v/>
      </c>
      <c r="I344" s="0">
        <f>H344*F344</f>
        <v/>
      </c>
    </row>
    <row r="345">
      <c r="A345" s="0" t="inlineStr">
        <is>
          <t>'Reference sheet'!N347</t>
        </is>
      </c>
      <c r="B345" s="0" t="inlineStr">
        <is>
          <t>Structure Hangar Array</t>
        </is>
      </c>
      <c r="C345" s="0" t="inlineStr">
        <is>
          <t>Carbon Compounds</t>
        </is>
      </c>
      <c r="D345" s="0" t="n">
        <v>72000</v>
      </c>
      <c r="E345" s="0">
        <f>VLOOKUP(C345,'Item Tier Lookup'!$A:$B,2,FALSE)</f>
        <v/>
      </c>
      <c r="F345" s="0">
        <f>VLOOKUP(E345,'Tier Params'!$A:$B,2,FALSE)</f>
        <v/>
      </c>
      <c r="G345" s="0">
        <f>VLOOKUP(E345,'Tier Params'!$A:$C,3,FALSE)</f>
        <v/>
      </c>
      <c r="H345" s="0">
        <f>CEILING(D345/G345,1)</f>
        <v/>
      </c>
      <c r="I345" s="0">
        <f>H345*F345</f>
        <v/>
      </c>
    </row>
    <row r="346">
      <c r="A346" s="0" t="inlineStr">
        <is>
          <t>'Reference sheet'!N348</t>
        </is>
      </c>
      <c r="B346" s="0" t="inlineStr">
        <is>
          <t>Structure Hangar Array</t>
        </is>
      </c>
      <c r="C346" s="0" t="inlineStr">
        <is>
          <t>Viral Agent</t>
        </is>
      </c>
      <c r="D346" s="0" t="n">
        <v>60</v>
      </c>
      <c r="E346" s="0">
        <f>VLOOKUP(C346,'Item Tier Lookup'!$A:$B,2,FALSE)</f>
        <v/>
      </c>
      <c r="F346" s="0">
        <f>VLOOKUP(E346,'Tier Params'!$A:$B,2,FALSE)</f>
        <v/>
      </c>
      <c r="G346" s="0">
        <f>VLOOKUP(E346,'Tier Params'!$A:$C,3,FALSE)</f>
        <v/>
      </c>
      <c r="H346" s="0">
        <f>CEILING(D346/G346,1)</f>
        <v/>
      </c>
      <c r="I346" s="0">
        <f>H346*F346</f>
        <v/>
      </c>
    </row>
    <row r="347">
      <c r="A347" s="0" t="inlineStr">
        <is>
          <t>'Reference sheet'!N349</t>
        </is>
      </c>
      <c r="B347" s="0" t="inlineStr">
        <is>
          <t>Structure Hangar Array</t>
        </is>
      </c>
      <c r="C347" s="0" t="inlineStr">
        <is>
          <t>Bacteria</t>
        </is>
      </c>
      <c r="D347" s="0" t="n">
        <v>480</v>
      </c>
      <c r="E347" s="0">
        <f>VLOOKUP(C347,'Item Tier Lookup'!$A:$B,2,FALSE)</f>
        <v/>
      </c>
      <c r="F347" s="0">
        <f>VLOOKUP(E347,'Tier Params'!$A:$B,2,FALSE)</f>
        <v/>
      </c>
      <c r="G347" s="0">
        <f>VLOOKUP(E347,'Tier Params'!$A:$C,3,FALSE)</f>
        <v/>
      </c>
      <c r="H347" s="0">
        <f>CEILING(D347/G347,1)</f>
        <v/>
      </c>
      <c r="I347" s="0">
        <f>H347*F347</f>
        <v/>
      </c>
    </row>
    <row r="348">
      <c r="A348" s="0" t="inlineStr">
        <is>
          <t>'Reference sheet'!N350</t>
        </is>
      </c>
      <c r="B348" s="0" t="inlineStr">
        <is>
          <t>Structure Hangar Array</t>
        </is>
      </c>
      <c r="C348" s="0" t="inlineStr">
        <is>
          <t>Microorganisms</t>
        </is>
      </c>
      <c r="D348" s="0" t="n">
        <v>72000</v>
      </c>
      <c r="E348" s="0">
        <f>VLOOKUP(C348,'Item Tier Lookup'!$A:$B,2,FALSE)</f>
        <v/>
      </c>
      <c r="F348" s="0">
        <f>VLOOKUP(E348,'Tier Params'!$A:$B,2,FALSE)</f>
        <v/>
      </c>
      <c r="G348" s="0">
        <f>VLOOKUP(E348,'Tier Params'!$A:$C,3,FALSE)</f>
        <v/>
      </c>
      <c r="H348" s="0">
        <f>CEILING(D348/G348,1)</f>
        <v/>
      </c>
      <c r="I348" s="0">
        <f>H348*F348</f>
        <v/>
      </c>
    </row>
    <row r="349">
      <c r="A349" s="0" t="inlineStr">
        <is>
          <t>'Reference sheet'!N351</t>
        </is>
      </c>
      <c r="B349" s="0" t="inlineStr">
        <is>
          <t>Structure Hangar Array</t>
        </is>
      </c>
      <c r="C349" s="0" t="inlineStr">
        <is>
          <t>Biomass</t>
        </is>
      </c>
      <c r="D349" s="0" t="n">
        <v>480</v>
      </c>
      <c r="E349" s="0">
        <f>VLOOKUP(C349,'Item Tier Lookup'!$A:$B,2,FALSE)</f>
        <v/>
      </c>
      <c r="F349" s="0">
        <f>VLOOKUP(E349,'Tier Params'!$A:$B,2,FALSE)</f>
        <v/>
      </c>
      <c r="G349" s="0">
        <f>VLOOKUP(E349,'Tier Params'!$A:$C,3,FALSE)</f>
        <v/>
      </c>
      <c r="H349" s="0">
        <f>CEILING(D349/G349,1)</f>
        <v/>
      </c>
      <c r="I349" s="0">
        <f>H349*F349</f>
        <v/>
      </c>
    </row>
    <row r="350">
      <c r="A350" s="0" t="inlineStr">
        <is>
          <t>'Reference sheet'!N352</t>
        </is>
      </c>
      <c r="B350" s="0" t="inlineStr">
        <is>
          <t>Structure Hangar Array</t>
        </is>
      </c>
      <c r="C350" s="0" t="inlineStr">
        <is>
          <t>Planktic Colonies</t>
        </is>
      </c>
      <c r="D350" s="0" t="n">
        <v>72000</v>
      </c>
      <c r="E350" s="0">
        <f>VLOOKUP(C350,'Item Tier Lookup'!$A:$B,2,FALSE)</f>
        <v/>
      </c>
      <c r="F350" s="0">
        <f>VLOOKUP(E350,'Tier Params'!$A:$B,2,FALSE)</f>
        <v/>
      </c>
      <c r="G350" s="0">
        <f>VLOOKUP(E350,'Tier Params'!$A:$C,3,FALSE)</f>
        <v/>
      </c>
      <c r="H350" s="0">
        <f>CEILING(D350/G350,1)</f>
        <v/>
      </c>
      <c r="I350" s="0">
        <f>H350*F350</f>
        <v/>
      </c>
    </row>
    <row r="351">
      <c r="A351" s="0" t="inlineStr">
        <is>
          <t>'Reference sheet'!N353</t>
        </is>
      </c>
      <c r="B351" s="0" t="inlineStr">
        <is>
          <t>Structure Hangar Array</t>
        </is>
      </c>
      <c r="C351" s="0" t="inlineStr">
        <is>
          <t>Smartfab Units</t>
        </is>
      </c>
      <c r="D351" s="0" t="n">
        <v>18</v>
      </c>
      <c r="E351" s="0">
        <f>VLOOKUP(C351,'Item Tier Lookup'!$A:$B,2,FALSE)</f>
        <v/>
      </c>
      <c r="F351" s="0">
        <f>VLOOKUP(E351,'Tier Params'!$A:$B,2,FALSE)</f>
        <v/>
      </c>
      <c r="G351" s="0">
        <f>VLOOKUP(E351,'Tier Params'!$A:$C,3,FALSE)</f>
        <v/>
      </c>
      <c r="H351" s="0">
        <f>CEILING(D351/G351,1)</f>
        <v/>
      </c>
      <c r="I351" s="0">
        <f>H351*F351</f>
        <v/>
      </c>
    </row>
    <row r="352">
      <c r="A352" s="0" t="inlineStr">
        <is>
          <t>'Reference sheet'!N354</t>
        </is>
      </c>
      <c r="B352" s="0" t="inlineStr">
        <is>
          <t>Structure Hangar Array</t>
        </is>
      </c>
      <c r="C352" s="0" t="inlineStr">
        <is>
          <t>Miniature Electronics</t>
        </is>
      </c>
      <c r="D352" s="0" t="n">
        <v>60</v>
      </c>
      <c r="E352" s="0">
        <f>VLOOKUP(C352,'Item Tier Lookup'!$A:$B,2,FALSE)</f>
        <v/>
      </c>
      <c r="F352" s="0">
        <f>VLOOKUP(E352,'Tier Params'!$A:$B,2,FALSE)</f>
        <v/>
      </c>
      <c r="G352" s="0">
        <f>VLOOKUP(E352,'Tier Params'!$A:$C,3,FALSE)</f>
        <v/>
      </c>
      <c r="H352" s="0">
        <f>CEILING(D352/G352,1)</f>
        <v/>
      </c>
      <c r="I352" s="0">
        <f>H352*F352</f>
        <v/>
      </c>
    </row>
    <row r="353">
      <c r="A353" s="0" t="inlineStr">
        <is>
          <t>'Reference sheet'!N355</t>
        </is>
      </c>
      <c r="B353" s="0" t="inlineStr">
        <is>
          <t>Structure Hangar Array</t>
        </is>
      </c>
      <c r="C353" s="0" t="inlineStr">
        <is>
          <t>Chiral Structures</t>
        </is>
      </c>
      <c r="D353" s="0" t="n">
        <v>480</v>
      </c>
      <c r="E353" s="0">
        <f>VLOOKUP(C353,'Item Tier Lookup'!$A:$B,2,FALSE)</f>
        <v/>
      </c>
      <c r="F353" s="0">
        <f>VLOOKUP(E353,'Tier Params'!$A:$B,2,FALSE)</f>
        <v/>
      </c>
      <c r="G353" s="0">
        <f>VLOOKUP(E353,'Tier Params'!$A:$C,3,FALSE)</f>
        <v/>
      </c>
      <c r="H353" s="0">
        <f>CEILING(D353/G353,1)</f>
        <v/>
      </c>
      <c r="I353" s="0">
        <f>H353*F353</f>
        <v/>
      </c>
    </row>
    <row r="354">
      <c r="A354" s="0" t="inlineStr">
        <is>
          <t>'Reference sheet'!N356</t>
        </is>
      </c>
      <c r="B354" s="0" t="inlineStr">
        <is>
          <t>Structure Hangar Array</t>
        </is>
      </c>
      <c r="C354" s="0" t="inlineStr">
        <is>
          <t>Non-CS Crystals</t>
        </is>
      </c>
      <c r="D354" s="0" t="n">
        <v>72000</v>
      </c>
      <c r="E354" s="0">
        <f>VLOOKUP(C354,'Item Tier Lookup'!$A:$B,2,FALSE)</f>
        <v/>
      </c>
      <c r="F354" s="0">
        <f>VLOOKUP(E354,'Tier Params'!$A:$B,2,FALSE)</f>
        <v/>
      </c>
      <c r="G354" s="0">
        <f>VLOOKUP(E354,'Tier Params'!$A:$C,3,FALSE)</f>
        <v/>
      </c>
      <c r="H354" s="0">
        <f>CEILING(D354/G354,1)</f>
        <v/>
      </c>
      <c r="I354" s="0">
        <f>H354*F354</f>
        <v/>
      </c>
    </row>
    <row r="355">
      <c r="A355" s="0" t="inlineStr">
        <is>
          <t>'Reference sheet'!N357</t>
        </is>
      </c>
      <c r="B355" s="0" t="inlineStr">
        <is>
          <t>Structure Hangar Array</t>
        </is>
      </c>
      <c r="C355" s="0" t="inlineStr">
        <is>
          <t>Silicon</t>
        </is>
      </c>
      <c r="D355" s="0" t="n">
        <v>480</v>
      </c>
      <c r="E355" s="0">
        <f>VLOOKUP(C355,'Item Tier Lookup'!$A:$B,2,FALSE)</f>
        <v/>
      </c>
      <c r="F355" s="0">
        <f>VLOOKUP(E355,'Tier Params'!$A:$B,2,FALSE)</f>
        <v/>
      </c>
      <c r="G355" s="0">
        <f>VLOOKUP(E355,'Tier Params'!$A:$C,3,FALSE)</f>
        <v/>
      </c>
      <c r="H355" s="0">
        <f>CEILING(D355/G355,1)</f>
        <v/>
      </c>
      <c r="I355" s="0">
        <f>H355*F355</f>
        <v/>
      </c>
    </row>
    <row r="356">
      <c r="A356" s="0" t="inlineStr">
        <is>
          <t>'Reference sheet'!N358</t>
        </is>
      </c>
      <c r="B356" s="0" t="inlineStr">
        <is>
          <t>Structure Hangar Array</t>
        </is>
      </c>
      <c r="C356" s="0" t="inlineStr">
        <is>
          <t>Felsic Magma</t>
        </is>
      </c>
      <c r="D356" s="0" t="n">
        <v>72000</v>
      </c>
      <c r="E356" s="0">
        <f>VLOOKUP(C356,'Item Tier Lookup'!$A:$B,2,FALSE)</f>
        <v/>
      </c>
      <c r="F356" s="0">
        <f>VLOOKUP(E356,'Tier Params'!$A:$B,2,FALSE)</f>
        <v/>
      </c>
      <c r="G356" s="0">
        <f>VLOOKUP(E356,'Tier Params'!$A:$C,3,FALSE)</f>
        <v/>
      </c>
      <c r="H356" s="0">
        <f>CEILING(D356/G356,1)</f>
        <v/>
      </c>
      <c r="I356" s="0">
        <f>H356*F356</f>
        <v/>
      </c>
    </row>
    <row r="357">
      <c r="A357" s="0" t="inlineStr">
        <is>
          <t>'Reference sheet'!N359</t>
        </is>
      </c>
      <c r="B357" s="0" t="inlineStr">
        <is>
          <t>Structure Hangar Array</t>
        </is>
      </c>
      <c r="C357" s="0" t="inlineStr">
        <is>
          <t>Construction Blocks</t>
        </is>
      </c>
      <c r="D357" s="0" t="n">
        <v>60</v>
      </c>
      <c r="E357" s="0">
        <f>VLOOKUP(C357,'Item Tier Lookup'!$A:$B,2,FALSE)</f>
        <v/>
      </c>
      <c r="F357" s="0">
        <f>VLOOKUP(E357,'Tier Params'!$A:$B,2,FALSE)</f>
        <v/>
      </c>
      <c r="G357" s="0">
        <f>VLOOKUP(E357,'Tier Params'!$A:$C,3,FALSE)</f>
        <v/>
      </c>
      <c r="H357" s="0">
        <f>CEILING(D357/G357,1)</f>
        <v/>
      </c>
      <c r="I357" s="0">
        <f>H357*F357</f>
        <v/>
      </c>
    </row>
    <row r="358">
      <c r="A358" s="0" t="inlineStr">
        <is>
          <t>'Reference sheet'!N360</t>
        </is>
      </c>
      <c r="B358" s="0" t="inlineStr">
        <is>
          <t>Structure Hangar Array</t>
        </is>
      </c>
      <c r="C358" s="0" t="inlineStr">
        <is>
          <t>Toxic Metals</t>
        </is>
      </c>
      <c r="D358" s="0" t="n">
        <v>480</v>
      </c>
      <c r="E358" s="0">
        <f>VLOOKUP(C358,'Item Tier Lookup'!$A:$B,2,FALSE)</f>
        <v/>
      </c>
      <c r="F358" s="0">
        <f>VLOOKUP(E358,'Tier Params'!$A:$B,2,FALSE)</f>
        <v/>
      </c>
      <c r="G358" s="0">
        <f>VLOOKUP(E358,'Tier Params'!$A:$C,3,FALSE)</f>
        <v/>
      </c>
      <c r="H358" s="0">
        <f>CEILING(D358/G358,1)</f>
        <v/>
      </c>
      <c r="I358" s="0">
        <f>H358*F358</f>
        <v/>
      </c>
    </row>
    <row r="359">
      <c r="A359" s="0" t="inlineStr">
        <is>
          <t>'Reference sheet'!N361</t>
        </is>
      </c>
      <c r="B359" s="0" t="inlineStr">
        <is>
          <t>Structure Hangar Array</t>
        </is>
      </c>
      <c r="C359" s="0" t="inlineStr">
        <is>
          <t>Heavy Metals</t>
        </is>
      </c>
      <c r="D359" s="0" t="n">
        <v>72000</v>
      </c>
      <c r="E359" s="0">
        <f>VLOOKUP(C359,'Item Tier Lookup'!$A:$B,2,FALSE)</f>
        <v/>
      </c>
      <c r="F359" s="0">
        <f>VLOOKUP(E359,'Tier Params'!$A:$B,2,FALSE)</f>
        <v/>
      </c>
      <c r="G359" s="0">
        <f>VLOOKUP(E359,'Tier Params'!$A:$C,3,FALSE)</f>
        <v/>
      </c>
      <c r="H359" s="0">
        <f>CEILING(D359/G359,1)</f>
        <v/>
      </c>
      <c r="I359" s="0">
        <f>H359*F359</f>
        <v/>
      </c>
    </row>
    <row r="360">
      <c r="A360" s="0" t="inlineStr">
        <is>
          <t>'Reference sheet'!N362</t>
        </is>
      </c>
      <c r="B360" s="0" t="inlineStr">
        <is>
          <t>Structure Hangar Array</t>
        </is>
      </c>
      <c r="C360" s="0" t="inlineStr">
        <is>
          <t>Reactive Metals</t>
        </is>
      </c>
      <c r="D360" s="0" t="n">
        <v>480</v>
      </c>
      <c r="E360" s="0">
        <f>VLOOKUP(C360,'Item Tier Lookup'!$A:$B,2,FALSE)</f>
        <v/>
      </c>
      <c r="F360" s="0">
        <f>VLOOKUP(E360,'Tier Params'!$A:$B,2,FALSE)</f>
        <v/>
      </c>
      <c r="G360" s="0">
        <f>VLOOKUP(E360,'Tier Params'!$A:$C,3,FALSE)</f>
        <v/>
      </c>
      <c r="H360" s="0">
        <f>CEILING(D360/G360,1)</f>
        <v/>
      </c>
      <c r="I360" s="0">
        <f>H360*F360</f>
        <v/>
      </c>
    </row>
    <row r="361">
      <c r="A361" s="0" t="inlineStr">
        <is>
          <t>'Reference sheet'!N363</t>
        </is>
      </c>
      <c r="B361" s="0" t="inlineStr">
        <is>
          <t>Structure Hangar Array</t>
        </is>
      </c>
      <c r="C361" s="0" t="inlineStr">
        <is>
          <t>Base Metals</t>
        </is>
      </c>
      <c r="D361" s="0" t="n">
        <v>72000</v>
      </c>
      <c r="E361" s="0">
        <f>VLOOKUP(C361,'Item Tier Lookup'!$A:$B,2,FALSE)</f>
        <v/>
      </c>
      <c r="F361" s="0">
        <f>VLOOKUP(E361,'Tier Params'!$A:$B,2,FALSE)</f>
        <v/>
      </c>
      <c r="G361" s="0">
        <f>VLOOKUP(E361,'Tier Params'!$A:$C,3,FALSE)</f>
        <v/>
      </c>
      <c r="H361" s="0">
        <f>CEILING(D361/G361,1)</f>
        <v/>
      </c>
      <c r="I361" s="0">
        <f>H361*F361</f>
        <v/>
      </c>
    </row>
    <row r="362">
      <c r="A362" s="0" t="inlineStr">
        <is>
          <t>'Reference sheet'!N364</t>
        </is>
      </c>
      <c r="B362" s="0" t="inlineStr">
        <is>
          <t>Structure Hangar Array</t>
        </is>
      </c>
      <c r="C362" s="0" t="inlineStr">
        <is>
          <t>Wetware Mainframe</t>
        </is>
      </c>
      <c r="D362" s="0" t="n">
        <v>5</v>
      </c>
      <c r="E362" s="0">
        <f>VLOOKUP(C362,'Item Tier Lookup'!$A:$B,2,FALSE)</f>
        <v/>
      </c>
      <c r="F362" s="0">
        <f>VLOOKUP(E362,'Tier Params'!$A:$B,2,FALSE)</f>
        <v/>
      </c>
      <c r="G362" s="0">
        <f>VLOOKUP(E362,'Tier Params'!$A:$C,3,FALSE)</f>
        <v/>
      </c>
      <c r="H362" s="0">
        <f>CEILING(D362/G362,1)</f>
        <v/>
      </c>
      <c r="I362" s="0">
        <f>H362*F362</f>
        <v/>
      </c>
    </row>
    <row r="363">
      <c r="A363" s="0" t="inlineStr">
        <is>
          <t>'Reference sheet'!N365</t>
        </is>
      </c>
      <c r="B363" s="0" t="inlineStr">
        <is>
          <t>Structure Hangar Array</t>
        </is>
      </c>
      <c r="C363" s="0" t="inlineStr">
        <is>
          <t>Supercomputers</t>
        </is>
      </c>
      <c r="D363" s="0" t="n">
        <v>30</v>
      </c>
      <c r="E363" s="0">
        <f>VLOOKUP(C363,'Item Tier Lookup'!$A:$B,2,FALSE)</f>
        <v/>
      </c>
      <c r="F363" s="0">
        <f>VLOOKUP(E363,'Tier Params'!$A:$B,2,FALSE)</f>
        <v/>
      </c>
      <c r="G363" s="0">
        <f>VLOOKUP(E363,'Tier Params'!$A:$C,3,FALSE)</f>
        <v/>
      </c>
      <c r="H363" s="0">
        <f>CEILING(D363/G363,1)</f>
        <v/>
      </c>
      <c r="I363" s="0">
        <f>H363*F363</f>
        <v/>
      </c>
    </row>
    <row r="364">
      <c r="A364" s="0" t="inlineStr">
        <is>
          <t>'Reference sheet'!N366</t>
        </is>
      </c>
      <c r="B364" s="0" t="inlineStr">
        <is>
          <t>Structure Hangar Array</t>
        </is>
      </c>
      <c r="C364" s="0" t="inlineStr">
        <is>
          <t>Water-Cooled CPU</t>
        </is>
      </c>
      <c r="D364" s="0" t="n">
        <v>100</v>
      </c>
      <c r="E364" s="0">
        <f>VLOOKUP(C364,'Item Tier Lookup'!$A:$B,2,FALSE)</f>
        <v/>
      </c>
      <c r="F364" s="0">
        <f>VLOOKUP(E364,'Tier Params'!$A:$B,2,FALSE)</f>
        <v/>
      </c>
      <c r="G364" s="0">
        <f>VLOOKUP(E364,'Tier Params'!$A:$C,3,FALSE)</f>
        <v/>
      </c>
      <c r="H364" s="0">
        <f>CEILING(D364/G364,1)</f>
        <v/>
      </c>
      <c r="I364" s="0">
        <f>H364*F364</f>
        <v/>
      </c>
    </row>
    <row r="365">
      <c r="A365" s="0" t="inlineStr">
        <is>
          <t>'Reference sheet'!N367</t>
        </is>
      </c>
      <c r="B365" s="0" t="inlineStr">
        <is>
          <t>Structure Hangar Array</t>
        </is>
      </c>
      <c r="C365" s="0" t="inlineStr">
        <is>
          <t>Water</t>
        </is>
      </c>
      <c r="D365" s="0" t="n">
        <v>800</v>
      </c>
      <c r="E365" s="0">
        <f>VLOOKUP(C365,'Item Tier Lookup'!$A:$B,2,FALSE)</f>
        <v/>
      </c>
      <c r="F365" s="0">
        <f>VLOOKUP(E365,'Tier Params'!$A:$B,2,FALSE)</f>
        <v/>
      </c>
      <c r="G365" s="0">
        <f>VLOOKUP(E365,'Tier Params'!$A:$C,3,FALSE)</f>
        <v/>
      </c>
      <c r="H365" s="0">
        <f>CEILING(D365/G365,1)</f>
        <v/>
      </c>
      <c r="I365" s="0">
        <f>H365*F365</f>
        <v/>
      </c>
    </row>
    <row r="366">
      <c r="A366" s="0" t="inlineStr">
        <is>
          <t>'Reference sheet'!N368</t>
        </is>
      </c>
      <c r="B366" s="0" t="inlineStr">
        <is>
          <t>Structure Hangar Array</t>
        </is>
      </c>
      <c r="C366" s="0" t="inlineStr">
        <is>
          <t>Aqueous Liquids</t>
        </is>
      </c>
      <c r="D366" s="0" t="n">
        <v>120000</v>
      </c>
      <c r="E366" s="0">
        <f>VLOOKUP(C366,'Item Tier Lookup'!$A:$B,2,FALSE)</f>
        <v/>
      </c>
      <c r="F366" s="0">
        <f>VLOOKUP(E366,'Tier Params'!$A:$B,2,FALSE)</f>
        <v/>
      </c>
      <c r="G366" s="0">
        <f>VLOOKUP(E366,'Tier Params'!$A:$C,3,FALSE)</f>
        <v/>
      </c>
      <c r="H366" s="0">
        <f>CEILING(D366/G366,1)</f>
        <v/>
      </c>
      <c r="I366" s="0">
        <f>H366*F366</f>
        <v/>
      </c>
    </row>
    <row r="367">
      <c r="A367" s="0" t="inlineStr">
        <is>
          <t>'Reference sheet'!N369</t>
        </is>
      </c>
      <c r="B367" s="0" t="inlineStr">
        <is>
          <t>Structure Hangar Array</t>
        </is>
      </c>
      <c r="C367" s="0" t="inlineStr">
        <is>
          <t>Reactive Metals</t>
        </is>
      </c>
      <c r="D367" s="0" t="n">
        <v>800</v>
      </c>
      <c r="E367" s="0">
        <f>VLOOKUP(C367,'Item Tier Lookup'!$A:$B,2,FALSE)</f>
        <v/>
      </c>
      <c r="F367" s="0">
        <f>VLOOKUP(E367,'Tier Params'!$A:$B,2,FALSE)</f>
        <v/>
      </c>
      <c r="G367" s="0">
        <f>VLOOKUP(E367,'Tier Params'!$A:$C,3,FALSE)</f>
        <v/>
      </c>
      <c r="H367" s="0">
        <f>CEILING(D367/G367,1)</f>
        <v/>
      </c>
      <c r="I367" s="0">
        <f>H367*F367</f>
        <v/>
      </c>
    </row>
    <row r="368">
      <c r="A368" s="0" t="inlineStr">
        <is>
          <t>'Reference sheet'!N370</t>
        </is>
      </c>
      <c r="B368" s="0" t="inlineStr">
        <is>
          <t>Structure Hangar Array</t>
        </is>
      </c>
      <c r="C368" s="0" t="inlineStr">
        <is>
          <t>Base Metals</t>
        </is>
      </c>
      <c r="D368" s="0" t="n">
        <v>120000</v>
      </c>
      <c r="E368" s="0">
        <f>VLOOKUP(C368,'Item Tier Lookup'!$A:$B,2,FALSE)</f>
        <v/>
      </c>
      <c r="F368" s="0">
        <f>VLOOKUP(E368,'Tier Params'!$A:$B,2,FALSE)</f>
        <v/>
      </c>
      <c r="G368" s="0">
        <f>VLOOKUP(E368,'Tier Params'!$A:$C,3,FALSE)</f>
        <v/>
      </c>
      <c r="H368" s="0">
        <f>CEILING(D368/G368,1)</f>
        <v/>
      </c>
      <c r="I368" s="0">
        <f>H368*F368</f>
        <v/>
      </c>
    </row>
    <row r="369">
      <c r="A369" s="0" t="inlineStr">
        <is>
          <t>'Reference sheet'!N371</t>
        </is>
      </c>
      <c r="B369" s="0" t="inlineStr">
        <is>
          <t>Structure Hangar Array</t>
        </is>
      </c>
      <c r="C369" s="0" t="inlineStr">
        <is>
          <t>Coolant</t>
        </is>
      </c>
      <c r="D369" s="0" t="n">
        <v>100</v>
      </c>
      <c r="E369" s="0">
        <f>VLOOKUP(C369,'Item Tier Lookup'!$A:$B,2,FALSE)</f>
        <v/>
      </c>
      <c r="F369" s="0">
        <f>VLOOKUP(E369,'Tier Params'!$A:$B,2,FALSE)</f>
        <v/>
      </c>
      <c r="G369" s="0">
        <f>VLOOKUP(E369,'Tier Params'!$A:$C,3,FALSE)</f>
        <v/>
      </c>
      <c r="H369" s="0">
        <f>CEILING(D369/G369,1)</f>
        <v/>
      </c>
      <c r="I369" s="0">
        <f>H369*F369</f>
        <v/>
      </c>
    </row>
    <row r="370">
      <c r="A370" s="0" t="inlineStr">
        <is>
          <t>'Reference sheet'!N372</t>
        </is>
      </c>
      <c r="B370" s="0" t="inlineStr">
        <is>
          <t>Structure Hangar Array</t>
        </is>
      </c>
      <c r="C370" s="0" t="inlineStr">
        <is>
          <t>Water</t>
        </is>
      </c>
      <c r="D370" s="0" t="n">
        <v>800</v>
      </c>
      <c r="E370" s="0">
        <f>VLOOKUP(C370,'Item Tier Lookup'!$A:$B,2,FALSE)</f>
        <v/>
      </c>
      <c r="F370" s="0">
        <f>VLOOKUP(E370,'Tier Params'!$A:$B,2,FALSE)</f>
        <v/>
      </c>
      <c r="G370" s="0">
        <f>VLOOKUP(E370,'Tier Params'!$A:$C,3,FALSE)</f>
        <v/>
      </c>
      <c r="H370" s="0">
        <f>CEILING(D370/G370,1)</f>
        <v/>
      </c>
      <c r="I370" s="0">
        <f>H370*F370</f>
        <v/>
      </c>
    </row>
    <row r="371">
      <c r="A371" s="0" t="inlineStr">
        <is>
          <t>'Reference sheet'!N373</t>
        </is>
      </c>
      <c r="B371" s="0" t="inlineStr">
        <is>
          <t>Structure Hangar Array</t>
        </is>
      </c>
      <c r="C371" s="0" t="inlineStr">
        <is>
          <t>Aqueous Liquids</t>
        </is>
      </c>
      <c r="D371" s="0" t="n">
        <v>120000</v>
      </c>
      <c r="E371" s="0">
        <f>VLOOKUP(C371,'Item Tier Lookup'!$A:$B,2,FALSE)</f>
        <v/>
      </c>
      <c r="F371" s="0">
        <f>VLOOKUP(E371,'Tier Params'!$A:$B,2,FALSE)</f>
        <v/>
      </c>
      <c r="G371" s="0">
        <f>VLOOKUP(E371,'Tier Params'!$A:$C,3,FALSE)</f>
        <v/>
      </c>
      <c r="H371" s="0">
        <f>CEILING(D371/G371,1)</f>
        <v/>
      </c>
      <c r="I371" s="0">
        <f>H371*F371</f>
        <v/>
      </c>
    </row>
    <row r="372">
      <c r="A372" s="0" t="inlineStr">
        <is>
          <t>'Reference sheet'!N374</t>
        </is>
      </c>
      <c r="B372" s="0" t="inlineStr">
        <is>
          <t>Structure Hangar Array</t>
        </is>
      </c>
      <c r="C372" s="0" t="inlineStr">
        <is>
          <t>Electrolytes</t>
        </is>
      </c>
      <c r="D372" s="0" t="n">
        <v>800</v>
      </c>
      <c r="E372" s="0">
        <f>VLOOKUP(C372,'Item Tier Lookup'!$A:$B,2,FALSE)</f>
        <v/>
      </c>
      <c r="F372" s="0">
        <f>VLOOKUP(E372,'Tier Params'!$A:$B,2,FALSE)</f>
        <v/>
      </c>
      <c r="G372" s="0">
        <f>VLOOKUP(E372,'Tier Params'!$A:$C,3,FALSE)</f>
        <v/>
      </c>
      <c r="H372" s="0">
        <f>CEILING(D372/G372,1)</f>
        <v/>
      </c>
      <c r="I372" s="0">
        <f>H372*F372</f>
        <v/>
      </c>
    </row>
    <row r="373">
      <c r="A373" s="0" t="inlineStr">
        <is>
          <t>'Reference sheet'!N375</t>
        </is>
      </c>
      <c r="B373" s="0" t="inlineStr">
        <is>
          <t>Structure Hangar Array</t>
        </is>
      </c>
      <c r="C373" s="0" t="inlineStr">
        <is>
          <t>Ionic Solutions</t>
        </is>
      </c>
      <c r="D373" s="0" t="n">
        <v>120000</v>
      </c>
      <c r="E373" s="0">
        <f>VLOOKUP(C373,'Item Tier Lookup'!$A:$B,2,FALSE)</f>
        <v/>
      </c>
      <c r="F373" s="0">
        <f>VLOOKUP(E373,'Tier Params'!$A:$B,2,FALSE)</f>
        <v/>
      </c>
      <c r="G373" s="0">
        <f>VLOOKUP(E373,'Tier Params'!$A:$C,3,FALSE)</f>
        <v/>
      </c>
      <c r="H373" s="0">
        <f>CEILING(D373/G373,1)</f>
        <v/>
      </c>
      <c r="I373" s="0">
        <f>H373*F373</f>
        <v/>
      </c>
    </row>
    <row r="374">
      <c r="A374" s="0" t="inlineStr">
        <is>
          <t>'Reference sheet'!N376</t>
        </is>
      </c>
      <c r="B374" s="0" t="inlineStr">
        <is>
          <t>Structure Hangar Array</t>
        </is>
      </c>
      <c r="C374" s="0" t="inlineStr">
        <is>
          <t>Consumer Electronics</t>
        </is>
      </c>
      <c r="D374" s="0" t="n">
        <v>100</v>
      </c>
      <c r="E374" s="0">
        <f>VLOOKUP(C374,'Item Tier Lookup'!$A:$B,2,FALSE)</f>
        <v/>
      </c>
      <c r="F374" s="0">
        <f>VLOOKUP(E374,'Tier Params'!$A:$B,2,FALSE)</f>
        <v/>
      </c>
      <c r="G374" s="0">
        <f>VLOOKUP(E374,'Tier Params'!$A:$C,3,FALSE)</f>
        <v/>
      </c>
      <c r="H374" s="0">
        <f>CEILING(D374/G374,1)</f>
        <v/>
      </c>
      <c r="I374" s="0">
        <f>H374*F374</f>
        <v/>
      </c>
    </row>
    <row r="375">
      <c r="A375" s="0" t="inlineStr">
        <is>
          <t>'Reference sheet'!N377</t>
        </is>
      </c>
      <c r="B375" s="0" t="inlineStr">
        <is>
          <t>Structure Hangar Array</t>
        </is>
      </c>
      <c r="C375" s="0" t="inlineStr">
        <is>
          <t>Toxic Metals</t>
        </is>
      </c>
      <c r="D375" s="0" t="n">
        <v>800</v>
      </c>
      <c r="E375" s="0">
        <f>VLOOKUP(C375,'Item Tier Lookup'!$A:$B,2,FALSE)</f>
        <v/>
      </c>
      <c r="F375" s="0">
        <f>VLOOKUP(E375,'Tier Params'!$A:$B,2,FALSE)</f>
        <v/>
      </c>
      <c r="G375" s="0">
        <f>VLOOKUP(E375,'Tier Params'!$A:$C,3,FALSE)</f>
        <v/>
      </c>
      <c r="H375" s="0">
        <f>CEILING(D375/G375,1)</f>
        <v/>
      </c>
      <c r="I375" s="0">
        <f>H375*F375</f>
        <v/>
      </c>
    </row>
    <row r="376">
      <c r="A376" s="0" t="inlineStr">
        <is>
          <t>'Reference sheet'!N378</t>
        </is>
      </c>
      <c r="B376" s="0" t="inlineStr">
        <is>
          <t>Structure Hangar Array</t>
        </is>
      </c>
      <c r="C376" s="0" t="inlineStr">
        <is>
          <t>Heavy Metals</t>
        </is>
      </c>
      <c r="D376" s="0" t="n">
        <v>120000</v>
      </c>
      <c r="E376" s="0">
        <f>VLOOKUP(C376,'Item Tier Lookup'!$A:$B,2,FALSE)</f>
        <v/>
      </c>
      <c r="F376" s="0">
        <f>VLOOKUP(E376,'Tier Params'!$A:$B,2,FALSE)</f>
        <v/>
      </c>
      <c r="G376" s="0">
        <f>VLOOKUP(E376,'Tier Params'!$A:$C,3,FALSE)</f>
        <v/>
      </c>
      <c r="H376" s="0">
        <f>CEILING(D376/G376,1)</f>
        <v/>
      </c>
      <c r="I376" s="0">
        <f>H376*F376</f>
        <v/>
      </c>
    </row>
    <row r="377">
      <c r="A377" s="0" t="inlineStr">
        <is>
          <t>'Reference sheet'!N379</t>
        </is>
      </c>
      <c r="B377" s="0" t="inlineStr">
        <is>
          <t>Structure Hangar Array</t>
        </is>
      </c>
      <c r="C377" s="0" t="inlineStr">
        <is>
          <t>Chiral Structures</t>
        </is>
      </c>
      <c r="D377" s="0" t="n">
        <v>800</v>
      </c>
      <c r="E377" s="0">
        <f>VLOOKUP(C377,'Item Tier Lookup'!$A:$B,2,FALSE)</f>
        <v/>
      </c>
      <c r="F377" s="0">
        <f>VLOOKUP(E377,'Tier Params'!$A:$B,2,FALSE)</f>
        <v/>
      </c>
      <c r="G377" s="0">
        <f>VLOOKUP(E377,'Tier Params'!$A:$C,3,FALSE)</f>
        <v/>
      </c>
      <c r="H377" s="0">
        <f>CEILING(D377/G377,1)</f>
        <v/>
      </c>
      <c r="I377" s="0">
        <f>H377*F377</f>
        <v/>
      </c>
    </row>
    <row r="378">
      <c r="A378" s="0" t="inlineStr">
        <is>
          <t>'Reference sheet'!N380</t>
        </is>
      </c>
      <c r="B378" s="0" t="inlineStr">
        <is>
          <t>Structure Hangar Array</t>
        </is>
      </c>
      <c r="C378" s="0" t="inlineStr">
        <is>
          <t>Non-CS Crystals</t>
        </is>
      </c>
      <c r="D378" s="0" t="n">
        <v>120000</v>
      </c>
      <c r="E378" s="0">
        <f>VLOOKUP(C378,'Item Tier Lookup'!$A:$B,2,FALSE)</f>
        <v/>
      </c>
      <c r="F378" s="0">
        <f>VLOOKUP(E378,'Tier Params'!$A:$B,2,FALSE)</f>
        <v/>
      </c>
      <c r="G378" s="0">
        <f>VLOOKUP(E378,'Tier Params'!$A:$C,3,FALSE)</f>
        <v/>
      </c>
      <c r="H378" s="0">
        <f>CEILING(D378/G378,1)</f>
        <v/>
      </c>
      <c r="I378" s="0">
        <f>H378*F378</f>
        <v/>
      </c>
    </row>
    <row r="379">
      <c r="A379" s="0" t="inlineStr">
        <is>
          <t>'Reference sheet'!N381</t>
        </is>
      </c>
      <c r="B379" s="0" t="inlineStr">
        <is>
          <t>Structure Hangar Array</t>
        </is>
      </c>
      <c r="C379" s="0" t="inlineStr">
        <is>
          <t>Biotech Research Reports</t>
        </is>
      </c>
      <c r="D379" s="0" t="n">
        <v>30</v>
      </c>
      <c r="E379" s="0">
        <f>VLOOKUP(C379,'Item Tier Lookup'!$A:$B,2,FALSE)</f>
        <v/>
      </c>
      <c r="F379" s="0">
        <f>VLOOKUP(E379,'Tier Params'!$A:$B,2,FALSE)</f>
        <v/>
      </c>
      <c r="G379" s="0">
        <f>VLOOKUP(E379,'Tier Params'!$A:$C,3,FALSE)</f>
        <v/>
      </c>
      <c r="H379" s="0">
        <f>CEILING(D379/G379,1)</f>
        <v/>
      </c>
      <c r="I379" s="0">
        <f>H379*F379</f>
        <v/>
      </c>
    </row>
    <row r="380">
      <c r="A380" s="0" t="inlineStr">
        <is>
          <t>'Reference sheet'!N382</t>
        </is>
      </c>
      <c r="B380" s="0" t="inlineStr">
        <is>
          <t>Structure Hangar Array</t>
        </is>
      </c>
      <c r="C380" s="0" t="inlineStr">
        <is>
          <t>Construction Blocks</t>
        </is>
      </c>
      <c r="D380" s="0" t="n">
        <v>100</v>
      </c>
      <c r="E380" s="0">
        <f>VLOOKUP(C380,'Item Tier Lookup'!$A:$B,2,FALSE)</f>
        <v/>
      </c>
      <c r="F380" s="0">
        <f>VLOOKUP(E380,'Tier Params'!$A:$B,2,FALSE)</f>
        <v/>
      </c>
      <c r="G380" s="0">
        <f>VLOOKUP(E380,'Tier Params'!$A:$C,3,FALSE)</f>
        <v/>
      </c>
      <c r="H380" s="0">
        <f>CEILING(D380/G380,1)</f>
        <v/>
      </c>
      <c r="I380" s="0">
        <f>H380*F380</f>
        <v/>
      </c>
    </row>
    <row r="381">
      <c r="A381" s="0" t="inlineStr">
        <is>
          <t>'Reference sheet'!N383</t>
        </is>
      </c>
      <c r="B381" s="0" t="inlineStr">
        <is>
          <t>Structure Hangar Array</t>
        </is>
      </c>
      <c r="C381" s="0" t="inlineStr">
        <is>
          <t>Toxic Metals</t>
        </is>
      </c>
      <c r="D381" s="0" t="n">
        <v>800</v>
      </c>
      <c r="E381" s="0">
        <f>VLOOKUP(C381,'Item Tier Lookup'!$A:$B,2,FALSE)</f>
        <v/>
      </c>
      <c r="F381" s="0">
        <f>VLOOKUP(E381,'Tier Params'!$A:$B,2,FALSE)</f>
        <v/>
      </c>
      <c r="G381" s="0">
        <f>VLOOKUP(E381,'Tier Params'!$A:$C,3,FALSE)</f>
        <v/>
      </c>
      <c r="H381" s="0">
        <f>CEILING(D381/G381,1)</f>
        <v/>
      </c>
      <c r="I381" s="0">
        <f>H381*F381</f>
        <v/>
      </c>
    </row>
    <row r="382">
      <c r="A382" s="0" t="inlineStr">
        <is>
          <t>'Reference sheet'!N384</t>
        </is>
      </c>
      <c r="B382" s="0" t="inlineStr">
        <is>
          <t>Structure Hangar Array</t>
        </is>
      </c>
      <c r="C382" s="0" t="inlineStr">
        <is>
          <t>Heavy Metals</t>
        </is>
      </c>
      <c r="D382" s="0" t="n">
        <v>120000</v>
      </c>
      <c r="E382" s="0">
        <f>VLOOKUP(C382,'Item Tier Lookup'!$A:$B,2,FALSE)</f>
        <v/>
      </c>
      <c r="F382" s="0">
        <f>VLOOKUP(E382,'Tier Params'!$A:$B,2,FALSE)</f>
        <v/>
      </c>
      <c r="G382" s="0">
        <f>VLOOKUP(E382,'Tier Params'!$A:$C,3,FALSE)</f>
        <v/>
      </c>
      <c r="H382" s="0">
        <f>CEILING(D382/G382,1)</f>
        <v/>
      </c>
      <c r="I382" s="0">
        <f>H382*F382</f>
        <v/>
      </c>
    </row>
    <row r="383">
      <c r="A383" s="0" t="inlineStr">
        <is>
          <t>'Reference sheet'!N385</t>
        </is>
      </c>
      <c r="B383" s="0" t="inlineStr">
        <is>
          <t>Structure Hangar Array</t>
        </is>
      </c>
      <c r="C383" s="0" t="inlineStr">
        <is>
          <t>Reactive Metals</t>
        </is>
      </c>
      <c r="D383" s="0" t="n">
        <v>800</v>
      </c>
      <c r="E383" s="0">
        <f>VLOOKUP(C383,'Item Tier Lookup'!$A:$B,2,FALSE)</f>
        <v/>
      </c>
      <c r="F383" s="0">
        <f>VLOOKUP(E383,'Tier Params'!$A:$B,2,FALSE)</f>
        <v/>
      </c>
      <c r="G383" s="0">
        <f>VLOOKUP(E383,'Tier Params'!$A:$C,3,FALSE)</f>
        <v/>
      </c>
      <c r="H383" s="0">
        <f>CEILING(D383/G383,1)</f>
        <v/>
      </c>
      <c r="I383" s="0">
        <f>H383*F383</f>
        <v/>
      </c>
    </row>
    <row r="384">
      <c r="A384" s="0" t="inlineStr">
        <is>
          <t>'Reference sheet'!N386</t>
        </is>
      </c>
      <c r="B384" s="0" t="inlineStr">
        <is>
          <t>Structure Hangar Array</t>
        </is>
      </c>
      <c r="C384" s="0" t="inlineStr">
        <is>
          <t>Base Metals</t>
        </is>
      </c>
      <c r="D384" s="0" t="n">
        <v>120000</v>
      </c>
      <c r="E384" s="0">
        <f>VLOOKUP(C384,'Item Tier Lookup'!$A:$B,2,FALSE)</f>
        <v/>
      </c>
      <c r="F384" s="0">
        <f>VLOOKUP(E384,'Tier Params'!$A:$B,2,FALSE)</f>
        <v/>
      </c>
      <c r="G384" s="0">
        <f>VLOOKUP(E384,'Tier Params'!$A:$C,3,FALSE)</f>
        <v/>
      </c>
      <c r="H384" s="0">
        <f>CEILING(D384/G384,1)</f>
        <v/>
      </c>
      <c r="I384" s="0">
        <f>H384*F384</f>
        <v/>
      </c>
    </row>
    <row r="385">
      <c r="A385" s="0" t="inlineStr">
        <is>
          <t>'Reference sheet'!N387</t>
        </is>
      </c>
      <c r="B385" s="0" t="inlineStr">
        <is>
          <t>Structure Hangar Array</t>
        </is>
      </c>
      <c r="C385" s="0" t="inlineStr">
        <is>
          <t>Livestock</t>
        </is>
      </c>
      <c r="D385" s="0" t="n">
        <v>100</v>
      </c>
      <c r="E385" s="0">
        <f>VLOOKUP(C385,'Item Tier Lookup'!$A:$B,2,FALSE)</f>
        <v/>
      </c>
      <c r="F385" s="0">
        <f>VLOOKUP(E385,'Tier Params'!$A:$B,2,FALSE)</f>
        <v/>
      </c>
      <c r="G385" s="0">
        <f>VLOOKUP(E385,'Tier Params'!$A:$C,3,FALSE)</f>
        <v/>
      </c>
      <c r="H385" s="0">
        <f>CEILING(D385/G385,1)</f>
        <v/>
      </c>
      <c r="I385" s="0">
        <f>H385*F385</f>
        <v/>
      </c>
    </row>
    <row r="386">
      <c r="A386" s="0" t="inlineStr">
        <is>
          <t>'Reference sheet'!N388</t>
        </is>
      </c>
      <c r="B386" s="0" t="inlineStr">
        <is>
          <t>Structure Hangar Array</t>
        </is>
      </c>
      <c r="C386" s="0" t="inlineStr">
        <is>
          <t>Proteins</t>
        </is>
      </c>
      <c r="D386" s="0" t="n">
        <v>800</v>
      </c>
      <c r="E386" s="0">
        <f>VLOOKUP(C386,'Item Tier Lookup'!$A:$B,2,FALSE)</f>
        <v/>
      </c>
      <c r="F386" s="0">
        <f>VLOOKUP(E386,'Tier Params'!$A:$B,2,FALSE)</f>
        <v/>
      </c>
      <c r="G386" s="0">
        <f>VLOOKUP(E386,'Tier Params'!$A:$C,3,FALSE)</f>
        <v/>
      </c>
      <c r="H386" s="0">
        <f>CEILING(D386/G386,1)</f>
        <v/>
      </c>
      <c r="I386" s="0">
        <f>H386*F386</f>
        <v/>
      </c>
    </row>
    <row r="387">
      <c r="A387" s="0" t="inlineStr">
        <is>
          <t>'Reference sheet'!N389</t>
        </is>
      </c>
      <c r="B387" s="0" t="inlineStr">
        <is>
          <t>Structure Hangar Array</t>
        </is>
      </c>
      <c r="C387" s="0" t="inlineStr">
        <is>
          <t>Complex Organisms</t>
        </is>
      </c>
      <c r="D387" s="0" t="n">
        <v>120000</v>
      </c>
      <c r="E387" s="0">
        <f>VLOOKUP(C387,'Item Tier Lookup'!$A:$B,2,FALSE)</f>
        <v/>
      </c>
      <c r="F387" s="0">
        <f>VLOOKUP(E387,'Tier Params'!$A:$B,2,FALSE)</f>
        <v/>
      </c>
      <c r="G387" s="0">
        <f>VLOOKUP(E387,'Tier Params'!$A:$C,3,FALSE)</f>
        <v/>
      </c>
      <c r="H387" s="0">
        <f>CEILING(D387/G387,1)</f>
        <v/>
      </c>
      <c r="I387" s="0">
        <f>H387*F387</f>
        <v/>
      </c>
    </row>
    <row r="388">
      <c r="A388" s="0" t="inlineStr">
        <is>
          <t>'Reference sheet'!N390</t>
        </is>
      </c>
      <c r="B388" s="0" t="inlineStr">
        <is>
          <t>Structure Hangar Array</t>
        </is>
      </c>
      <c r="C388" s="0" t="inlineStr">
        <is>
          <t>Biofuels</t>
        </is>
      </c>
      <c r="D388" s="0" t="n">
        <v>800</v>
      </c>
      <c r="E388" s="0">
        <f>VLOOKUP(C388,'Item Tier Lookup'!$A:$B,2,FALSE)</f>
        <v/>
      </c>
      <c r="F388" s="0">
        <f>VLOOKUP(E388,'Tier Params'!$A:$B,2,FALSE)</f>
        <v/>
      </c>
      <c r="G388" s="0">
        <f>VLOOKUP(E388,'Tier Params'!$A:$C,3,FALSE)</f>
        <v/>
      </c>
      <c r="H388" s="0">
        <f>CEILING(D388/G388,1)</f>
        <v/>
      </c>
      <c r="I388" s="0">
        <f>H388*F388</f>
        <v/>
      </c>
    </row>
    <row r="389">
      <c r="A389" s="0" t="inlineStr">
        <is>
          <t>'Reference sheet'!N391</t>
        </is>
      </c>
      <c r="B389" s="0" t="inlineStr">
        <is>
          <t>Structure Hangar Array</t>
        </is>
      </c>
      <c r="C389" s="0" t="inlineStr">
        <is>
          <t>Carbon Compounds</t>
        </is>
      </c>
      <c r="D389" s="0" t="n">
        <v>120000</v>
      </c>
      <c r="E389" s="0">
        <f>VLOOKUP(C389,'Item Tier Lookup'!$A:$B,2,FALSE)</f>
        <v/>
      </c>
      <c r="F389" s="0">
        <f>VLOOKUP(E389,'Tier Params'!$A:$B,2,FALSE)</f>
        <v/>
      </c>
      <c r="G389" s="0">
        <f>VLOOKUP(E389,'Tier Params'!$A:$C,3,FALSE)</f>
        <v/>
      </c>
      <c r="H389" s="0">
        <f>CEILING(D389/G389,1)</f>
        <v/>
      </c>
      <c r="I389" s="0">
        <f>H389*F389</f>
        <v/>
      </c>
    </row>
    <row r="390">
      <c r="A390" s="0" t="inlineStr">
        <is>
          <t>'Reference sheet'!N392</t>
        </is>
      </c>
      <c r="B390" s="0" t="inlineStr">
        <is>
          <t>Structure Hangar Array</t>
        </is>
      </c>
      <c r="C390" s="0" t="inlineStr">
        <is>
          <t>Nanites</t>
        </is>
      </c>
      <c r="D390" s="0" t="n">
        <v>100</v>
      </c>
      <c r="E390" s="0">
        <f>VLOOKUP(C390,'Item Tier Lookup'!$A:$B,2,FALSE)</f>
        <v/>
      </c>
      <c r="F390" s="0">
        <f>VLOOKUP(E390,'Tier Params'!$A:$B,2,FALSE)</f>
        <v/>
      </c>
      <c r="G390" s="0">
        <f>VLOOKUP(E390,'Tier Params'!$A:$C,3,FALSE)</f>
        <v/>
      </c>
      <c r="H390" s="0">
        <f>CEILING(D390/G390,1)</f>
        <v/>
      </c>
      <c r="I390" s="0">
        <f>H390*F390</f>
        <v/>
      </c>
    </row>
    <row r="391">
      <c r="A391" s="0" t="inlineStr">
        <is>
          <t>'Reference sheet'!N393</t>
        </is>
      </c>
      <c r="B391" s="0" t="inlineStr">
        <is>
          <t>Structure Hangar Array</t>
        </is>
      </c>
      <c r="C391" s="0" t="inlineStr">
        <is>
          <t>Bacteria</t>
        </is>
      </c>
      <c r="D391" s="0" t="n">
        <v>800</v>
      </c>
      <c r="E391" s="0">
        <f>VLOOKUP(C391,'Item Tier Lookup'!$A:$B,2,FALSE)</f>
        <v/>
      </c>
      <c r="F391" s="0">
        <f>VLOOKUP(E391,'Tier Params'!$A:$B,2,FALSE)</f>
        <v/>
      </c>
      <c r="G391" s="0">
        <f>VLOOKUP(E391,'Tier Params'!$A:$C,3,FALSE)</f>
        <v/>
      </c>
      <c r="H391" s="0">
        <f>CEILING(D391/G391,1)</f>
        <v/>
      </c>
      <c r="I391" s="0">
        <f>H391*F391</f>
        <v/>
      </c>
    </row>
    <row r="392">
      <c r="A392" s="0" t="inlineStr">
        <is>
          <t>'Reference sheet'!N394</t>
        </is>
      </c>
      <c r="B392" s="0" t="inlineStr">
        <is>
          <t>Structure Hangar Array</t>
        </is>
      </c>
      <c r="C392" s="0" t="inlineStr">
        <is>
          <t>Microorganisms</t>
        </is>
      </c>
      <c r="D392" s="0" t="n">
        <v>120000</v>
      </c>
      <c r="E392" s="0">
        <f>VLOOKUP(C392,'Item Tier Lookup'!$A:$B,2,FALSE)</f>
        <v/>
      </c>
      <c r="F392" s="0">
        <f>VLOOKUP(E392,'Tier Params'!$A:$B,2,FALSE)</f>
        <v/>
      </c>
      <c r="G392" s="0">
        <f>VLOOKUP(E392,'Tier Params'!$A:$C,3,FALSE)</f>
        <v/>
      </c>
      <c r="H392" s="0">
        <f>CEILING(D392/G392,1)</f>
        <v/>
      </c>
      <c r="I392" s="0">
        <f>H392*F392</f>
        <v/>
      </c>
    </row>
    <row r="393">
      <c r="A393" s="0" t="inlineStr">
        <is>
          <t>'Reference sheet'!N395</t>
        </is>
      </c>
      <c r="B393" s="0" t="inlineStr">
        <is>
          <t>Structure Hangar Array</t>
        </is>
      </c>
      <c r="C393" s="0" t="inlineStr">
        <is>
          <t>Reactive Metals</t>
        </is>
      </c>
      <c r="D393" s="0" t="n">
        <v>800</v>
      </c>
      <c r="E393" s="0">
        <f>VLOOKUP(C393,'Item Tier Lookup'!$A:$B,2,FALSE)</f>
        <v/>
      </c>
      <c r="F393" s="0">
        <f>VLOOKUP(E393,'Tier Params'!$A:$B,2,FALSE)</f>
        <v/>
      </c>
      <c r="G393" s="0">
        <f>VLOOKUP(E393,'Tier Params'!$A:$C,3,FALSE)</f>
        <v/>
      </c>
      <c r="H393" s="0">
        <f>CEILING(D393/G393,1)</f>
        <v/>
      </c>
      <c r="I393" s="0">
        <f>H393*F393</f>
        <v/>
      </c>
    </row>
    <row r="394">
      <c r="A394" s="0" t="inlineStr">
        <is>
          <t>'Reference sheet'!N396</t>
        </is>
      </c>
      <c r="B394" s="0" t="inlineStr">
        <is>
          <t>Structure Hangar Array</t>
        </is>
      </c>
      <c r="C394" s="0" t="inlineStr">
        <is>
          <t>Base Metals</t>
        </is>
      </c>
      <c r="D394" s="0" t="n">
        <v>120000</v>
      </c>
      <c r="E394" s="0">
        <f>VLOOKUP(C394,'Item Tier Lookup'!$A:$B,2,FALSE)</f>
        <v/>
      </c>
      <c r="F394" s="0">
        <f>VLOOKUP(E394,'Tier Params'!$A:$B,2,FALSE)</f>
        <v/>
      </c>
      <c r="G394" s="0">
        <f>VLOOKUP(E394,'Tier Params'!$A:$C,3,FALSE)</f>
        <v/>
      </c>
      <c r="H394" s="0">
        <f>CEILING(D394/G394,1)</f>
        <v/>
      </c>
      <c r="I394" s="0">
        <f>H394*F394</f>
        <v/>
      </c>
    </row>
    <row r="395">
      <c r="A395" s="0" t="inlineStr">
        <is>
          <t>'Reference sheet'!N397</t>
        </is>
      </c>
      <c r="B395" s="0" t="inlineStr">
        <is>
          <t>Structure Hangar Array</t>
        </is>
      </c>
      <c r="C395" s="0" t="inlineStr">
        <is>
          <t>Cryoprotectant Solution</t>
        </is>
      </c>
      <c r="D395" s="0" t="n">
        <v>30</v>
      </c>
      <c r="E395" s="0">
        <f>VLOOKUP(C395,'Item Tier Lookup'!$A:$B,2,FALSE)</f>
        <v/>
      </c>
      <c r="F395" s="0">
        <f>VLOOKUP(E395,'Tier Params'!$A:$B,2,FALSE)</f>
        <v/>
      </c>
      <c r="G395" s="0">
        <f>VLOOKUP(E395,'Tier Params'!$A:$C,3,FALSE)</f>
        <v/>
      </c>
      <c r="H395" s="0">
        <f>CEILING(D395/G395,1)</f>
        <v/>
      </c>
      <c r="I395" s="0">
        <f>H395*F395</f>
        <v/>
      </c>
    </row>
    <row r="396">
      <c r="A396" s="0" t="inlineStr">
        <is>
          <t>'Reference sheet'!N398</t>
        </is>
      </c>
      <c r="B396" s="0" t="inlineStr">
        <is>
          <t>Structure Hangar Array</t>
        </is>
      </c>
      <c r="C396" s="0" t="inlineStr">
        <is>
          <t>Test Cultures</t>
        </is>
      </c>
      <c r="D396" s="0" t="n">
        <v>100</v>
      </c>
      <c r="E396" s="0">
        <f>VLOOKUP(C396,'Item Tier Lookup'!$A:$B,2,FALSE)</f>
        <v/>
      </c>
      <c r="F396" s="0">
        <f>VLOOKUP(E396,'Tier Params'!$A:$B,2,FALSE)</f>
        <v/>
      </c>
      <c r="G396" s="0">
        <f>VLOOKUP(E396,'Tier Params'!$A:$C,3,FALSE)</f>
        <v/>
      </c>
      <c r="H396" s="0">
        <f>CEILING(D396/G396,1)</f>
        <v/>
      </c>
      <c r="I396" s="0">
        <f>H396*F396</f>
        <v/>
      </c>
    </row>
    <row r="397">
      <c r="A397" s="0" t="inlineStr">
        <is>
          <t>'Reference sheet'!N399</t>
        </is>
      </c>
      <c r="B397" s="0" t="inlineStr">
        <is>
          <t>Structure Hangar Array</t>
        </is>
      </c>
      <c r="C397" s="0" t="inlineStr">
        <is>
          <t>Bacteria</t>
        </is>
      </c>
      <c r="D397" s="0" t="n">
        <v>800</v>
      </c>
      <c r="E397" s="0">
        <f>VLOOKUP(C397,'Item Tier Lookup'!$A:$B,2,FALSE)</f>
        <v/>
      </c>
      <c r="F397" s="0">
        <f>VLOOKUP(E397,'Tier Params'!$A:$B,2,FALSE)</f>
        <v/>
      </c>
      <c r="G397" s="0">
        <f>VLOOKUP(E397,'Tier Params'!$A:$C,3,FALSE)</f>
        <v/>
      </c>
      <c r="H397" s="0">
        <f>CEILING(D397/G397,1)</f>
        <v/>
      </c>
      <c r="I397" s="0">
        <f>H397*F397</f>
        <v/>
      </c>
    </row>
    <row r="398">
      <c r="A398" s="0" t="inlineStr">
        <is>
          <t>'Reference sheet'!N400</t>
        </is>
      </c>
      <c r="B398" s="0" t="inlineStr">
        <is>
          <t>Structure Hangar Array</t>
        </is>
      </c>
      <c r="C398" s="0" t="inlineStr">
        <is>
          <t>Microorganisms</t>
        </is>
      </c>
      <c r="D398" s="0" t="n">
        <v>120000</v>
      </c>
      <c r="E398" s="0">
        <f>VLOOKUP(C398,'Item Tier Lookup'!$A:$B,2,FALSE)</f>
        <v/>
      </c>
      <c r="F398" s="0">
        <f>VLOOKUP(E398,'Tier Params'!$A:$B,2,FALSE)</f>
        <v/>
      </c>
      <c r="G398" s="0">
        <f>VLOOKUP(E398,'Tier Params'!$A:$C,3,FALSE)</f>
        <v/>
      </c>
      <c r="H398" s="0">
        <f>CEILING(D398/G398,1)</f>
        <v/>
      </c>
      <c r="I398" s="0">
        <f>H398*F398</f>
        <v/>
      </c>
    </row>
    <row r="399">
      <c r="A399" s="0" t="inlineStr">
        <is>
          <t>'Reference sheet'!N401</t>
        </is>
      </c>
      <c r="B399" s="0" t="inlineStr">
        <is>
          <t>Structure Hangar Array</t>
        </is>
      </c>
      <c r="C399" s="0" t="inlineStr">
        <is>
          <t>Water</t>
        </is>
      </c>
      <c r="D399" s="0" t="n">
        <v>800</v>
      </c>
      <c r="E399" s="0">
        <f>VLOOKUP(C399,'Item Tier Lookup'!$A:$B,2,FALSE)</f>
        <v/>
      </c>
      <c r="F399" s="0">
        <f>VLOOKUP(E399,'Tier Params'!$A:$B,2,FALSE)</f>
        <v/>
      </c>
      <c r="G399" s="0">
        <f>VLOOKUP(E399,'Tier Params'!$A:$C,3,FALSE)</f>
        <v/>
      </c>
      <c r="H399" s="0">
        <f>CEILING(D399/G399,1)</f>
        <v/>
      </c>
      <c r="I399" s="0">
        <f>H399*F399</f>
        <v/>
      </c>
    </row>
    <row r="400">
      <c r="A400" s="0" t="inlineStr">
        <is>
          <t>'Reference sheet'!N402</t>
        </is>
      </c>
      <c r="B400" s="0" t="inlineStr">
        <is>
          <t>Structure Hangar Array</t>
        </is>
      </c>
      <c r="C400" s="0" t="inlineStr">
        <is>
          <t>Aqueous Liquids</t>
        </is>
      </c>
      <c r="D400" s="0" t="n">
        <v>120000</v>
      </c>
      <c r="E400" s="0">
        <f>VLOOKUP(C400,'Item Tier Lookup'!$A:$B,2,FALSE)</f>
        <v/>
      </c>
      <c r="F400" s="0">
        <f>VLOOKUP(E400,'Tier Params'!$A:$B,2,FALSE)</f>
        <v/>
      </c>
      <c r="G400" s="0">
        <f>VLOOKUP(E400,'Tier Params'!$A:$C,3,FALSE)</f>
        <v/>
      </c>
      <c r="H400" s="0">
        <f>CEILING(D400/G400,1)</f>
        <v/>
      </c>
      <c r="I400" s="0">
        <f>H400*F400</f>
        <v/>
      </c>
    </row>
    <row r="401">
      <c r="A401" s="0" t="inlineStr">
        <is>
          <t>'Reference sheet'!N403</t>
        </is>
      </c>
      <c r="B401" s="0" t="inlineStr">
        <is>
          <t>Structure Hangar Array</t>
        </is>
      </c>
      <c r="C401" s="0" t="inlineStr">
        <is>
          <t>Synthetic Oil</t>
        </is>
      </c>
      <c r="D401" s="0" t="n">
        <v>100</v>
      </c>
      <c r="E401" s="0">
        <f>VLOOKUP(C401,'Item Tier Lookup'!$A:$B,2,FALSE)</f>
        <v/>
      </c>
      <c r="F401" s="0">
        <f>VLOOKUP(E401,'Tier Params'!$A:$B,2,FALSE)</f>
        <v/>
      </c>
      <c r="G401" s="0">
        <f>VLOOKUP(E401,'Tier Params'!$A:$C,3,FALSE)</f>
        <v/>
      </c>
      <c r="H401" s="0">
        <f>CEILING(D401/G401,1)</f>
        <v/>
      </c>
      <c r="I401" s="0">
        <f>H401*F401</f>
        <v/>
      </c>
    </row>
    <row r="402">
      <c r="A402" s="0" t="inlineStr">
        <is>
          <t>'Reference sheet'!N404</t>
        </is>
      </c>
      <c r="B402" s="0" t="inlineStr">
        <is>
          <t>Structure Hangar Array</t>
        </is>
      </c>
      <c r="C402" s="0" t="inlineStr">
        <is>
          <t>Oxygen</t>
        </is>
      </c>
      <c r="D402" s="0" t="n">
        <v>800</v>
      </c>
      <c r="E402" s="0">
        <f>VLOOKUP(C402,'Item Tier Lookup'!$A:$B,2,FALSE)</f>
        <v/>
      </c>
      <c r="F402" s="0">
        <f>VLOOKUP(E402,'Tier Params'!$A:$B,2,FALSE)</f>
        <v/>
      </c>
      <c r="G402" s="0">
        <f>VLOOKUP(E402,'Tier Params'!$A:$C,3,FALSE)</f>
        <v/>
      </c>
      <c r="H402" s="0">
        <f>CEILING(D402/G402,1)</f>
        <v/>
      </c>
      <c r="I402" s="0">
        <f>H402*F402</f>
        <v/>
      </c>
    </row>
    <row r="403">
      <c r="A403" s="0" t="inlineStr">
        <is>
          <t>'Reference sheet'!N405</t>
        </is>
      </c>
      <c r="B403" s="0" t="inlineStr">
        <is>
          <t>Structure Hangar Array</t>
        </is>
      </c>
      <c r="C403" s="0" t="inlineStr">
        <is>
          <t>Noble Gas</t>
        </is>
      </c>
      <c r="D403" s="0" t="n">
        <v>120000</v>
      </c>
      <c r="E403" s="0">
        <f>VLOOKUP(C403,'Item Tier Lookup'!$A:$B,2,FALSE)</f>
        <v/>
      </c>
      <c r="F403" s="0">
        <f>VLOOKUP(E403,'Tier Params'!$A:$B,2,FALSE)</f>
        <v/>
      </c>
      <c r="G403" s="0">
        <f>VLOOKUP(E403,'Tier Params'!$A:$C,3,FALSE)</f>
        <v/>
      </c>
      <c r="H403" s="0">
        <f>CEILING(D403/G403,1)</f>
        <v/>
      </c>
      <c r="I403" s="0">
        <f>H403*F403</f>
        <v/>
      </c>
    </row>
    <row r="404">
      <c r="A404" s="0" t="inlineStr">
        <is>
          <t>'Reference sheet'!N406</t>
        </is>
      </c>
      <c r="B404" s="0" t="inlineStr">
        <is>
          <t>Structure Hangar Array</t>
        </is>
      </c>
      <c r="C404" s="0" t="inlineStr">
        <is>
          <t>Electrolytes</t>
        </is>
      </c>
      <c r="D404" s="0" t="n">
        <v>800</v>
      </c>
      <c r="E404" s="0">
        <f>VLOOKUP(C404,'Item Tier Lookup'!$A:$B,2,FALSE)</f>
        <v/>
      </c>
      <c r="F404" s="0">
        <f>VLOOKUP(E404,'Tier Params'!$A:$B,2,FALSE)</f>
        <v/>
      </c>
      <c r="G404" s="0">
        <f>VLOOKUP(E404,'Tier Params'!$A:$C,3,FALSE)</f>
        <v/>
      </c>
      <c r="H404" s="0">
        <f>CEILING(D404/G404,1)</f>
        <v/>
      </c>
      <c r="I404" s="0">
        <f>H404*F404</f>
        <v/>
      </c>
    </row>
    <row r="405">
      <c r="A405" s="0" t="inlineStr">
        <is>
          <t>'Reference sheet'!N407</t>
        </is>
      </c>
      <c r="B405" s="0" t="inlineStr">
        <is>
          <t>Structure Hangar Array</t>
        </is>
      </c>
      <c r="C405" s="0" t="inlineStr">
        <is>
          <t>Ionic Solutions</t>
        </is>
      </c>
      <c r="D405" s="0" t="n">
        <v>120000</v>
      </c>
      <c r="E405" s="0">
        <f>VLOOKUP(C405,'Item Tier Lookup'!$A:$B,2,FALSE)</f>
        <v/>
      </c>
      <c r="F405" s="0">
        <f>VLOOKUP(E405,'Tier Params'!$A:$B,2,FALSE)</f>
        <v/>
      </c>
      <c r="G405" s="0">
        <f>VLOOKUP(E405,'Tier Params'!$A:$C,3,FALSE)</f>
        <v/>
      </c>
      <c r="H405" s="0">
        <f>CEILING(D405/G405,1)</f>
        <v/>
      </c>
      <c r="I405" s="0">
        <f>H405*F405</f>
        <v/>
      </c>
    </row>
    <row r="406">
      <c r="A406" s="0" t="inlineStr">
        <is>
          <t>'Reference sheet'!N408</t>
        </is>
      </c>
      <c r="B406" s="0" t="inlineStr">
        <is>
          <t>Structure Hangar Array</t>
        </is>
      </c>
      <c r="C406" s="0" t="inlineStr">
        <is>
          <t>Fertilizer</t>
        </is>
      </c>
      <c r="D406" s="0" t="n">
        <v>100</v>
      </c>
      <c r="E406" s="0">
        <f>VLOOKUP(C406,'Item Tier Lookup'!$A:$B,2,FALSE)</f>
        <v/>
      </c>
      <c r="F406" s="0">
        <f>VLOOKUP(E406,'Tier Params'!$A:$B,2,FALSE)</f>
        <v/>
      </c>
      <c r="G406" s="0">
        <f>VLOOKUP(E406,'Tier Params'!$A:$C,3,FALSE)</f>
        <v/>
      </c>
      <c r="H406" s="0">
        <f>CEILING(D406/G406,1)</f>
        <v/>
      </c>
      <c r="I406" s="0">
        <f>H406*F406</f>
        <v/>
      </c>
    </row>
    <row r="407">
      <c r="A407" s="0" t="inlineStr">
        <is>
          <t>'Reference sheet'!N409</t>
        </is>
      </c>
      <c r="B407" s="0" t="inlineStr">
        <is>
          <t>Structure Hangar Array</t>
        </is>
      </c>
      <c r="C407" s="0" t="inlineStr">
        <is>
          <t>Bacteria</t>
        </is>
      </c>
      <c r="D407" s="0" t="n">
        <v>800</v>
      </c>
      <c r="E407" s="0">
        <f>VLOOKUP(C407,'Item Tier Lookup'!$A:$B,2,FALSE)</f>
        <v/>
      </c>
      <c r="F407" s="0">
        <f>VLOOKUP(E407,'Tier Params'!$A:$B,2,FALSE)</f>
        <v/>
      </c>
      <c r="G407" s="0">
        <f>VLOOKUP(E407,'Tier Params'!$A:$C,3,FALSE)</f>
        <v/>
      </c>
      <c r="H407" s="0">
        <f>CEILING(D407/G407,1)</f>
        <v/>
      </c>
      <c r="I407" s="0">
        <f>H407*F407</f>
        <v/>
      </c>
    </row>
    <row r="408">
      <c r="A408" s="0" t="inlineStr">
        <is>
          <t>'Reference sheet'!N410</t>
        </is>
      </c>
      <c r="B408" s="0" t="inlineStr">
        <is>
          <t>Structure Hangar Array</t>
        </is>
      </c>
      <c r="C408" s="0" t="inlineStr">
        <is>
          <t>Microorganisms</t>
        </is>
      </c>
      <c r="D408" s="0" t="n">
        <v>120000</v>
      </c>
      <c r="E408" s="0">
        <f>VLOOKUP(C408,'Item Tier Lookup'!$A:$B,2,FALSE)</f>
        <v/>
      </c>
      <c r="F408" s="0">
        <f>VLOOKUP(E408,'Tier Params'!$A:$B,2,FALSE)</f>
        <v/>
      </c>
      <c r="G408" s="0">
        <f>VLOOKUP(E408,'Tier Params'!$A:$C,3,FALSE)</f>
        <v/>
      </c>
      <c r="H408" s="0">
        <f>CEILING(D408/G408,1)</f>
        <v/>
      </c>
      <c r="I408" s="0">
        <f>H408*F408</f>
        <v/>
      </c>
    </row>
    <row r="409">
      <c r="A409" s="0" t="inlineStr">
        <is>
          <t>'Reference sheet'!N411</t>
        </is>
      </c>
      <c r="B409" s="0" t="inlineStr">
        <is>
          <t>Structure Hangar Array</t>
        </is>
      </c>
      <c r="C409" s="0" t="inlineStr">
        <is>
          <t>Proteins</t>
        </is>
      </c>
      <c r="D409" s="0" t="n">
        <v>800</v>
      </c>
      <c r="E409" s="0">
        <f>VLOOKUP(C409,'Item Tier Lookup'!$A:$B,2,FALSE)</f>
        <v/>
      </c>
      <c r="F409" s="0">
        <f>VLOOKUP(E409,'Tier Params'!$A:$B,2,FALSE)</f>
        <v/>
      </c>
      <c r="G409" s="0">
        <f>VLOOKUP(E409,'Tier Params'!$A:$C,3,FALSE)</f>
        <v/>
      </c>
      <c r="H409" s="0">
        <f>CEILING(D409/G409,1)</f>
        <v/>
      </c>
      <c r="I409" s="0">
        <f>H409*F409</f>
        <v/>
      </c>
    </row>
    <row r="410">
      <c r="A410" s="0" t="inlineStr">
        <is>
          <t>'Reference sheet'!N412</t>
        </is>
      </c>
      <c r="B410" s="0" t="inlineStr">
        <is>
          <t>Structure Hangar Array</t>
        </is>
      </c>
      <c r="C410" s="0" t="inlineStr">
        <is>
          <t>Complex Organisms</t>
        </is>
      </c>
      <c r="D410" s="0" t="n">
        <v>120000</v>
      </c>
      <c r="E410" s="0">
        <f>VLOOKUP(C410,'Item Tier Lookup'!$A:$B,2,FALSE)</f>
        <v/>
      </c>
      <c r="F410" s="0">
        <f>VLOOKUP(E410,'Tier Params'!$A:$B,2,FALSE)</f>
        <v/>
      </c>
      <c r="G410" s="0">
        <f>VLOOKUP(E410,'Tier Params'!$A:$C,3,FALSE)</f>
        <v/>
      </c>
      <c r="H410" s="0">
        <f>CEILING(D410/G410,1)</f>
        <v/>
      </c>
      <c r="I410" s="0">
        <f>H410*F410</f>
        <v/>
      </c>
    </row>
    <row r="411">
      <c r="A411" s="0" t="inlineStr">
        <is>
          <t>'Reference sheet'!N413</t>
        </is>
      </c>
      <c r="B411" s="0" t="inlineStr">
        <is>
          <t>Structure Storage Bay</t>
        </is>
      </c>
      <c r="C411" s="0" t="inlineStr">
        <is>
          <t>Structure Storage Bay</t>
        </is>
      </c>
      <c r="D411" s="0" t="n">
        <v>1</v>
      </c>
      <c r="E411" s="0">
        <f>VLOOKUP(C411,'Item Tier Lookup'!$A:$B,2,FALSE)</f>
        <v/>
      </c>
      <c r="F411" s="0">
        <f>VLOOKUP(E411,'Tier Params'!$A:$B,2,FALSE)</f>
        <v/>
      </c>
      <c r="G411" s="0">
        <f>VLOOKUP(E411,'Tier Params'!$A:$C,3,FALSE)</f>
        <v/>
      </c>
      <c r="H411" s="0">
        <f>CEILING(D411/G411,1)</f>
        <v/>
      </c>
      <c r="I411" s="0">
        <f>H411*F411</f>
        <v/>
      </c>
    </row>
    <row r="412">
      <c r="A412" s="0" t="inlineStr">
        <is>
          <t>'Reference sheet'!N414</t>
        </is>
      </c>
      <c r="B412" s="0" t="inlineStr">
        <is>
          <t>Structure Storage Bay</t>
        </is>
      </c>
      <c r="C412" s="0" t="inlineStr">
        <is>
          <t>Tritanium</t>
        </is>
      </c>
      <c r="D412" s="0" t="n">
        <v>450000</v>
      </c>
      <c r="E412" s="0">
        <f>VLOOKUP(C412,'Item Tier Lookup'!$A:$B,2,FALSE)</f>
        <v/>
      </c>
      <c r="F412" s="0">
        <f>VLOOKUP(E412,'Tier Params'!$A:$B,2,FALSE)</f>
        <v/>
      </c>
      <c r="G412" s="0">
        <f>VLOOKUP(E412,'Tier Params'!$A:$C,3,FALSE)</f>
        <v/>
      </c>
      <c r="H412" s="0">
        <f>CEILING(D412/G412,1)</f>
        <v/>
      </c>
      <c r="I412" s="0">
        <f>H412*F412</f>
        <v/>
      </c>
    </row>
    <row r="413">
      <c r="A413" s="0" t="inlineStr">
        <is>
          <t>'Reference sheet'!N415</t>
        </is>
      </c>
      <c r="B413" s="0" t="inlineStr">
        <is>
          <t>Structure Storage Bay</t>
        </is>
      </c>
      <c r="C413" s="0" t="inlineStr">
        <is>
          <t>Pyerite</t>
        </is>
      </c>
      <c r="D413" s="0" t="n">
        <v>90000</v>
      </c>
      <c r="E413" s="0">
        <f>VLOOKUP(C413,'Item Tier Lookup'!$A:$B,2,FALSE)</f>
        <v/>
      </c>
      <c r="F413" s="0">
        <f>VLOOKUP(E413,'Tier Params'!$A:$B,2,FALSE)</f>
        <v/>
      </c>
      <c r="G413" s="0">
        <f>VLOOKUP(E413,'Tier Params'!$A:$C,3,FALSE)</f>
        <v/>
      </c>
      <c r="H413" s="0">
        <f>CEILING(D413/G413,1)</f>
        <v/>
      </c>
      <c r="I413" s="0">
        <f>H413*F413</f>
        <v/>
      </c>
    </row>
    <row r="414">
      <c r="A414" s="0" t="inlineStr">
        <is>
          <t>'Reference sheet'!N416</t>
        </is>
      </c>
      <c r="B414" s="0" t="inlineStr">
        <is>
          <t>Structure Storage Bay</t>
        </is>
      </c>
      <c r="C414" s="0" t="inlineStr">
        <is>
          <t>Mexallon</t>
        </is>
      </c>
      <c r="D414" s="0" t="n">
        <v>31500</v>
      </c>
      <c r="E414" s="0">
        <f>VLOOKUP(C414,'Item Tier Lookup'!$A:$B,2,FALSE)</f>
        <v/>
      </c>
      <c r="F414" s="0">
        <f>VLOOKUP(E414,'Tier Params'!$A:$B,2,FALSE)</f>
        <v/>
      </c>
      <c r="G414" s="0">
        <f>VLOOKUP(E414,'Tier Params'!$A:$C,3,FALSE)</f>
        <v/>
      </c>
      <c r="H414" s="0">
        <f>CEILING(D414/G414,1)</f>
        <v/>
      </c>
      <c r="I414" s="0">
        <f>H414*F414</f>
        <v/>
      </c>
    </row>
    <row r="415">
      <c r="A415" s="0" t="inlineStr">
        <is>
          <t>'Reference sheet'!N417</t>
        </is>
      </c>
      <c r="B415" s="0" t="inlineStr">
        <is>
          <t>Structure Storage Bay</t>
        </is>
      </c>
      <c r="C415" s="0" t="inlineStr">
        <is>
          <t>Isogen</t>
        </is>
      </c>
      <c r="D415" s="0" t="n">
        <v>3600</v>
      </c>
      <c r="E415" s="0">
        <f>VLOOKUP(C415,'Item Tier Lookup'!$A:$B,2,FALSE)</f>
        <v/>
      </c>
      <c r="F415" s="0">
        <f>VLOOKUP(E415,'Tier Params'!$A:$B,2,FALSE)</f>
        <v/>
      </c>
      <c r="G415" s="0">
        <f>VLOOKUP(E415,'Tier Params'!$A:$C,3,FALSE)</f>
        <v/>
      </c>
      <c r="H415" s="0">
        <f>CEILING(D415/G415,1)</f>
        <v/>
      </c>
      <c r="I415" s="0">
        <f>H415*F415</f>
        <v/>
      </c>
    </row>
    <row r="416">
      <c r="A416" s="0" t="inlineStr">
        <is>
          <t>'Reference sheet'!N418</t>
        </is>
      </c>
      <c r="B416" s="0" t="inlineStr">
        <is>
          <t>Structure Storage Bay</t>
        </is>
      </c>
      <c r="C416" s="0" t="inlineStr">
        <is>
          <t>Nocxium</t>
        </is>
      </c>
      <c r="D416" s="0" t="n">
        <v>675</v>
      </c>
      <c r="E416" s="0">
        <f>VLOOKUP(C416,'Item Tier Lookup'!$A:$B,2,FALSE)</f>
        <v/>
      </c>
      <c r="F416" s="0">
        <f>VLOOKUP(E416,'Tier Params'!$A:$B,2,FALSE)</f>
        <v/>
      </c>
      <c r="G416" s="0">
        <f>VLOOKUP(E416,'Tier Params'!$A:$C,3,FALSE)</f>
        <v/>
      </c>
      <c r="H416" s="0">
        <f>CEILING(D416/G416,1)</f>
        <v/>
      </c>
      <c r="I416" s="0">
        <f>H416*F416</f>
        <v/>
      </c>
    </row>
    <row r="417">
      <c r="A417" s="0" t="inlineStr">
        <is>
          <t>'Reference sheet'!N419</t>
        </is>
      </c>
      <c r="B417" s="0" t="inlineStr">
        <is>
          <t>Structure Storage Bay</t>
        </is>
      </c>
      <c r="C417" s="0" t="inlineStr">
        <is>
          <t>Zydrine</t>
        </is>
      </c>
      <c r="D417" s="0" t="n">
        <v>315</v>
      </c>
      <c r="E417" s="0">
        <f>VLOOKUP(C417,'Item Tier Lookup'!$A:$B,2,FALSE)</f>
        <v/>
      </c>
      <c r="F417" s="0">
        <f>VLOOKUP(E417,'Tier Params'!$A:$B,2,FALSE)</f>
        <v/>
      </c>
      <c r="G417" s="0">
        <f>VLOOKUP(E417,'Tier Params'!$A:$C,3,FALSE)</f>
        <v/>
      </c>
      <c r="H417" s="0">
        <f>CEILING(D417/G417,1)</f>
        <v/>
      </c>
      <c r="I417" s="0">
        <f>H417*F417</f>
        <v/>
      </c>
    </row>
    <row r="418">
      <c r="A418" s="0" t="inlineStr">
        <is>
          <t>'Reference sheet'!N420</t>
        </is>
      </c>
      <c r="B418" s="0" t="inlineStr">
        <is>
          <t>Structure Storage Bay</t>
        </is>
      </c>
      <c r="C418" s="0" t="inlineStr">
        <is>
          <t>Megacyte</t>
        </is>
      </c>
      <c r="D418" s="0" t="n">
        <v>135</v>
      </c>
      <c r="E418" s="0">
        <f>VLOOKUP(C418,'Item Tier Lookup'!$A:$B,2,FALSE)</f>
        <v/>
      </c>
      <c r="F418" s="0">
        <f>VLOOKUP(E418,'Tier Params'!$A:$B,2,FALSE)</f>
        <v/>
      </c>
      <c r="G418" s="0">
        <f>VLOOKUP(E418,'Tier Params'!$A:$C,3,FALSE)</f>
        <v/>
      </c>
      <c r="H418" s="0">
        <f>CEILING(D418/G418,1)</f>
        <v/>
      </c>
      <c r="I418" s="0">
        <f>H418*F418</f>
        <v/>
      </c>
    </row>
    <row r="419">
      <c r="A419" s="0" t="inlineStr">
        <is>
          <t>'Reference sheet'!N421</t>
        </is>
      </c>
      <c r="B419" s="0" t="inlineStr">
        <is>
          <t>Structure Storage Bay</t>
        </is>
      </c>
      <c r="C419" s="0" t="inlineStr">
        <is>
          <t>Broadcast Node</t>
        </is>
      </c>
      <c r="D419" s="0" t="n">
        <v>5</v>
      </c>
      <c r="E419" s="0">
        <f>VLOOKUP(C419,'Item Tier Lookup'!$A:$B,2,FALSE)</f>
        <v/>
      </c>
      <c r="F419" s="0">
        <f>VLOOKUP(E419,'Tier Params'!$A:$B,2,FALSE)</f>
        <v/>
      </c>
      <c r="G419" s="0">
        <f>VLOOKUP(E419,'Tier Params'!$A:$C,3,FALSE)</f>
        <v/>
      </c>
      <c r="H419" s="0">
        <f>CEILING(D419/G419,1)</f>
        <v/>
      </c>
      <c r="I419" s="0">
        <f>H419*F419</f>
        <v/>
      </c>
    </row>
    <row r="420">
      <c r="A420" s="0" t="inlineStr">
        <is>
          <t>'Reference sheet'!N422</t>
        </is>
      </c>
      <c r="B420" s="0" t="inlineStr">
        <is>
          <t>Structure Storage Bay</t>
        </is>
      </c>
      <c r="C420" s="0" t="inlineStr">
        <is>
          <t>Data Chips</t>
        </is>
      </c>
      <c r="D420" s="0" t="n">
        <v>30</v>
      </c>
      <c r="E420" s="0">
        <f>VLOOKUP(C420,'Item Tier Lookup'!$A:$B,2,FALSE)</f>
        <v/>
      </c>
      <c r="F420" s="0">
        <f>VLOOKUP(E420,'Tier Params'!$A:$B,2,FALSE)</f>
        <v/>
      </c>
      <c r="G420" s="0">
        <f>VLOOKUP(E420,'Tier Params'!$A:$C,3,FALSE)</f>
        <v/>
      </c>
      <c r="H420" s="0">
        <f>CEILING(D420/G420,1)</f>
        <v/>
      </c>
      <c r="I420" s="0">
        <f>H420*F420</f>
        <v/>
      </c>
    </row>
    <row r="421">
      <c r="A421" s="0" t="inlineStr">
        <is>
          <t>'Reference sheet'!N423</t>
        </is>
      </c>
      <c r="B421" s="0" t="inlineStr">
        <is>
          <t>Structure Storage Bay</t>
        </is>
      </c>
      <c r="C421" s="0" t="inlineStr">
        <is>
          <t>Supertensile Plastics</t>
        </is>
      </c>
      <c r="D421" s="0" t="n">
        <v>100</v>
      </c>
      <c r="E421" s="0">
        <f>VLOOKUP(C421,'Item Tier Lookup'!$A:$B,2,FALSE)</f>
        <v/>
      </c>
      <c r="F421" s="0">
        <f>VLOOKUP(E421,'Tier Params'!$A:$B,2,FALSE)</f>
        <v/>
      </c>
      <c r="G421" s="0">
        <f>VLOOKUP(E421,'Tier Params'!$A:$C,3,FALSE)</f>
        <v/>
      </c>
      <c r="H421" s="0">
        <f>CEILING(D421/G421,1)</f>
        <v/>
      </c>
      <c r="I421" s="0">
        <f>H421*F421</f>
        <v/>
      </c>
    </row>
    <row r="422">
      <c r="A422" s="0" t="inlineStr">
        <is>
          <t>'Reference sheet'!N424</t>
        </is>
      </c>
      <c r="B422" s="0" t="inlineStr">
        <is>
          <t>Structure Storage Bay</t>
        </is>
      </c>
      <c r="C422" s="0" t="inlineStr">
        <is>
          <t>Oxygen</t>
        </is>
      </c>
      <c r="D422" s="0" t="n">
        <v>800</v>
      </c>
      <c r="E422" s="0">
        <f>VLOOKUP(C422,'Item Tier Lookup'!$A:$B,2,FALSE)</f>
        <v/>
      </c>
      <c r="F422" s="0">
        <f>VLOOKUP(E422,'Tier Params'!$A:$B,2,FALSE)</f>
        <v/>
      </c>
      <c r="G422" s="0">
        <f>VLOOKUP(E422,'Tier Params'!$A:$C,3,FALSE)</f>
        <v/>
      </c>
      <c r="H422" s="0">
        <f>CEILING(D422/G422,1)</f>
        <v/>
      </c>
      <c r="I422" s="0">
        <f>H422*F422</f>
        <v/>
      </c>
    </row>
    <row r="423">
      <c r="A423" s="0" t="inlineStr">
        <is>
          <t>'Reference sheet'!N425</t>
        </is>
      </c>
      <c r="B423" s="0" t="inlineStr">
        <is>
          <t>Structure Storage Bay</t>
        </is>
      </c>
      <c r="C423" s="0" t="inlineStr">
        <is>
          <t>Noble Gas</t>
        </is>
      </c>
      <c r="D423" s="0" t="n">
        <v>120000</v>
      </c>
      <c r="E423" s="0">
        <f>VLOOKUP(C423,'Item Tier Lookup'!$A:$B,2,FALSE)</f>
        <v/>
      </c>
      <c r="F423" s="0">
        <f>VLOOKUP(E423,'Tier Params'!$A:$B,2,FALSE)</f>
        <v/>
      </c>
      <c r="G423" s="0">
        <f>VLOOKUP(E423,'Tier Params'!$A:$C,3,FALSE)</f>
        <v/>
      </c>
      <c r="H423" s="0">
        <f>CEILING(D423/G423,1)</f>
        <v/>
      </c>
      <c r="I423" s="0">
        <f>H423*F423</f>
        <v/>
      </c>
    </row>
    <row r="424">
      <c r="A424" s="0" t="inlineStr">
        <is>
          <t>'Reference sheet'!N426</t>
        </is>
      </c>
      <c r="B424" s="0" t="inlineStr">
        <is>
          <t>Structure Storage Bay</t>
        </is>
      </c>
      <c r="C424" s="0" t="inlineStr">
        <is>
          <t>Biomass</t>
        </is>
      </c>
      <c r="D424" s="0" t="n">
        <v>800</v>
      </c>
      <c r="E424" s="0">
        <f>VLOOKUP(C424,'Item Tier Lookup'!$A:$B,2,FALSE)</f>
        <v/>
      </c>
      <c r="F424" s="0">
        <f>VLOOKUP(E424,'Tier Params'!$A:$B,2,FALSE)</f>
        <v/>
      </c>
      <c r="G424" s="0">
        <f>VLOOKUP(E424,'Tier Params'!$A:$C,3,FALSE)</f>
        <v/>
      </c>
      <c r="H424" s="0">
        <f>CEILING(D424/G424,1)</f>
        <v/>
      </c>
      <c r="I424" s="0">
        <f>H424*F424</f>
        <v/>
      </c>
    </row>
    <row r="425">
      <c r="A425" s="0" t="inlineStr">
        <is>
          <t>'Reference sheet'!N427</t>
        </is>
      </c>
      <c r="B425" s="0" t="inlineStr">
        <is>
          <t>Structure Storage Bay</t>
        </is>
      </c>
      <c r="C425" s="0" t="inlineStr">
        <is>
          <t>Planktic Colonies</t>
        </is>
      </c>
      <c r="D425" s="0" t="n">
        <v>120000</v>
      </c>
      <c r="E425" s="0">
        <f>VLOOKUP(C425,'Item Tier Lookup'!$A:$B,2,FALSE)</f>
        <v/>
      </c>
      <c r="F425" s="0">
        <f>VLOOKUP(E425,'Tier Params'!$A:$B,2,FALSE)</f>
        <v/>
      </c>
      <c r="G425" s="0">
        <f>VLOOKUP(E425,'Tier Params'!$A:$C,3,FALSE)</f>
        <v/>
      </c>
      <c r="H425" s="0">
        <f>CEILING(D425/G425,1)</f>
        <v/>
      </c>
      <c r="I425" s="0">
        <f>H425*F425</f>
        <v/>
      </c>
    </row>
    <row r="426">
      <c r="A426" s="0" t="inlineStr">
        <is>
          <t>'Reference sheet'!N428</t>
        </is>
      </c>
      <c r="B426" s="0" t="inlineStr">
        <is>
          <t>Structure Storage Bay</t>
        </is>
      </c>
      <c r="C426" s="0" t="inlineStr">
        <is>
          <t>Microfiber Shielding</t>
        </is>
      </c>
      <c r="D426" s="0" t="n">
        <v>100</v>
      </c>
      <c r="E426" s="0">
        <f>VLOOKUP(C426,'Item Tier Lookup'!$A:$B,2,FALSE)</f>
        <v/>
      </c>
      <c r="F426" s="0">
        <f>VLOOKUP(E426,'Tier Params'!$A:$B,2,FALSE)</f>
        <v/>
      </c>
      <c r="G426" s="0">
        <f>VLOOKUP(E426,'Tier Params'!$A:$C,3,FALSE)</f>
        <v/>
      </c>
      <c r="H426" s="0">
        <f>CEILING(D426/G426,1)</f>
        <v/>
      </c>
      <c r="I426" s="0">
        <f>H426*F426</f>
        <v/>
      </c>
    </row>
    <row r="427">
      <c r="A427" s="0" t="inlineStr">
        <is>
          <t>'Reference sheet'!N429</t>
        </is>
      </c>
      <c r="B427" s="0" t="inlineStr">
        <is>
          <t>Structure Storage Bay</t>
        </is>
      </c>
      <c r="C427" s="0" t="inlineStr">
        <is>
          <t>Silicon</t>
        </is>
      </c>
      <c r="D427" s="0" t="n">
        <v>800</v>
      </c>
      <c r="E427" s="0">
        <f>VLOOKUP(C427,'Item Tier Lookup'!$A:$B,2,FALSE)</f>
        <v/>
      </c>
      <c r="F427" s="0">
        <f>VLOOKUP(E427,'Tier Params'!$A:$B,2,FALSE)</f>
        <v/>
      </c>
      <c r="G427" s="0">
        <f>VLOOKUP(E427,'Tier Params'!$A:$C,3,FALSE)</f>
        <v/>
      </c>
      <c r="H427" s="0">
        <f>CEILING(D427/G427,1)</f>
        <v/>
      </c>
      <c r="I427" s="0">
        <f>H427*F427</f>
        <v/>
      </c>
    </row>
    <row r="428">
      <c r="A428" s="0" t="inlineStr">
        <is>
          <t>'Reference sheet'!N430</t>
        </is>
      </c>
      <c r="B428" s="0" t="inlineStr">
        <is>
          <t>Structure Storage Bay</t>
        </is>
      </c>
      <c r="C428" s="0" t="inlineStr">
        <is>
          <t>Felsic Magma</t>
        </is>
      </c>
      <c r="D428" s="0" t="n">
        <v>120000</v>
      </c>
      <c r="E428" s="0">
        <f>VLOOKUP(C428,'Item Tier Lookup'!$A:$B,2,FALSE)</f>
        <v/>
      </c>
      <c r="F428" s="0">
        <f>VLOOKUP(E428,'Tier Params'!$A:$B,2,FALSE)</f>
        <v/>
      </c>
      <c r="G428" s="0">
        <f>VLOOKUP(E428,'Tier Params'!$A:$C,3,FALSE)</f>
        <v/>
      </c>
      <c r="H428" s="0">
        <f>CEILING(D428/G428,1)</f>
        <v/>
      </c>
      <c r="I428" s="0">
        <f>H428*F428</f>
        <v/>
      </c>
    </row>
    <row r="429">
      <c r="A429" s="0" t="inlineStr">
        <is>
          <t>'Reference sheet'!N431</t>
        </is>
      </c>
      <c r="B429" s="0" t="inlineStr">
        <is>
          <t>Structure Storage Bay</t>
        </is>
      </c>
      <c r="C429" s="0" t="inlineStr">
        <is>
          <t>Industrial Fibers</t>
        </is>
      </c>
      <c r="D429" s="0" t="n">
        <v>800</v>
      </c>
      <c r="E429" s="0">
        <f>VLOOKUP(C429,'Item Tier Lookup'!$A:$B,2,FALSE)</f>
        <v/>
      </c>
      <c r="F429" s="0">
        <f>VLOOKUP(E429,'Tier Params'!$A:$B,2,FALSE)</f>
        <v/>
      </c>
      <c r="G429" s="0">
        <f>VLOOKUP(E429,'Tier Params'!$A:$C,3,FALSE)</f>
        <v/>
      </c>
      <c r="H429" s="0">
        <f>CEILING(D429/G429,1)</f>
        <v/>
      </c>
      <c r="I429" s="0">
        <f>H429*F429</f>
        <v/>
      </c>
    </row>
    <row r="430">
      <c r="A430" s="0" t="inlineStr">
        <is>
          <t>'Reference sheet'!N432</t>
        </is>
      </c>
      <c r="B430" s="0" t="inlineStr">
        <is>
          <t>Structure Storage Bay</t>
        </is>
      </c>
      <c r="C430" s="0" t="inlineStr">
        <is>
          <t>Autotrophs</t>
        </is>
      </c>
      <c r="D430" s="0" t="n">
        <v>120000</v>
      </c>
      <c r="E430" s="0">
        <f>VLOOKUP(C430,'Item Tier Lookup'!$A:$B,2,FALSE)</f>
        <v/>
      </c>
      <c r="F430" s="0">
        <f>VLOOKUP(E430,'Tier Params'!$A:$B,2,FALSE)</f>
        <v/>
      </c>
      <c r="G430" s="0">
        <f>VLOOKUP(E430,'Tier Params'!$A:$C,3,FALSE)</f>
        <v/>
      </c>
      <c r="H430" s="0">
        <f>CEILING(D430/G430,1)</f>
        <v/>
      </c>
      <c r="I430" s="0">
        <f>H430*F430</f>
        <v/>
      </c>
    </row>
    <row r="431">
      <c r="A431" s="0" t="inlineStr">
        <is>
          <t>'Reference sheet'!N433</t>
        </is>
      </c>
      <c r="B431" s="0" t="inlineStr">
        <is>
          <t>Structure Storage Bay</t>
        </is>
      </c>
      <c r="C431" s="0" t="inlineStr">
        <is>
          <t>Neocoms</t>
        </is>
      </c>
      <c r="D431" s="0" t="n">
        <v>30</v>
      </c>
      <c r="E431" s="0">
        <f>VLOOKUP(C431,'Item Tier Lookup'!$A:$B,2,FALSE)</f>
        <v/>
      </c>
      <c r="F431" s="0">
        <f>VLOOKUP(E431,'Tier Params'!$A:$B,2,FALSE)</f>
        <v/>
      </c>
      <c r="G431" s="0">
        <f>VLOOKUP(E431,'Tier Params'!$A:$C,3,FALSE)</f>
        <v/>
      </c>
      <c r="H431" s="0">
        <f>CEILING(D431/G431,1)</f>
        <v/>
      </c>
      <c r="I431" s="0">
        <f>H431*F431</f>
        <v/>
      </c>
    </row>
    <row r="432">
      <c r="A432" s="0" t="inlineStr">
        <is>
          <t>'Reference sheet'!N434</t>
        </is>
      </c>
      <c r="B432" s="0" t="inlineStr">
        <is>
          <t>Structure Storage Bay</t>
        </is>
      </c>
      <c r="C432" s="0" t="inlineStr">
        <is>
          <t>Biocells</t>
        </is>
      </c>
      <c r="D432" s="0" t="n">
        <v>100</v>
      </c>
      <c r="E432" s="0">
        <f>VLOOKUP(C432,'Item Tier Lookup'!$A:$B,2,FALSE)</f>
        <v/>
      </c>
      <c r="F432" s="0">
        <f>VLOOKUP(E432,'Tier Params'!$A:$B,2,FALSE)</f>
        <v/>
      </c>
      <c r="G432" s="0">
        <f>VLOOKUP(E432,'Tier Params'!$A:$C,3,FALSE)</f>
        <v/>
      </c>
      <c r="H432" s="0">
        <f>CEILING(D432/G432,1)</f>
        <v/>
      </c>
      <c r="I432" s="0">
        <f>H432*F432</f>
        <v/>
      </c>
    </row>
    <row r="433">
      <c r="A433" s="0" t="inlineStr">
        <is>
          <t>'Reference sheet'!N435</t>
        </is>
      </c>
      <c r="B433" s="0" t="inlineStr">
        <is>
          <t>Structure Storage Bay</t>
        </is>
      </c>
      <c r="C433" s="0" t="inlineStr">
        <is>
          <t>Biofuels</t>
        </is>
      </c>
      <c r="D433" s="0" t="n">
        <v>800</v>
      </c>
      <c r="E433" s="0">
        <f>VLOOKUP(C433,'Item Tier Lookup'!$A:$B,2,FALSE)</f>
        <v/>
      </c>
      <c r="F433" s="0">
        <f>VLOOKUP(E433,'Tier Params'!$A:$B,2,FALSE)</f>
        <v/>
      </c>
      <c r="G433" s="0">
        <f>VLOOKUP(E433,'Tier Params'!$A:$C,3,FALSE)</f>
        <v/>
      </c>
      <c r="H433" s="0">
        <f>CEILING(D433/G433,1)</f>
        <v/>
      </c>
      <c r="I433" s="0">
        <f>H433*F433</f>
        <v/>
      </c>
    </row>
    <row r="434">
      <c r="A434" s="0" t="inlineStr">
        <is>
          <t>'Reference sheet'!N436</t>
        </is>
      </c>
      <c r="B434" s="0" t="inlineStr">
        <is>
          <t>Structure Storage Bay</t>
        </is>
      </c>
      <c r="C434" s="0" t="inlineStr">
        <is>
          <t>Carbon Compounds</t>
        </is>
      </c>
      <c r="D434" s="0" t="n">
        <v>120000</v>
      </c>
      <c r="E434" s="0">
        <f>VLOOKUP(C434,'Item Tier Lookup'!$A:$B,2,FALSE)</f>
        <v/>
      </c>
      <c r="F434" s="0">
        <f>VLOOKUP(E434,'Tier Params'!$A:$B,2,FALSE)</f>
        <v/>
      </c>
      <c r="G434" s="0">
        <f>VLOOKUP(E434,'Tier Params'!$A:$C,3,FALSE)</f>
        <v/>
      </c>
      <c r="H434" s="0">
        <f>CEILING(D434/G434,1)</f>
        <v/>
      </c>
      <c r="I434" s="0">
        <f>H434*F434</f>
        <v/>
      </c>
    </row>
    <row r="435">
      <c r="A435" s="0" t="inlineStr">
        <is>
          <t>'Reference sheet'!N437</t>
        </is>
      </c>
      <c r="B435" s="0" t="inlineStr">
        <is>
          <t>Structure Storage Bay</t>
        </is>
      </c>
      <c r="C435" s="0" t="inlineStr">
        <is>
          <t>Precious Metals</t>
        </is>
      </c>
      <c r="D435" s="0" t="n">
        <v>800</v>
      </c>
      <c r="E435" s="0">
        <f>VLOOKUP(C435,'Item Tier Lookup'!$A:$B,2,FALSE)</f>
        <v/>
      </c>
      <c r="F435" s="0">
        <f>VLOOKUP(E435,'Tier Params'!$A:$B,2,FALSE)</f>
        <v/>
      </c>
      <c r="G435" s="0">
        <f>VLOOKUP(E435,'Tier Params'!$A:$C,3,FALSE)</f>
        <v/>
      </c>
      <c r="H435" s="0">
        <f>CEILING(D435/G435,1)</f>
        <v/>
      </c>
      <c r="I435" s="0">
        <f>H435*F435</f>
        <v/>
      </c>
    </row>
    <row r="436">
      <c r="A436" s="0" t="inlineStr">
        <is>
          <t>'Reference sheet'!N438</t>
        </is>
      </c>
      <c r="B436" s="0" t="inlineStr">
        <is>
          <t>Structure Storage Bay</t>
        </is>
      </c>
      <c r="C436" s="0" t="inlineStr">
        <is>
          <t>Noble Metals</t>
        </is>
      </c>
      <c r="D436" s="0" t="n">
        <v>120000</v>
      </c>
      <c r="E436" s="0">
        <f>VLOOKUP(C436,'Item Tier Lookup'!$A:$B,2,FALSE)</f>
        <v/>
      </c>
      <c r="F436" s="0">
        <f>VLOOKUP(E436,'Tier Params'!$A:$B,2,FALSE)</f>
        <v/>
      </c>
      <c r="G436" s="0">
        <f>VLOOKUP(E436,'Tier Params'!$A:$C,3,FALSE)</f>
        <v/>
      </c>
      <c r="H436" s="0">
        <f>CEILING(D436/G436,1)</f>
        <v/>
      </c>
      <c r="I436" s="0">
        <f>H436*F436</f>
        <v/>
      </c>
    </row>
    <row r="437">
      <c r="A437" s="0" t="inlineStr">
        <is>
          <t>'Reference sheet'!N439</t>
        </is>
      </c>
      <c r="B437" s="0" t="inlineStr">
        <is>
          <t>Structure Storage Bay</t>
        </is>
      </c>
      <c r="C437" s="0" t="inlineStr">
        <is>
          <t>Silicate Glass</t>
        </is>
      </c>
      <c r="D437" s="0" t="n">
        <v>100</v>
      </c>
      <c r="E437" s="0">
        <f>VLOOKUP(C437,'Item Tier Lookup'!$A:$B,2,FALSE)</f>
        <v/>
      </c>
      <c r="F437" s="0">
        <f>VLOOKUP(E437,'Tier Params'!$A:$B,2,FALSE)</f>
        <v/>
      </c>
      <c r="G437" s="0">
        <f>VLOOKUP(E437,'Tier Params'!$A:$C,3,FALSE)</f>
        <v/>
      </c>
      <c r="H437" s="0">
        <f>CEILING(D437/G437,1)</f>
        <v/>
      </c>
      <c r="I437" s="0">
        <f>H437*F437</f>
        <v/>
      </c>
    </row>
    <row r="438">
      <c r="A438" s="0" t="inlineStr">
        <is>
          <t>'Reference sheet'!N440</t>
        </is>
      </c>
      <c r="B438" s="0" t="inlineStr">
        <is>
          <t>Structure Storage Bay</t>
        </is>
      </c>
      <c r="C438" s="0" t="inlineStr">
        <is>
          <t>Oxidizing Compound</t>
        </is>
      </c>
      <c r="D438" s="0" t="n">
        <v>800</v>
      </c>
      <c r="E438" s="0">
        <f>VLOOKUP(C438,'Item Tier Lookup'!$A:$B,2,FALSE)</f>
        <v/>
      </c>
      <c r="F438" s="0">
        <f>VLOOKUP(E438,'Tier Params'!$A:$B,2,FALSE)</f>
        <v/>
      </c>
      <c r="G438" s="0">
        <f>VLOOKUP(E438,'Tier Params'!$A:$C,3,FALSE)</f>
        <v/>
      </c>
      <c r="H438" s="0">
        <f>CEILING(D438/G438,1)</f>
        <v/>
      </c>
      <c r="I438" s="0">
        <f>H438*F438</f>
        <v/>
      </c>
    </row>
    <row r="439">
      <c r="A439" s="0" t="inlineStr">
        <is>
          <t>'Reference sheet'!N441</t>
        </is>
      </c>
      <c r="B439" s="0" t="inlineStr">
        <is>
          <t>Structure Storage Bay</t>
        </is>
      </c>
      <c r="C439" s="0" t="inlineStr">
        <is>
          <t>Reactive Gas</t>
        </is>
      </c>
      <c r="D439" s="0" t="n">
        <v>120000</v>
      </c>
      <c r="E439" s="0">
        <f>VLOOKUP(C439,'Item Tier Lookup'!$A:$B,2,FALSE)</f>
        <v/>
      </c>
      <c r="F439" s="0">
        <f>VLOOKUP(E439,'Tier Params'!$A:$B,2,FALSE)</f>
        <v/>
      </c>
      <c r="G439" s="0">
        <f>VLOOKUP(E439,'Tier Params'!$A:$C,3,FALSE)</f>
        <v/>
      </c>
      <c r="H439" s="0">
        <f>CEILING(D439/G439,1)</f>
        <v/>
      </c>
      <c r="I439" s="0">
        <f>H439*F439</f>
        <v/>
      </c>
    </row>
    <row r="440">
      <c r="A440" s="0" t="inlineStr">
        <is>
          <t>'Reference sheet'!N442</t>
        </is>
      </c>
      <c r="B440" s="0" t="inlineStr">
        <is>
          <t>Structure Storage Bay</t>
        </is>
      </c>
      <c r="C440" s="0" t="inlineStr">
        <is>
          <t>Silicon</t>
        </is>
      </c>
      <c r="D440" s="0" t="n">
        <v>800</v>
      </c>
      <c r="E440" s="0">
        <f>VLOOKUP(C440,'Item Tier Lookup'!$A:$B,2,FALSE)</f>
        <v/>
      </c>
      <c r="F440" s="0">
        <f>VLOOKUP(E440,'Tier Params'!$A:$B,2,FALSE)</f>
        <v/>
      </c>
      <c r="G440" s="0">
        <f>VLOOKUP(E440,'Tier Params'!$A:$C,3,FALSE)</f>
        <v/>
      </c>
      <c r="H440" s="0">
        <f>CEILING(D440/G440,1)</f>
        <v/>
      </c>
      <c r="I440" s="0">
        <f>H440*F440</f>
        <v/>
      </c>
    </row>
    <row r="441">
      <c r="A441" s="0" t="inlineStr">
        <is>
          <t>'Reference sheet'!N443</t>
        </is>
      </c>
      <c r="B441" s="0" t="inlineStr">
        <is>
          <t>Structure Storage Bay</t>
        </is>
      </c>
      <c r="C441" s="0" t="inlineStr">
        <is>
          <t>Felsic Magma</t>
        </is>
      </c>
      <c r="D441" s="0" t="n">
        <v>120000</v>
      </c>
      <c r="E441" s="0">
        <f>VLOOKUP(C441,'Item Tier Lookup'!$A:$B,2,FALSE)</f>
        <v/>
      </c>
      <c r="F441" s="0">
        <f>VLOOKUP(E441,'Tier Params'!$A:$B,2,FALSE)</f>
        <v/>
      </c>
      <c r="G441" s="0">
        <f>VLOOKUP(E441,'Tier Params'!$A:$C,3,FALSE)</f>
        <v/>
      </c>
      <c r="H441" s="0">
        <f>CEILING(D441/G441,1)</f>
        <v/>
      </c>
      <c r="I441" s="0">
        <f>H441*F441</f>
        <v/>
      </c>
    </row>
    <row r="442">
      <c r="A442" s="0" t="inlineStr">
        <is>
          <t>'Reference sheet'!N444</t>
        </is>
      </c>
      <c r="B442" s="0" t="inlineStr">
        <is>
          <t>Structure Storage Bay</t>
        </is>
      </c>
      <c r="C442" s="0" t="inlineStr">
        <is>
          <t>High-Tech Transmitters</t>
        </is>
      </c>
      <c r="D442" s="0" t="n">
        <v>30</v>
      </c>
      <c r="E442" s="0">
        <f>VLOOKUP(C442,'Item Tier Lookup'!$A:$B,2,FALSE)</f>
        <v/>
      </c>
      <c r="F442" s="0">
        <f>VLOOKUP(E442,'Tier Params'!$A:$B,2,FALSE)</f>
        <v/>
      </c>
      <c r="G442" s="0">
        <f>VLOOKUP(E442,'Tier Params'!$A:$C,3,FALSE)</f>
        <v/>
      </c>
      <c r="H442" s="0">
        <f>CEILING(D442/G442,1)</f>
        <v/>
      </c>
      <c r="I442" s="0">
        <f>H442*F442</f>
        <v/>
      </c>
    </row>
    <row r="443">
      <c r="A443" s="0" t="inlineStr">
        <is>
          <t>'Reference sheet'!N445</t>
        </is>
      </c>
      <c r="B443" s="0" t="inlineStr">
        <is>
          <t>Structure Storage Bay</t>
        </is>
      </c>
      <c r="C443" s="0" t="inlineStr">
        <is>
          <t>Transmitter</t>
        </is>
      </c>
      <c r="D443" s="0" t="n">
        <v>100</v>
      </c>
      <c r="E443" s="0">
        <f>VLOOKUP(C443,'Item Tier Lookup'!$A:$B,2,FALSE)</f>
        <v/>
      </c>
      <c r="F443" s="0">
        <f>VLOOKUP(E443,'Tier Params'!$A:$B,2,FALSE)</f>
        <v/>
      </c>
      <c r="G443" s="0">
        <f>VLOOKUP(E443,'Tier Params'!$A:$C,3,FALSE)</f>
        <v/>
      </c>
      <c r="H443" s="0">
        <f>CEILING(D443/G443,1)</f>
        <v/>
      </c>
      <c r="I443" s="0">
        <f>H443*F443</f>
        <v/>
      </c>
    </row>
    <row r="444">
      <c r="A444" s="0" t="inlineStr">
        <is>
          <t>'Reference sheet'!N446</t>
        </is>
      </c>
      <c r="B444" s="0" t="inlineStr">
        <is>
          <t>Structure Storage Bay</t>
        </is>
      </c>
      <c r="C444" s="0" t="inlineStr">
        <is>
          <t>Chiral Structures</t>
        </is>
      </c>
      <c r="D444" s="0" t="n">
        <v>800</v>
      </c>
      <c r="E444" s="0">
        <f>VLOOKUP(C444,'Item Tier Lookup'!$A:$B,2,FALSE)</f>
        <v/>
      </c>
      <c r="F444" s="0">
        <f>VLOOKUP(E444,'Tier Params'!$A:$B,2,FALSE)</f>
        <v/>
      </c>
      <c r="G444" s="0">
        <f>VLOOKUP(E444,'Tier Params'!$A:$C,3,FALSE)</f>
        <v/>
      </c>
      <c r="H444" s="0">
        <f>CEILING(D444/G444,1)</f>
        <v/>
      </c>
      <c r="I444" s="0">
        <f>H444*F444</f>
        <v/>
      </c>
    </row>
    <row r="445">
      <c r="A445" s="0" t="inlineStr">
        <is>
          <t>'Reference sheet'!N447</t>
        </is>
      </c>
      <c r="B445" s="0" t="inlineStr">
        <is>
          <t>Structure Storage Bay</t>
        </is>
      </c>
      <c r="C445" s="0" t="inlineStr">
        <is>
          <t>Non-CS Crystals</t>
        </is>
      </c>
      <c r="D445" s="0" t="n">
        <v>120000</v>
      </c>
      <c r="E445" s="0">
        <f>VLOOKUP(C445,'Item Tier Lookup'!$A:$B,2,FALSE)</f>
        <v/>
      </c>
      <c r="F445" s="0">
        <f>VLOOKUP(E445,'Tier Params'!$A:$B,2,FALSE)</f>
        <v/>
      </c>
      <c r="G445" s="0">
        <f>VLOOKUP(E445,'Tier Params'!$A:$C,3,FALSE)</f>
        <v/>
      </c>
      <c r="H445" s="0">
        <f>CEILING(D445/G445,1)</f>
        <v/>
      </c>
      <c r="I445" s="0">
        <f>H445*F445</f>
        <v/>
      </c>
    </row>
    <row r="446">
      <c r="A446" s="0" t="inlineStr">
        <is>
          <t>'Reference sheet'!N448</t>
        </is>
      </c>
      <c r="B446" s="0" t="inlineStr">
        <is>
          <t>Structure Storage Bay</t>
        </is>
      </c>
      <c r="C446" s="0" t="inlineStr">
        <is>
          <t>Plasmoids</t>
        </is>
      </c>
      <c r="D446" s="0" t="n">
        <v>800</v>
      </c>
      <c r="E446" s="0">
        <f>VLOOKUP(C446,'Item Tier Lookup'!$A:$B,2,FALSE)</f>
        <v/>
      </c>
      <c r="F446" s="0">
        <f>VLOOKUP(E446,'Tier Params'!$A:$B,2,FALSE)</f>
        <v/>
      </c>
      <c r="G446" s="0">
        <f>VLOOKUP(E446,'Tier Params'!$A:$C,3,FALSE)</f>
        <v/>
      </c>
      <c r="H446" s="0">
        <f>CEILING(D446/G446,1)</f>
        <v/>
      </c>
      <c r="I446" s="0">
        <f>H446*F446</f>
        <v/>
      </c>
    </row>
    <row r="447">
      <c r="A447" s="0" t="inlineStr">
        <is>
          <t>'Reference sheet'!N449</t>
        </is>
      </c>
      <c r="B447" s="0" t="inlineStr">
        <is>
          <t>Structure Storage Bay</t>
        </is>
      </c>
      <c r="C447" s="0" t="inlineStr">
        <is>
          <t>Suspended Plasma</t>
        </is>
      </c>
      <c r="D447" s="0" t="n">
        <v>120000</v>
      </c>
      <c r="E447" s="0">
        <f>VLOOKUP(C447,'Item Tier Lookup'!$A:$B,2,FALSE)</f>
        <v/>
      </c>
      <c r="F447" s="0">
        <f>VLOOKUP(E447,'Tier Params'!$A:$B,2,FALSE)</f>
        <v/>
      </c>
      <c r="G447" s="0">
        <f>VLOOKUP(E447,'Tier Params'!$A:$C,3,FALSE)</f>
        <v/>
      </c>
      <c r="H447" s="0">
        <f>CEILING(D447/G447,1)</f>
        <v/>
      </c>
      <c r="I447" s="0">
        <f>H447*F447</f>
        <v/>
      </c>
    </row>
    <row r="448">
      <c r="A448" s="0" t="inlineStr">
        <is>
          <t>'Reference sheet'!N450</t>
        </is>
      </c>
      <c r="B448" s="0" t="inlineStr">
        <is>
          <t>Structure Storage Bay</t>
        </is>
      </c>
      <c r="C448" s="0" t="inlineStr">
        <is>
          <t>Polyaramids</t>
        </is>
      </c>
      <c r="D448" s="0" t="n">
        <v>100</v>
      </c>
      <c r="E448" s="0">
        <f>VLOOKUP(C448,'Item Tier Lookup'!$A:$B,2,FALSE)</f>
        <v/>
      </c>
      <c r="F448" s="0">
        <f>VLOOKUP(E448,'Tier Params'!$A:$B,2,FALSE)</f>
        <v/>
      </c>
      <c r="G448" s="0">
        <f>VLOOKUP(E448,'Tier Params'!$A:$C,3,FALSE)</f>
        <v/>
      </c>
      <c r="H448" s="0">
        <f>CEILING(D448/G448,1)</f>
        <v/>
      </c>
      <c r="I448" s="0">
        <f>H448*F448</f>
        <v/>
      </c>
    </row>
    <row r="449">
      <c r="A449" s="0" t="inlineStr">
        <is>
          <t>'Reference sheet'!N451</t>
        </is>
      </c>
      <c r="B449" s="0" t="inlineStr">
        <is>
          <t>Structure Storage Bay</t>
        </is>
      </c>
      <c r="C449" s="0" t="inlineStr">
        <is>
          <t>Oxidizing Compound</t>
        </is>
      </c>
      <c r="D449" s="0" t="n">
        <v>800</v>
      </c>
      <c r="E449" s="0">
        <f>VLOOKUP(C449,'Item Tier Lookup'!$A:$B,2,FALSE)</f>
        <v/>
      </c>
      <c r="F449" s="0">
        <f>VLOOKUP(E449,'Tier Params'!$A:$B,2,FALSE)</f>
        <v/>
      </c>
      <c r="G449" s="0">
        <f>VLOOKUP(E449,'Tier Params'!$A:$C,3,FALSE)</f>
        <v/>
      </c>
      <c r="H449" s="0">
        <f>CEILING(D449/G449,1)</f>
        <v/>
      </c>
      <c r="I449" s="0">
        <f>H449*F449</f>
        <v/>
      </c>
    </row>
    <row r="450">
      <c r="A450" s="0" t="inlineStr">
        <is>
          <t>'Reference sheet'!N452</t>
        </is>
      </c>
      <c r="B450" s="0" t="inlineStr">
        <is>
          <t>Structure Storage Bay</t>
        </is>
      </c>
      <c r="C450" s="0" t="inlineStr">
        <is>
          <t>Reactive Gas</t>
        </is>
      </c>
      <c r="D450" s="0" t="n">
        <v>120000</v>
      </c>
      <c r="E450" s="0">
        <f>VLOOKUP(C450,'Item Tier Lookup'!$A:$B,2,FALSE)</f>
        <v/>
      </c>
      <c r="F450" s="0">
        <f>VLOOKUP(E450,'Tier Params'!$A:$B,2,FALSE)</f>
        <v/>
      </c>
      <c r="G450" s="0">
        <f>VLOOKUP(E450,'Tier Params'!$A:$C,3,FALSE)</f>
        <v/>
      </c>
      <c r="H450" s="0">
        <f>CEILING(D450/G450,1)</f>
        <v/>
      </c>
      <c r="I450" s="0">
        <f>H450*F450</f>
        <v/>
      </c>
    </row>
    <row r="451">
      <c r="A451" s="0" t="inlineStr">
        <is>
          <t>'Reference sheet'!N453</t>
        </is>
      </c>
      <c r="B451" s="0" t="inlineStr">
        <is>
          <t>Structure Storage Bay</t>
        </is>
      </c>
      <c r="C451" s="0" t="inlineStr">
        <is>
          <t>Industrial Fibers</t>
        </is>
      </c>
      <c r="D451" s="0" t="n">
        <v>800</v>
      </c>
      <c r="E451" s="0">
        <f>VLOOKUP(C451,'Item Tier Lookup'!$A:$B,2,FALSE)</f>
        <v/>
      </c>
      <c r="F451" s="0">
        <f>VLOOKUP(E451,'Tier Params'!$A:$B,2,FALSE)</f>
        <v/>
      </c>
      <c r="G451" s="0">
        <f>VLOOKUP(E451,'Tier Params'!$A:$C,3,FALSE)</f>
        <v/>
      </c>
      <c r="H451" s="0">
        <f>CEILING(D451/G451,1)</f>
        <v/>
      </c>
      <c r="I451" s="0">
        <f>H451*F451</f>
        <v/>
      </c>
    </row>
    <row r="452">
      <c r="A452" s="0" t="inlineStr">
        <is>
          <t>'Reference sheet'!N454</t>
        </is>
      </c>
      <c r="B452" s="0" t="inlineStr">
        <is>
          <t>Structure Storage Bay</t>
        </is>
      </c>
      <c r="C452" s="0" t="inlineStr">
        <is>
          <t>Autotrophs</t>
        </is>
      </c>
      <c r="D452" s="0" t="n">
        <v>120000</v>
      </c>
      <c r="E452" s="0">
        <f>VLOOKUP(C452,'Item Tier Lookup'!$A:$B,2,FALSE)</f>
        <v/>
      </c>
      <c r="F452" s="0">
        <f>VLOOKUP(E452,'Tier Params'!$A:$B,2,FALSE)</f>
        <v/>
      </c>
      <c r="G452" s="0">
        <f>VLOOKUP(E452,'Tier Params'!$A:$C,3,FALSE)</f>
        <v/>
      </c>
      <c r="H452" s="0">
        <f>CEILING(D452/G452,1)</f>
        <v/>
      </c>
      <c r="I452" s="0">
        <f>H452*F452</f>
        <v/>
      </c>
    </row>
    <row r="453">
      <c r="A453" s="0" t="inlineStr">
        <is>
          <t>'Reference sheet'!N455</t>
        </is>
      </c>
      <c r="B453" s="0" t="inlineStr">
        <is>
          <t>Structure Storage Bay</t>
        </is>
      </c>
      <c r="C453" s="0" t="inlineStr">
        <is>
          <t>Integrity Response Drones</t>
        </is>
      </c>
      <c r="D453" s="0" t="n">
        <v>3</v>
      </c>
      <c r="E453" s="0">
        <f>VLOOKUP(C453,'Item Tier Lookup'!$A:$B,2,FALSE)</f>
        <v/>
      </c>
      <c r="F453" s="0">
        <f>VLOOKUP(E453,'Tier Params'!$A:$B,2,FALSE)</f>
        <v/>
      </c>
      <c r="G453" s="0">
        <f>VLOOKUP(E453,'Tier Params'!$A:$C,3,FALSE)</f>
        <v/>
      </c>
      <c r="H453" s="0">
        <f>CEILING(D453/G453,1)</f>
        <v/>
      </c>
      <c r="I453" s="0">
        <f>H453*F453</f>
        <v/>
      </c>
    </row>
    <row r="454">
      <c r="A454" s="0" t="inlineStr">
        <is>
          <t>'Reference sheet'!N456</t>
        </is>
      </c>
      <c r="B454" s="0" t="inlineStr">
        <is>
          <t>Structure Storage Bay</t>
        </is>
      </c>
      <c r="C454" s="0" t="inlineStr">
        <is>
          <t>Gel-Matrix Biopaste</t>
        </is>
      </c>
      <c r="D454" s="0" t="n">
        <v>18</v>
      </c>
      <c r="E454" s="0">
        <f>VLOOKUP(C454,'Item Tier Lookup'!$A:$B,2,FALSE)</f>
        <v/>
      </c>
      <c r="F454" s="0">
        <f>VLOOKUP(E454,'Tier Params'!$A:$B,2,FALSE)</f>
        <v/>
      </c>
      <c r="G454" s="0">
        <f>VLOOKUP(E454,'Tier Params'!$A:$C,3,FALSE)</f>
        <v/>
      </c>
      <c r="H454" s="0">
        <f>CEILING(D454/G454,1)</f>
        <v/>
      </c>
      <c r="I454" s="0">
        <f>H454*F454</f>
        <v/>
      </c>
    </row>
    <row r="455">
      <c r="A455" s="0" t="inlineStr">
        <is>
          <t>'Reference sheet'!N457</t>
        </is>
      </c>
      <c r="B455" s="0" t="inlineStr">
        <is>
          <t>Structure Storage Bay</t>
        </is>
      </c>
      <c r="C455" s="0" t="inlineStr">
        <is>
          <t>Biocells</t>
        </is>
      </c>
      <c r="D455" s="0" t="n">
        <v>60</v>
      </c>
      <c r="E455" s="0">
        <f>VLOOKUP(C455,'Item Tier Lookup'!$A:$B,2,FALSE)</f>
        <v/>
      </c>
      <c r="F455" s="0">
        <f>VLOOKUP(E455,'Tier Params'!$A:$B,2,FALSE)</f>
        <v/>
      </c>
      <c r="G455" s="0">
        <f>VLOOKUP(E455,'Tier Params'!$A:$C,3,FALSE)</f>
        <v/>
      </c>
      <c r="H455" s="0">
        <f>CEILING(D455/G455,1)</f>
        <v/>
      </c>
      <c r="I455" s="0">
        <f>H455*F455</f>
        <v/>
      </c>
    </row>
    <row r="456">
      <c r="A456" s="0" t="inlineStr">
        <is>
          <t>'Reference sheet'!N458</t>
        </is>
      </c>
      <c r="B456" s="0" t="inlineStr">
        <is>
          <t>Structure Storage Bay</t>
        </is>
      </c>
      <c r="C456" s="0" t="inlineStr">
        <is>
          <t>Biofuels</t>
        </is>
      </c>
      <c r="D456" s="0" t="n">
        <v>480</v>
      </c>
      <c r="E456" s="0">
        <f>VLOOKUP(C456,'Item Tier Lookup'!$A:$B,2,FALSE)</f>
        <v/>
      </c>
      <c r="F456" s="0">
        <f>VLOOKUP(E456,'Tier Params'!$A:$B,2,FALSE)</f>
        <v/>
      </c>
      <c r="G456" s="0">
        <f>VLOOKUP(E456,'Tier Params'!$A:$C,3,FALSE)</f>
        <v/>
      </c>
      <c r="H456" s="0">
        <f>CEILING(D456/G456,1)</f>
        <v/>
      </c>
      <c r="I456" s="0">
        <f>H456*F456</f>
        <v/>
      </c>
    </row>
    <row r="457">
      <c r="A457" s="0" t="inlineStr">
        <is>
          <t>'Reference sheet'!N459</t>
        </is>
      </c>
      <c r="B457" s="0" t="inlineStr">
        <is>
          <t>Structure Storage Bay</t>
        </is>
      </c>
      <c r="C457" s="0" t="inlineStr">
        <is>
          <t>Carbon Compounds</t>
        </is>
      </c>
      <c r="D457" s="0" t="n">
        <v>72000</v>
      </c>
      <c r="E457" s="0">
        <f>VLOOKUP(C457,'Item Tier Lookup'!$A:$B,2,FALSE)</f>
        <v/>
      </c>
      <c r="F457" s="0">
        <f>VLOOKUP(E457,'Tier Params'!$A:$B,2,FALSE)</f>
        <v/>
      </c>
      <c r="G457" s="0">
        <f>VLOOKUP(E457,'Tier Params'!$A:$C,3,FALSE)</f>
        <v/>
      </c>
      <c r="H457" s="0">
        <f>CEILING(D457/G457,1)</f>
        <v/>
      </c>
      <c r="I457" s="0">
        <f>H457*F457</f>
        <v/>
      </c>
    </row>
    <row r="458">
      <c r="A458" s="0" t="inlineStr">
        <is>
          <t>'Reference sheet'!N460</t>
        </is>
      </c>
      <c r="B458" s="0" t="inlineStr">
        <is>
          <t>Structure Storage Bay</t>
        </is>
      </c>
      <c r="C458" s="0" t="inlineStr">
        <is>
          <t>Precious Metals</t>
        </is>
      </c>
      <c r="D458" s="0" t="n">
        <v>480</v>
      </c>
      <c r="E458" s="0">
        <f>VLOOKUP(C458,'Item Tier Lookup'!$A:$B,2,FALSE)</f>
        <v/>
      </c>
      <c r="F458" s="0">
        <f>VLOOKUP(E458,'Tier Params'!$A:$B,2,FALSE)</f>
        <v/>
      </c>
      <c r="G458" s="0">
        <f>VLOOKUP(E458,'Tier Params'!$A:$C,3,FALSE)</f>
        <v/>
      </c>
      <c r="H458" s="0">
        <f>CEILING(D458/G458,1)</f>
        <v/>
      </c>
      <c r="I458" s="0">
        <f>H458*F458</f>
        <v/>
      </c>
    </row>
    <row r="459">
      <c r="A459" s="0" t="inlineStr">
        <is>
          <t>'Reference sheet'!N461</t>
        </is>
      </c>
      <c r="B459" s="0" t="inlineStr">
        <is>
          <t>Structure Storage Bay</t>
        </is>
      </c>
      <c r="C459" s="0" t="inlineStr">
        <is>
          <t>Noble Metals</t>
        </is>
      </c>
      <c r="D459" s="0" t="n">
        <v>72000</v>
      </c>
      <c r="E459" s="0">
        <f>VLOOKUP(C459,'Item Tier Lookup'!$A:$B,2,FALSE)</f>
        <v/>
      </c>
      <c r="F459" s="0">
        <f>VLOOKUP(E459,'Tier Params'!$A:$B,2,FALSE)</f>
        <v/>
      </c>
      <c r="G459" s="0">
        <f>VLOOKUP(E459,'Tier Params'!$A:$C,3,FALSE)</f>
        <v/>
      </c>
      <c r="H459" s="0">
        <f>CEILING(D459/G459,1)</f>
        <v/>
      </c>
      <c r="I459" s="0">
        <f>H459*F459</f>
        <v/>
      </c>
    </row>
    <row r="460">
      <c r="A460" s="0" t="inlineStr">
        <is>
          <t>'Reference sheet'!N462</t>
        </is>
      </c>
      <c r="B460" s="0" t="inlineStr">
        <is>
          <t>Structure Storage Bay</t>
        </is>
      </c>
      <c r="C460" s="0" t="inlineStr">
        <is>
          <t>Oxides</t>
        </is>
      </c>
      <c r="D460" s="0" t="n">
        <v>60</v>
      </c>
      <c r="E460" s="0">
        <f>VLOOKUP(C460,'Item Tier Lookup'!$A:$B,2,FALSE)</f>
        <v/>
      </c>
      <c r="F460" s="0">
        <f>VLOOKUP(E460,'Tier Params'!$A:$B,2,FALSE)</f>
        <v/>
      </c>
      <c r="G460" s="0">
        <f>VLOOKUP(E460,'Tier Params'!$A:$C,3,FALSE)</f>
        <v/>
      </c>
      <c r="H460" s="0">
        <f>CEILING(D460/G460,1)</f>
        <v/>
      </c>
      <c r="I460" s="0">
        <f>H460*F460</f>
        <v/>
      </c>
    </row>
    <row r="461">
      <c r="A461" s="0" t="inlineStr">
        <is>
          <t>'Reference sheet'!N463</t>
        </is>
      </c>
      <c r="B461" s="0" t="inlineStr">
        <is>
          <t>Structure Storage Bay</t>
        </is>
      </c>
      <c r="C461" s="0" t="inlineStr">
        <is>
          <t>Oxidizing Compound</t>
        </is>
      </c>
      <c r="D461" s="0" t="n">
        <v>480</v>
      </c>
      <c r="E461" s="0">
        <f>VLOOKUP(C461,'Item Tier Lookup'!$A:$B,2,FALSE)</f>
        <v/>
      </c>
      <c r="F461" s="0">
        <f>VLOOKUP(E461,'Tier Params'!$A:$B,2,FALSE)</f>
        <v/>
      </c>
      <c r="G461" s="0">
        <f>VLOOKUP(E461,'Tier Params'!$A:$C,3,FALSE)</f>
        <v/>
      </c>
      <c r="H461" s="0">
        <f>CEILING(D461/G461,1)</f>
        <v/>
      </c>
      <c r="I461" s="0">
        <f>H461*F461</f>
        <v/>
      </c>
    </row>
    <row r="462">
      <c r="A462" s="0" t="inlineStr">
        <is>
          <t>'Reference sheet'!N464</t>
        </is>
      </c>
      <c r="B462" s="0" t="inlineStr">
        <is>
          <t>Structure Storage Bay</t>
        </is>
      </c>
      <c r="C462" s="0" t="inlineStr">
        <is>
          <t>Reactive Gas</t>
        </is>
      </c>
      <c r="D462" s="0" t="n">
        <v>72000</v>
      </c>
      <c r="E462" s="0">
        <f>VLOOKUP(C462,'Item Tier Lookup'!$A:$B,2,FALSE)</f>
        <v/>
      </c>
      <c r="F462" s="0">
        <f>VLOOKUP(E462,'Tier Params'!$A:$B,2,FALSE)</f>
        <v/>
      </c>
      <c r="G462" s="0">
        <f>VLOOKUP(E462,'Tier Params'!$A:$C,3,FALSE)</f>
        <v/>
      </c>
      <c r="H462" s="0">
        <f>CEILING(D462/G462,1)</f>
        <v/>
      </c>
      <c r="I462" s="0">
        <f>H462*F462</f>
        <v/>
      </c>
    </row>
    <row r="463">
      <c r="A463" s="0" t="inlineStr">
        <is>
          <t>'Reference sheet'!N465</t>
        </is>
      </c>
      <c r="B463" s="0" t="inlineStr">
        <is>
          <t>Structure Storage Bay</t>
        </is>
      </c>
      <c r="C463" s="0" t="inlineStr">
        <is>
          <t>Oxygen</t>
        </is>
      </c>
      <c r="D463" s="0" t="n">
        <v>480</v>
      </c>
      <c r="E463" s="0">
        <f>VLOOKUP(C463,'Item Tier Lookup'!$A:$B,2,FALSE)</f>
        <v/>
      </c>
      <c r="F463" s="0">
        <f>VLOOKUP(E463,'Tier Params'!$A:$B,2,FALSE)</f>
        <v/>
      </c>
      <c r="G463" s="0">
        <f>VLOOKUP(E463,'Tier Params'!$A:$C,3,FALSE)</f>
        <v/>
      </c>
      <c r="H463" s="0">
        <f>CEILING(D463/G463,1)</f>
        <v/>
      </c>
      <c r="I463" s="0">
        <f>H463*F463</f>
        <v/>
      </c>
    </row>
    <row r="464">
      <c r="A464" s="0" t="inlineStr">
        <is>
          <t>'Reference sheet'!N466</t>
        </is>
      </c>
      <c r="B464" s="0" t="inlineStr">
        <is>
          <t>Structure Storage Bay</t>
        </is>
      </c>
      <c r="C464" s="0" t="inlineStr">
        <is>
          <t>Noble Gas</t>
        </is>
      </c>
      <c r="D464" s="0" t="n">
        <v>72000</v>
      </c>
      <c r="E464" s="0">
        <f>VLOOKUP(C464,'Item Tier Lookup'!$A:$B,2,FALSE)</f>
        <v/>
      </c>
      <c r="F464" s="0">
        <f>VLOOKUP(E464,'Tier Params'!$A:$B,2,FALSE)</f>
        <v/>
      </c>
      <c r="G464" s="0">
        <f>VLOOKUP(E464,'Tier Params'!$A:$C,3,FALSE)</f>
        <v/>
      </c>
      <c r="H464" s="0">
        <f>CEILING(D464/G464,1)</f>
        <v/>
      </c>
      <c r="I464" s="0">
        <f>H464*F464</f>
        <v/>
      </c>
    </row>
    <row r="465">
      <c r="A465" s="0" t="inlineStr">
        <is>
          <t>'Reference sheet'!N467</t>
        </is>
      </c>
      <c r="B465" s="0" t="inlineStr">
        <is>
          <t>Structure Storage Bay</t>
        </is>
      </c>
      <c r="C465" s="0" t="inlineStr">
        <is>
          <t>Superconductors</t>
        </is>
      </c>
      <c r="D465" s="0" t="n">
        <v>60</v>
      </c>
      <c r="E465" s="0">
        <f>VLOOKUP(C465,'Item Tier Lookup'!$A:$B,2,FALSE)</f>
        <v/>
      </c>
      <c r="F465" s="0">
        <f>VLOOKUP(E465,'Tier Params'!$A:$B,2,FALSE)</f>
        <v/>
      </c>
      <c r="G465" s="0">
        <f>VLOOKUP(E465,'Tier Params'!$A:$C,3,FALSE)</f>
        <v/>
      </c>
      <c r="H465" s="0">
        <f>CEILING(D465/G465,1)</f>
        <v/>
      </c>
      <c r="I465" s="0">
        <f>H465*F465</f>
        <v/>
      </c>
    </row>
    <row r="466">
      <c r="A466" s="0" t="inlineStr">
        <is>
          <t>'Reference sheet'!N468</t>
        </is>
      </c>
      <c r="B466" s="0" t="inlineStr">
        <is>
          <t>Structure Storage Bay</t>
        </is>
      </c>
      <c r="C466" s="0" t="inlineStr">
        <is>
          <t>Plasmoids</t>
        </is>
      </c>
      <c r="D466" s="0" t="n">
        <v>480</v>
      </c>
      <c r="E466" s="0">
        <f>VLOOKUP(C466,'Item Tier Lookup'!$A:$B,2,FALSE)</f>
        <v/>
      </c>
      <c r="F466" s="0">
        <f>VLOOKUP(E466,'Tier Params'!$A:$B,2,FALSE)</f>
        <v/>
      </c>
      <c r="G466" s="0">
        <f>VLOOKUP(E466,'Tier Params'!$A:$C,3,FALSE)</f>
        <v/>
      </c>
      <c r="H466" s="0">
        <f>CEILING(D466/G466,1)</f>
        <v/>
      </c>
      <c r="I466" s="0">
        <f>H466*F466</f>
        <v/>
      </c>
    </row>
    <row r="467">
      <c r="A467" s="0" t="inlineStr">
        <is>
          <t>'Reference sheet'!N469</t>
        </is>
      </c>
      <c r="B467" s="0" t="inlineStr">
        <is>
          <t>Structure Storage Bay</t>
        </is>
      </c>
      <c r="C467" s="0" t="inlineStr">
        <is>
          <t>Suspended Plasma</t>
        </is>
      </c>
      <c r="D467" s="0" t="n">
        <v>72000</v>
      </c>
      <c r="E467" s="0">
        <f>VLOOKUP(C467,'Item Tier Lookup'!$A:$B,2,FALSE)</f>
        <v/>
      </c>
      <c r="F467" s="0">
        <f>VLOOKUP(E467,'Tier Params'!$A:$B,2,FALSE)</f>
        <v/>
      </c>
      <c r="G467" s="0">
        <f>VLOOKUP(E467,'Tier Params'!$A:$C,3,FALSE)</f>
        <v/>
      </c>
      <c r="H467" s="0">
        <f>CEILING(D467/G467,1)</f>
        <v/>
      </c>
      <c r="I467" s="0">
        <f>H467*F467</f>
        <v/>
      </c>
    </row>
    <row r="468">
      <c r="A468" s="0" t="inlineStr">
        <is>
          <t>'Reference sheet'!N470</t>
        </is>
      </c>
      <c r="B468" s="0" t="inlineStr">
        <is>
          <t>Structure Storage Bay</t>
        </is>
      </c>
      <c r="C468" s="0" t="inlineStr">
        <is>
          <t>Water</t>
        </is>
      </c>
      <c r="D468" s="0" t="n">
        <v>480</v>
      </c>
      <c r="E468" s="0">
        <f>VLOOKUP(C468,'Item Tier Lookup'!$A:$B,2,FALSE)</f>
        <v/>
      </c>
      <c r="F468" s="0">
        <f>VLOOKUP(E468,'Tier Params'!$A:$B,2,FALSE)</f>
        <v/>
      </c>
      <c r="G468" s="0">
        <f>VLOOKUP(E468,'Tier Params'!$A:$C,3,FALSE)</f>
        <v/>
      </c>
      <c r="H468" s="0">
        <f>CEILING(D468/G468,1)</f>
        <v/>
      </c>
      <c r="I468" s="0">
        <f>H468*F468</f>
        <v/>
      </c>
    </row>
    <row r="469">
      <c r="A469" s="0" t="inlineStr">
        <is>
          <t>'Reference sheet'!N471</t>
        </is>
      </c>
      <c r="B469" s="0" t="inlineStr">
        <is>
          <t>Structure Storage Bay</t>
        </is>
      </c>
      <c r="C469" s="0" t="inlineStr">
        <is>
          <t>Aqueous Liquids</t>
        </is>
      </c>
      <c r="D469" s="0" t="n">
        <v>72000</v>
      </c>
      <c r="E469" s="0">
        <f>VLOOKUP(C469,'Item Tier Lookup'!$A:$B,2,FALSE)</f>
        <v/>
      </c>
      <c r="F469" s="0">
        <f>VLOOKUP(E469,'Tier Params'!$A:$B,2,FALSE)</f>
        <v/>
      </c>
      <c r="G469" s="0">
        <f>VLOOKUP(E469,'Tier Params'!$A:$C,3,FALSE)</f>
        <v/>
      </c>
      <c r="H469" s="0">
        <f>CEILING(D469/G469,1)</f>
        <v/>
      </c>
      <c r="I469" s="0">
        <f>H469*F469</f>
        <v/>
      </c>
    </row>
    <row r="470">
      <c r="A470" s="0" t="inlineStr">
        <is>
          <t>'Reference sheet'!N472</t>
        </is>
      </c>
      <c r="B470" s="0" t="inlineStr">
        <is>
          <t>Structure Storage Bay</t>
        </is>
      </c>
      <c r="C470" s="0" t="inlineStr">
        <is>
          <t>Hazmat Detection Systems</t>
        </is>
      </c>
      <c r="D470" s="0" t="n">
        <v>18</v>
      </c>
      <c r="E470" s="0">
        <f>VLOOKUP(C470,'Item Tier Lookup'!$A:$B,2,FALSE)</f>
        <v/>
      </c>
      <c r="F470" s="0">
        <f>VLOOKUP(E470,'Tier Params'!$A:$B,2,FALSE)</f>
        <v/>
      </c>
      <c r="G470" s="0">
        <f>VLOOKUP(E470,'Tier Params'!$A:$C,3,FALSE)</f>
        <v/>
      </c>
      <c r="H470" s="0">
        <f>CEILING(D470/G470,1)</f>
        <v/>
      </c>
      <c r="I470" s="0">
        <f>H470*F470</f>
        <v/>
      </c>
    </row>
    <row r="471">
      <c r="A471" s="0" t="inlineStr">
        <is>
          <t>'Reference sheet'!N473</t>
        </is>
      </c>
      <c r="B471" s="0" t="inlineStr">
        <is>
          <t>Structure Storage Bay</t>
        </is>
      </c>
      <c r="C471" s="0" t="inlineStr">
        <is>
          <t>Transmitter</t>
        </is>
      </c>
      <c r="D471" s="0" t="n">
        <v>60</v>
      </c>
      <c r="E471" s="0">
        <f>VLOOKUP(C471,'Item Tier Lookup'!$A:$B,2,FALSE)</f>
        <v/>
      </c>
      <c r="F471" s="0">
        <f>VLOOKUP(E471,'Tier Params'!$A:$B,2,FALSE)</f>
        <v/>
      </c>
      <c r="G471" s="0">
        <f>VLOOKUP(E471,'Tier Params'!$A:$C,3,FALSE)</f>
        <v/>
      </c>
      <c r="H471" s="0">
        <f>CEILING(D471/G471,1)</f>
        <v/>
      </c>
      <c r="I471" s="0">
        <f>H471*F471</f>
        <v/>
      </c>
    </row>
    <row r="472">
      <c r="A472" s="0" t="inlineStr">
        <is>
          <t>'Reference sheet'!N474</t>
        </is>
      </c>
      <c r="B472" s="0" t="inlineStr">
        <is>
          <t>Structure Storage Bay</t>
        </is>
      </c>
      <c r="C472" s="0" t="inlineStr">
        <is>
          <t>Chiral Structures</t>
        </is>
      </c>
      <c r="D472" s="0" t="n">
        <v>480</v>
      </c>
      <c r="E472" s="0">
        <f>VLOOKUP(C472,'Item Tier Lookup'!$A:$B,2,FALSE)</f>
        <v/>
      </c>
      <c r="F472" s="0">
        <f>VLOOKUP(E472,'Tier Params'!$A:$B,2,FALSE)</f>
        <v/>
      </c>
      <c r="G472" s="0">
        <f>VLOOKUP(E472,'Tier Params'!$A:$C,3,FALSE)</f>
        <v/>
      </c>
      <c r="H472" s="0">
        <f>CEILING(D472/G472,1)</f>
        <v/>
      </c>
      <c r="I472" s="0">
        <f>H472*F472</f>
        <v/>
      </c>
    </row>
    <row r="473">
      <c r="A473" s="0" t="inlineStr">
        <is>
          <t>'Reference sheet'!N475</t>
        </is>
      </c>
      <c r="B473" s="0" t="inlineStr">
        <is>
          <t>Structure Storage Bay</t>
        </is>
      </c>
      <c r="C473" s="0" t="inlineStr">
        <is>
          <t>Non-CS Crystals</t>
        </is>
      </c>
      <c r="D473" s="0" t="n">
        <v>72000</v>
      </c>
      <c r="E473" s="0">
        <f>VLOOKUP(C473,'Item Tier Lookup'!$A:$B,2,FALSE)</f>
        <v/>
      </c>
      <c r="F473" s="0">
        <f>VLOOKUP(E473,'Tier Params'!$A:$B,2,FALSE)</f>
        <v/>
      </c>
      <c r="G473" s="0">
        <f>VLOOKUP(E473,'Tier Params'!$A:$C,3,FALSE)</f>
        <v/>
      </c>
      <c r="H473" s="0">
        <f>CEILING(D473/G473,1)</f>
        <v/>
      </c>
      <c r="I473" s="0">
        <f>H473*F473</f>
        <v/>
      </c>
    </row>
    <row r="474">
      <c r="A474" s="0" t="inlineStr">
        <is>
          <t>'Reference sheet'!N476</t>
        </is>
      </c>
      <c r="B474" s="0" t="inlineStr">
        <is>
          <t>Structure Storage Bay</t>
        </is>
      </c>
      <c r="C474" s="0" t="inlineStr">
        <is>
          <t>Plasmoids</t>
        </is>
      </c>
      <c r="D474" s="0" t="n">
        <v>480</v>
      </c>
      <c r="E474" s="0">
        <f>VLOOKUP(C474,'Item Tier Lookup'!$A:$B,2,FALSE)</f>
        <v/>
      </c>
      <c r="F474" s="0">
        <f>VLOOKUP(E474,'Tier Params'!$A:$B,2,FALSE)</f>
        <v/>
      </c>
      <c r="G474" s="0">
        <f>VLOOKUP(E474,'Tier Params'!$A:$C,3,FALSE)</f>
        <v/>
      </c>
      <c r="H474" s="0">
        <f>CEILING(D474/G474,1)</f>
        <v/>
      </c>
      <c r="I474" s="0">
        <f>H474*F474</f>
        <v/>
      </c>
    </row>
    <row r="475">
      <c r="A475" s="0" t="inlineStr">
        <is>
          <t>'Reference sheet'!N477</t>
        </is>
      </c>
      <c r="B475" s="0" t="inlineStr">
        <is>
          <t>Structure Storage Bay</t>
        </is>
      </c>
      <c r="C475" s="0" t="inlineStr">
        <is>
          <t>Suspended Plasma</t>
        </is>
      </c>
      <c r="D475" s="0" t="n">
        <v>72000</v>
      </c>
      <c r="E475" s="0">
        <f>VLOOKUP(C475,'Item Tier Lookup'!$A:$B,2,FALSE)</f>
        <v/>
      </c>
      <c r="F475" s="0">
        <f>VLOOKUP(E475,'Tier Params'!$A:$B,2,FALSE)</f>
        <v/>
      </c>
      <c r="G475" s="0">
        <f>VLOOKUP(E475,'Tier Params'!$A:$C,3,FALSE)</f>
        <v/>
      </c>
      <c r="H475" s="0">
        <f>CEILING(D475/G475,1)</f>
        <v/>
      </c>
      <c r="I475" s="0">
        <f>H475*F475</f>
        <v/>
      </c>
    </row>
    <row r="476">
      <c r="A476" s="0" t="inlineStr">
        <is>
          <t>'Reference sheet'!N478</t>
        </is>
      </c>
      <c r="B476" s="0" t="inlineStr">
        <is>
          <t>Structure Storage Bay</t>
        </is>
      </c>
      <c r="C476" s="0" t="inlineStr">
        <is>
          <t>Polytextiles</t>
        </is>
      </c>
      <c r="D476" s="0" t="n">
        <v>60</v>
      </c>
      <c r="E476" s="0">
        <f>VLOOKUP(C476,'Item Tier Lookup'!$A:$B,2,FALSE)</f>
        <v/>
      </c>
      <c r="F476" s="0">
        <f>VLOOKUP(E476,'Tier Params'!$A:$B,2,FALSE)</f>
        <v/>
      </c>
      <c r="G476" s="0">
        <f>VLOOKUP(E476,'Tier Params'!$A:$C,3,FALSE)</f>
        <v/>
      </c>
      <c r="H476" s="0">
        <f>CEILING(D476/G476,1)</f>
        <v/>
      </c>
      <c r="I476" s="0">
        <f>H476*F476</f>
        <v/>
      </c>
    </row>
    <row r="477">
      <c r="A477" s="0" t="inlineStr">
        <is>
          <t>'Reference sheet'!N479</t>
        </is>
      </c>
      <c r="B477" s="0" t="inlineStr">
        <is>
          <t>Structure Storage Bay</t>
        </is>
      </c>
      <c r="C477" s="0" t="inlineStr">
        <is>
          <t>Biofuels</t>
        </is>
      </c>
      <c r="D477" s="0" t="n">
        <v>480</v>
      </c>
      <c r="E477" s="0">
        <f>VLOOKUP(C477,'Item Tier Lookup'!$A:$B,2,FALSE)</f>
        <v/>
      </c>
      <c r="F477" s="0">
        <f>VLOOKUP(E477,'Tier Params'!$A:$B,2,FALSE)</f>
        <v/>
      </c>
      <c r="G477" s="0">
        <f>VLOOKUP(E477,'Tier Params'!$A:$C,3,FALSE)</f>
        <v/>
      </c>
      <c r="H477" s="0">
        <f>CEILING(D477/G477,1)</f>
        <v/>
      </c>
      <c r="I477" s="0">
        <f>H477*F477</f>
        <v/>
      </c>
    </row>
    <row r="478">
      <c r="A478" s="0" t="inlineStr">
        <is>
          <t>'Reference sheet'!N480</t>
        </is>
      </c>
      <c r="B478" s="0" t="inlineStr">
        <is>
          <t>Structure Storage Bay</t>
        </is>
      </c>
      <c r="C478" s="0" t="inlineStr">
        <is>
          <t>Carbon Compounds</t>
        </is>
      </c>
      <c r="D478" s="0" t="n">
        <v>72000</v>
      </c>
      <c r="E478" s="0">
        <f>VLOOKUP(C478,'Item Tier Lookup'!$A:$B,2,FALSE)</f>
        <v/>
      </c>
      <c r="F478" s="0">
        <f>VLOOKUP(E478,'Tier Params'!$A:$B,2,FALSE)</f>
        <v/>
      </c>
      <c r="G478" s="0">
        <f>VLOOKUP(E478,'Tier Params'!$A:$C,3,FALSE)</f>
        <v/>
      </c>
      <c r="H478" s="0">
        <f>CEILING(D478/G478,1)</f>
        <v/>
      </c>
      <c r="I478" s="0">
        <f>H478*F478</f>
        <v/>
      </c>
    </row>
    <row r="479">
      <c r="A479" s="0" t="inlineStr">
        <is>
          <t>'Reference sheet'!N481</t>
        </is>
      </c>
      <c r="B479" s="0" t="inlineStr">
        <is>
          <t>Structure Storage Bay</t>
        </is>
      </c>
      <c r="C479" s="0" t="inlineStr">
        <is>
          <t>Industrial Fibers</t>
        </is>
      </c>
      <c r="D479" s="0" t="n">
        <v>480</v>
      </c>
      <c r="E479" s="0">
        <f>VLOOKUP(C479,'Item Tier Lookup'!$A:$B,2,FALSE)</f>
        <v/>
      </c>
      <c r="F479" s="0">
        <f>VLOOKUP(E479,'Tier Params'!$A:$B,2,FALSE)</f>
        <v/>
      </c>
      <c r="G479" s="0">
        <f>VLOOKUP(E479,'Tier Params'!$A:$C,3,FALSE)</f>
        <v/>
      </c>
      <c r="H479" s="0">
        <f>CEILING(D479/G479,1)</f>
        <v/>
      </c>
      <c r="I479" s="0">
        <f>H479*F479</f>
        <v/>
      </c>
    </row>
    <row r="480">
      <c r="A480" s="0" t="inlineStr">
        <is>
          <t>'Reference sheet'!N482</t>
        </is>
      </c>
      <c r="B480" s="0" t="inlineStr">
        <is>
          <t>Structure Storage Bay</t>
        </is>
      </c>
      <c r="C480" s="0" t="inlineStr">
        <is>
          <t>Autotrophs</t>
        </is>
      </c>
      <c r="D480" s="0" t="n">
        <v>72000</v>
      </c>
      <c r="E480" s="0">
        <f>VLOOKUP(C480,'Item Tier Lookup'!$A:$B,2,FALSE)</f>
        <v/>
      </c>
      <c r="F480" s="0">
        <f>VLOOKUP(E480,'Tier Params'!$A:$B,2,FALSE)</f>
        <v/>
      </c>
      <c r="G480" s="0">
        <f>VLOOKUP(E480,'Tier Params'!$A:$C,3,FALSE)</f>
        <v/>
      </c>
      <c r="H480" s="0">
        <f>CEILING(D480/G480,1)</f>
        <v/>
      </c>
      <c r="I480" s="0">
        <f>H480*F480</f>
        <v/>
      </c>
    </row>
    <row r="481">
      <c r="A481" s="0" t="inlineStr">
        <is>
          <t>'Reference sheet'!N483</t>
        </is>
      </c>
      <c r="B481" s="0" t="inlineStr">
        <is>
          <t>Structure Storage Bay</t>
        </is>
      </c>
      <c r="C481" s="0" t="inlineStr">
        <is>
          <t>Viral Agent</t>
        </is>
      </c>
      <c r="D481" s="0" t="n">
        <v>60</v>
      </c>
      <c r="E481" s="0">
        <f>VLOOKUP(C481,'Item Tier Lookup'!$A:$B,2,FALSE)</f>
        <v/>
      </c>
      <c r="F481" s="0">
        <f>VLOOKUP(E481,'Tier Params'!$A:$B,2,FALSE)</f>
        <v/>
      </c>
      <c r="G481" s="0">
        <f>VLOOKUP(E481,'Tier Params'!$A:$C,3,FALSE)</f>
        <v/>
      </c>
      <c r="H481" s="0">
        <f>CEILING(D481/G481,1)</f>
        <v/>
      </c>
      <c r="I481" s="0">
        <f>H481*F481</f>
        <v/>
      </c>
    </row>
    <row r="482">
      <c r="A482" s="0" t="inlineStr">
        <is>
          <t>'Reference sheet'!N484</t>
        </is>
      </c>
      <c r="B482" s="0" t="inlineStr">
        <is>
          <t>Structure Storage Bay</t>
        </is>
      </c>
      <c r="C482" s="0" t="inlineStr">
        <is>
          <t>Bacteria</t>
        </is>
      </c>
      <c r="D482" s="0" t="n">
        <v>480</v>
      </c>
      <c r="E482" s="0">
        <f>VLOOKUP(C482,'Item Tier Lookup'!$A:$B,2,FALSE)</f>
        <v/>
      </c>
      <c r="F482" s="0">
        <f>VLOOKUP(E482,'Tier Params'!$A:$B,2,FALSE)</f>
        <v/>
      </c>
      <c r="G482" s="0">
        <f>VLOOKUP(E482,'Tier Params'!$A:$C,3,FALSE)</f>
        <v/>
      </c>
      <c r="H482" s="0">
        <f>CEILING(D482/G482,1)</f>
        <v/>
      </c>
      <c r="I482" s="0">
        <f>H482*F482</f>
        <v/>
      </c>
    </row>
    <row r="483">
      <c r="A483" s="0" t="inlineStr">
        <is>
          <t>'Reference sheet'!N485</t>
        </is>
      </c>
      <c r="B483" s="0" t="inlineStr">
        <is>
          <t>Structure Storage Bay</t>
        </is>
      </c>
      <c r="C483" s="0" t="inlineStr">
        <is>
          <t>Microorganisms</t>
        </is>
      </c>
      <c r="D483" s="0" t="n">
        <v>72000</v>
      </c>
      <c r="E483" s="0">
        <f>VLOOKUP(C483,'Item Tier Lookup'!$A:$B,2,FALSE)</f>
        <v/>
      </c>
      <c r="F483" s="0">
        <f>VLOOKUP(E483,'Tier Params'!$A:$B,2,FALSE)</f>
        <v/>
      </c>
      <c r="G483" s="0">
        <f>VLOOKUP(E483,'Tier Params'!$A:$C,3,FALSE)</f>
        <v/>
      </c>
      <c r="H483" s="0">
        <f>CEILING(D483/G483,1)</f>
        <v/>
      </c>
      <c r="I483" s="0">
        <f>H483*F483</f>
        <v/>
      </c>
    </row>
    <row r="484">
      <c r="A484" s="0" t="inlineStr">
        <is>
          <t>'Reference sheet'!N486</t>
        </is>
      </c>
      <c r="B484" s="0" t="inlineStr">
        <is>
          <t>Structure Storage Bay</t>
        </is>
      </c>
      <c r="C484" s="0" t="inlineStr">
        <is>
          <t>Biomass</t>
        </is>
      </c>
      <c r="D484" s="0" t="n">
        <v>480</v>
      </c>
      <c r="E484" s="0">
        <f>VLOOKUP(C484,'Item Tier Lookup'!$A:$B,2,FALSE)</f>
        <v/>
      </c>
      <c r="F484" s="0">
        <f>VLOOKUP(E484,'Tier Params'!$A:$B,2,FALSE)</f>
        <v/>
      </c>
      <c r="G484" s="0">
        <f>VLOOKUP(E484,'Tier Params'!$A:$C,3,FALSE)</f>
        <v/>
      </c>
      <c r="H484" s="0">
        <f>CEILING(D484/G484,1)</f>
        <v/>
      </c>
      <c r="I484" s="0">
        <f>H484*F484</f>
        <v/>
      </c>
    </row>
    <row r="485">
      <c r="A485" s="0" t="inlineStr">
        <is>
          <t>'Reference sheet'!N487</t>
        </is>
      </c>
      <c r="B485" s="0" t="inlineStr">
        <is>
          <t>Structure Storage Bay</t>
        </is>
      </c>
      <c r="C485" s="0" t="inlineStr">
        <is>
          <t>Planktic Colonies</t>
        </is>
      </c>
      <c r="D485" s="0" t="n">
        <v>72000</v>
      </c>
      <c r="E485" s="0">
        <f>VLOOKUP(C485,'Item Tier Lookup'!$A:$B,2,FALSE)</f>
        <v/>
      </c>
      <c r="F485" s="0">
        <f>VLOOKUP(E485,'Tier Params'!$A:$B,2,FALSE)</f>
        <v/>
      </c>
      <c r="G485" s="0">
        <f>VLOOKUP(E485,'Tier Params'!$A:$C,3,FALSE)</f>
        <v/>
      </c>
      <c r="H485" s="0">
        <f>CEILING(D485/G485,1)</f>
        <v/>
      </c>
      <c r="I485" s="0">
        <f>H485*F485</f>
        <v/>
      </c>
    </row>
    <row r="486">
      <c r="A486" s="0" t="inlineStr">
        <is>
          <t>'Reference sheet'!N488</t>
        </is>
      </c>
      <c r="B486" s="0" t="inlineStr">
        <is>
          <t>Structure Storage Bay</t>
        </is>
      </c>
      <c r="C486" s="0" t="inlineStr">
        <is>
          <t>Planetary Vehicles</t>
        </is>
      </c>
      <c r="D486" s="0" t="n">
        <v>18</v>
      </c>
      <c r="E486" s="0">
        <f>VLOOKUP(C486,'Item Tier Lookup'!$A:$B,2,FALSE)</f>
        <v/>
      </c>
      <c r="F486" s="0">
        <f>VLOOKUP(E486,'Tier Params'!$A:$B,2,FALSE)</f>
        <v/>
      </c>
      <c r="G486" s="0">
        <f>VLOOKUP(E486,'Tier Params'!$A:$C,3,FALSE)</f>
        <v/>
      </c>
      <c r="H486" s="0">
        <f>CEILING(D486/G486,1)</f>
        <v/>
      </c>
      <c r="I486" s="0">
        <f>H486*F486</f>
        <v/>
      </c>
    </row>
    <row r="487">
      <c r="A487" s="0" t="inlineStr">
        <is>
          <t>'Reference sheet'!N489</t>
        </is>
      </c>
      <c r="B487" s="0" t="inlineStr">
        <is>
          <t>Structure Storage Bay</t>
        </is>
      </c>
      <c r="C487" s="0" t="inlineStr">
        <is>
          <t>Supertensile Plastics</t>
        </is>
      </c>
      <c r="D487" s="0" t="n">
        <v>60</v>
      </c>
      <c r="E487" s="0">
        <f>VLOOKUP(C487,'Item Tier Lookup'!$A:$B,2,FALSE)</f>
        <v/>
      </c>
      <c r="F487" s="0">
        <f>VLOOKUP(E487,'Tier Params'!$A:$B,2,FALSE)</f>
        <v/>
      </c>
      <c r="G487" s="0">
        <f>VLOOKUP(E487,'Tier Params'!$A:$C,3,FALSE)</f>
        <v/>
      </c>
      <c r="H487" s="0">
        <f>CEILING(D487/G487,1)</f>
        <v/>
      </c>
      <c r="I487" s="0">
        <f>H487*F487</f>
        <v/>
      </c>
    </row>
    <row r="488">
      <c r="A488" s="0" t="inlineStr">
        <is>
          <t>'Reference sheet'!N490</t>
        </is>
      </c>
      <c r="B488" s="0" t="inlineStr">
        <is>
          <t>Structure Storage Bay</t>
        </is>
      </c>
      <c r="C488" s="0" t="inlineStr">
        <is>
          <t>Oxygen</t>
        </is>
      </c>
      <c r="D488" s="0" t="n">
        <v>480</v>
      </c>
      <c r="E488" s="0">
        <f>VLOOKUP(C488,'Item Tier Lookup'!$A:$B,2,FALSE)</f>
        <v/>
      </c>
      <c r="F488" s="0">
        <f>VLOOKUP(E488,'Tier Params'!$A:$B,2,FALSE)</f>
        <v/>
      </c>
      <c r="G488" s="0">
        <f>VLOOKUP(E488,'Tier Params'!$A:$C,3,FALSE)</f>
        <v/>
      </c>
      <c r="H488" s="0">
        <f>CEILING(D488/G488,1)</f>
        <v/>
      </c>
      <c r="I488" s="0">
        <f>H488*F488</f>
        <v/>
      </c>
    </row>
    <row r="489">
      <c r="A489" s="0" t="inlineStr">
        <is>
          <t>'Reference sheet'!N491</t>
        </is>
      </c>
      <c r="B489" s="0" t="inlineStr">
        <is>
          <t>Structure Storage Bay</t>
        </is>
      </c>
      <c r="C489" s="0" t="inlineStr">
        <is>
          <t>Noble Gas</t>
        </is>
      </c>
      <c r="D489" s="0" t="n">
        <v>72000</v>
      </c>
      <c r="E489" s="0">
        <f>VLOOKUP(C489,'Item Tier Lookup'!$A:$B,2,FALSE)</f>
        <v/>
      </c>
      <c r="F489" s="0">
        <f>VLOOKUP(E489,'Tier Params'!$A:$B,2,FALSE)</f>
        <v/>
      </c>
      <c r="G489" s="0">
        <f>VLOOKUP(E489,'Tier Params'!$A:$C,3,FALSE)</f>
        <v/>
      </c>
      <c r="H489" s="0">
        <f>CEILING(D489/G489,1)</f>
        <v/>
      </c>
      <c r="I489" s="0">
        <f>H489*F489</f>
        <v/>
      </c>
    </row>
    <row r="490">
      <c r="A490" s="0" t="inlineStr">
        <is>
          <t>'Reference sheet'!N492</t>
        </is>
      </c>
      <c r="B490" s="0" t="inlineStr">
        <is>
          <t>Structure Storage Bay</t>
        </is>
      </c>
      <c r="C490" s="0" t="inlineStr">
        <is>
          <t>Biomass</t>
        </is>
      </c>
      <c r="D490" s="0" t="n">
        <v>480</v>
      </c>
      <c r="E490" s="0">
        <f>VLOOKUP(C490,'Item Tier Lookup'!$A:$B,2,FALSE)</f>
        <v/>
      </c>
      <c r="F490" s="0">
        <f>VLOOKUP(E490,'Tier Params'!$A:$B,2,FALSE)</f>
        <v/>
      </c>
      <c r="G490" s="0">
        <f>VLOOKUP(E490,'Tier Params'!$A:$C,3,FALSE)</f>
        <v/>
      </c>
      <c r="H490" s="0">
        <f>CEILING(D490/G490,1)</f>
        <v/>
      </c>
      <c r="I490" s="0">
        <f>H490*F490</f>
        <v/>
      </c>
    </row>
    <row r="491">
      <c r="A491" s="0" t="inlineStr">
        <is>
          <t>'Reference sheet'!N493</t>
        </is>
      </c>
      <c r="B491" s="0" t="inlineStr">
        <is>
          <t>Structure Storage Bay</t>
        </is>
      </c>
      <c r="C491" s="0" t="inlineStr">
        <is>
          <t>Planktic Colonies</t>
        </is>
      </c>
      <c r="D491" s="0" t="n">
        <v>72000</v>
      </c>
      <c r="E491" s="0">
        <f>VLOOKUP(C491,'Item Tier Lookup'!$A:$B,2,FALSE)</f>
        <v/>
      </c>
      <c r="F491" s="0">
        <f>VLOOKUP(E491,'Tier Params'!$A:$B,2,FALSE)</f>
        <v/>
      </c>
      <c r="G491" s="0">
        <f>VLOOKUP(E491,'Tier Params'!$A:$C,3,FALSE)</f>
        <v/>
      </c>
      <c r="H491" s="0">
        <f>CEILING(D491/G491,1)</f>
        <v/>
      </c>
      <c r="I491" s="0">
        <f>H491*F491</f>
        <v/>
      </c>
    </row>
    <row r="492">
      <c r="A492" s="0" t="inlineStr">
        <is>
          <t>'Reference sheet'!N494</t>
        </is>
      </c>
      <c r="B492" s="0" t="inlineStr">
        <is>
          <t>Structure Storage Bay</t>
        </is>
      </c>
      <c r="C492" s="0" t="inlineStr">
        <is>
          <t>Mechanical Parts</t>
        </is>
      </c>
      <c r="D492" s="0" t="n">
        <v>60</v>
      </c>
      <c r="E492" s="0">
        <f>VLOOKUP(C492,'Item Tier Lookup'!$A:$B,2,FALSE)</f>
        <v/>
      </c>
      <c r="F492" s="0">
        <f>VLOOKUP(E492,'Tier Params'!$A:$B,2,FALSE)</f>
        <v/>
      </c>
      <c r="G492" s="0">
        <f>VLOOKUP(E492,'Tier Params'!$A:$C,3,FALSE)</f>
        <v/>
      </c>
      <c r="H492" s="0">
        <f>CEILING(D492/G492,1)</f>
        <v/>
      </c>
      <c r="I492" s="0">
        <f>H492*F492</f>
        <v/>
      </c>
    </row>
    <row r="493">
      <c r="A493" s="0" t="inlineStr">
        <is>
          <t>'Reference sheet'!N495</t>
        </is>
      </c>
      <c r="B493" s="0" t="inlineStr">
        <is>
          <t>Structure Storage Bay</t>
        </is>
      </c>
      <c r="C493" s="0" t="inlineStr">
        <is>
          <t>Reactive Metals</t>
        </is>
      </c>
      <c r="D493" s="0" t="n">
        <v>480</v>
      </c>
      <c r="E493" s="0">
        <f>VLOOKUP(C493,'Item Tier Lookup'!$A:$B,2,FALSE)</f>
        <v/>
      </c>
      <c r="F493" s="0">
        <f>VLOOKUP(E493,'Tier Params'!$A:$B,2,FALSE)</f>
        <v/>
      </c>
      <c r="G493" s="0">
        <f>VLOOKUP(E493,'Tier Params'!$A:$C,3,FALSE)</f>
        <v/>
      </c>
      <c r="H493" s="0">
        <f>CEILING(D493/G493,1)</f>
        <v/>
      </c>
      <c r="I493" s="0">
        <f>H493*F493</f>
        <v/>
      </c>
    </row>
    <row r="494">
      <c r="A494" s="0" t="inlineStr">
        <is>
          <t>'Reference sheet'!N496</t>
        </is>
      </c>
      <c r="B494" s="0" t="inlineStr">
        <is>
          <t>Structure Storage Bay</t>
        </is>
      </c>
      <c r="C494" s="0" t="inlineStr">
        <is>
          <t>Base Metals</t>
        </is>
      </c>
      <c r="D494" s="0" t="n">
        <v>72000</v>
      </c>
      <c r="E494" s="0">
        <f>VLOOKUP(C494,'Item Tier Lookup'!$A:$B,2,FALSE)</f>
        <v/>
      </c>
      <c r="F494" s="0">
        <f>VLOOKUP(E494,'Tier Params'!$A:$B,2,FALSE)</f>
        <v/>
      </c>
      <c r="G494" s="0">
        <f>VLOOKUP(E494,'Tier Params'!$A:$C,3,FALSE)</f>
        <v/>
      </c>
      <c r="H494" s="0">
        <f>CEILING(D494/G494,1)</f>
        <v/>
      </c>
      <c r="I494" s="0">
        <f>H494*F494</f>
        <v/>
      </c>
    </row>
    <row r="495">
      <c r="A495" s="0" t="inlineStr">
        <is>
          <t>'Reference sheet'!N497</t>
        </is>
      </c>
      <c r="B495" s="0" t="inlineStr">
        <is>
          <t>Structure Storage Bay</t>
        </is>
      </c>
      <c r="C495" s="0" t="inlineStr">
        <is>
          <t>Precious Metals</t>
        </is>
      </c>
      <c r="D495" s="0" t="n">
        <v>480</v>
      </c>
      <c r="E495" s="0">
        <f>VLOOKUP(C495,'Item Tier Lookup'!$A:$B,2,FALSE)</f>
        <v/>
      </c>
      <c r="F495" s="0">
        <f>VLOOKUP(E495,'Tier Params'!$A:$B,2,FALSE)</f>
        <v/>
      </c>
      <c r="G495" s="0">
        <f>VLOOKUP(E495,'Tier Params'!$A:$C,3,FALSE)</f>
        <v/>
      </c>
      <c r="H495" s="0">
        <f>CEILING(D495/G495,1)</f>
        <v/>
      </c>
      <c r="I495" s="0">
        <f>H495*F495</f>
        <v/>
      </c>
    </row>
    <row r="496">
      <c r="A496" s="0" t="inlineStr">
        <is>
          <t>'Reference sheet'!N498</t>
        </is>
      </c>
      <c r="B496" s="0" t="inlineStr">
        <is>
          <t>Structure Storage Bay</t>
        </is>
      </c>
      <c r="C496" s="0" t="inlineStr">
        <is>
          <t>Noble Metals</t>
        </is>
      </c>
      <c r="D496" s="0" t="n">
        <v>72000</v>
      </c>
      <c r="E496" s="0">
        <f>VLOOKUP(C496,'Item Tier Lookup'!$A:$B,2,FALSE)</f>
        <v/>
      </c>
      <c r="F496" s="0">
        <f>VLOOKUP(E496,'Tier Params'!$A:$B,2,FALSE)</f>
        <v/>
      </c>
      <c r="G496" s="0">
        <f>VLOOKUP(E496,'Tier Params'!$A:$C,3,FALSE)</f>
        <v/>
      </c>
      <c r="H496" s="0">
        <f>CEILING(D496/G496,1)</f>
        <v/>
      </c>
      <c r="I496" s="0">
        <f>H496*F496</f>
        <v/>
      </c>
    </row>
    <row r="497">
      <c r="A497" s="0" t="inlineStr">
        <is>
          <t>'Reference sheet'!N499</t>
        </is>
      </c>
      <c r="B497" s="0" t="inlineStr">
        <is>
          <t>Structure Storage Bay</t>
        </is>
      </c>
      <c r="C497" s="0" t="inlineStr">
        <is>
          <t>Miniature Electronics</t>
        </is>
      </c>
      <c r="D497" s="0" t="n">
        <v>60</v>
      </c>
      <c r="E497" s="0">
        <f>VLOOKUP(C497,'Item Tier Lookup'!$A:$B,2,FALSE)</f>
        <v/>
      </c>
      <c r="F497" s="0">
        <f>VLOOKUP(E497,'Tier Params'!$A:$B,2,FALSE)</f>
        <v/>
      </c>
      <c r="G497" s="0">
        <f>VLOOKUP(E497,'Tier Params'!$A:$C,3,FALSE)</f>
        <v/>
      </c>
      <c r="H497" s="0">
        <f>CEILING(D497/G497,1)</f>
        <v/>
      </c>
      <c r="I497" s="0">
        <f>H497*F497</f>
        <v/>
      </c>
    </row>
    <row r="498">
      <c r="A498" s="0" t="inlineStr">
        <is>
          <t>'Reference sheet'!N500</t>
        </is>
      </c>
      <c r="B498" s="0" t="inlineStr">
        <is>
          <t>Structure Storage Bay</t>
        </is>
      </c>
      <c r="C498" s="0" t="inlineStr">
        <is>
          <t>Chiral Structures</t>
        </is>
      </c>
      <c r="D498" s="0" t="n">
        <v>480</v>
      </c>
      <c r="E498" s="0">
        <f>VLOOKUP(C498,'Item Tier Lookup'!$A:$B,2,FALSE)</f>
        <v/>
      </c>
      <c r="F498" s="0">
        <f>VLOOKUP(E498,'Tier Params'!$A:$B,2,FALSE)</f>
        <v/>
      </c>
      <c r="G498" s="0">
        <f>VLOOKUP(E498,'Tier Params'!$A:$C,3,FALSE)</f>
        <v/>
      </c>
      <c r="H498" s="0">
        <f>CEILING(D498/G498,1)</f>
        <v/>
      </c>
      <c r="I498" s="0">
        <f>H498*F498</f>
        <v/>
      </c>
    </row>
    <row r="499">
      <c r="A499" s="0" t="inlineStr">
        <is>
          <t>'Reference sheet'!N501</t>
        </is>
      </c>
      <c r="B499" s="0" t="inlineStr">
        <is>
          <t>Structure Storage Bay</t>
        </is>
      </c>
      <c r="C499" s="0" t="inlineStr">
        <is>
          <t>Non-CS Crystals</t>
        </is>
      </c>
      <c r="D499" s="0" t="n">
        <v>72000</v>
      </c>
      <c r="E499" s="0">
        <f>VLOOKUP(C499,'Item Tier Lookup'!$A:$B,2,FALSE)</f>
        <v/>
      </c>
      <c r="F499" s="0">
        <f>VLOOKUP(E499,'Tier Params'!$A:$B,2,FALSE)</f>
        <v/>
      </c>
      <c r="G499" s="0">
        <f>VLOOKUP(E499,'Tier Params'!$A:$C,3,FALSE)</f>
        <v/>
      </c>
      <c r="H499" s="0">
        <f>CEILING(D499/G499,1)</f>
        <v/>
      </c>
      <c r="I499" s="0">
        <f>H499*F499</f>
        <v/>
      </c>
    </row>
    <row r="500">
      <c r="A500" s="0" t="inlineStr">
        <is>
          <t>'Reference sheet'!N502</t>
        </is>
      </c>
      <c r="B500" s="0" t="inlineStr">
        <is>
          <t>Structure Storage Bay</t>
        </is>
      </c>
      <c r="C500" s="0" t="inlineStr">
        <is>
          <t>Silicon</t>
        </is>
      </c>
      <c r="D500" s="0" t="n">
        <v>480</v>
      </c>
      <c r="E500" s="0">
        <f>VLOOKUP(C500,'Item Tier Lookup'!$A:$B,2,FALSE)</f>
        <v/>
      </c>
      <c r="F500" s="0">
        <f>VLOOKUP(E500,'Tier Params'!$A:$B,2,FALSE)</f>
        <v/>
      </c>
      <c r="G500" s="0">
        <f>VLOOKUP(E500,'Tier Params'!$A:$C,3,FALSE)</f>
        <v/>
      </c>
      <c r="H500" s="0">
        <f>CEILING(D500/G500,1)</f>
        <v/>
      </c>
      <c r="I500" s="0">
        <f>H500*F500</f>
        <v/>
      </c>
    </row>
    <row r="501">
      <c r="A501" s="0" t="inlineStr">
        <is>
          <t>'Reference sheet'!N503</t>
        </is>
      </c>
      <c r="B501" s="0" t="inlineStr">
        <is>
          <t>Structure Storage Bay</t>
        </is>
      </c>
      <c r="C501" s="0" t="inlineStr">
        <is>
          <t>Felsic Magma</t>
        </is>
      </c>
      <c r="D501" s="0" t="n">
        <v>72000</v>
      </c>
      <c r="E501" s="0">
        <f>VLOOKUP(C501,'Item Tier Lookup'!$A:$B,2,FALSE)</f>
        <v/>
      </c>
      <c r="F501" s="0">
        <f>VLOOKUP(E501,'Tier Params'!$A:$B,2,FALSE)</f>
        <v/>
      </c>
      <c r="G501" s="0">
        <f>VLOOKUP(E501,'Tier Params'!$A:$C,3,FALSE)</f>
        <v/>
      </c>
      <c r="H501" s="0">
        <f>CEILING(D501/G501,1)</f>
        <v/>
      </c>
      <c r="I501" s="0">
        <f>H501*F501</f>
        <v/>
      </c>
    </row>
    <row r="502">
      <c r="A502" s="0" t="inlineStr">
        <is>
          <t>'Reference sheet'!N504</t>
        </is>
      </c>
      <c r="B502" s="0" t="inlineStr">
        <is>
          <t>Structure Storage Bay</t>
        </is>
      </c>
      <c r="C502" s="0" t="inlineStr">
        <is>
          <t>Nano-Factory</t>
        </is>
      </c>
      <c r="D502" s="0" t="n">
        <v>3</v>
      </c>
      <c r="E502" s="0">
        <f>VLOOKUP(C502,'Item Tier Lookup'!$A:$B,2,FALSE)</f>
        <v/>
      </c>
      <c r="F502" s="0">
        <f>VLOOKUP(E502,'Tier Params'!$A:$B,2,FALSE)</f>
        <v/>
      </c>
      <c r="G502" s="0">
        <f>VLOOKUP(E502,'Tier Params'!$A:$C,3,FALSE)</f>
        <v/>
      </c>
      <c r="H502" s="0">
        <f>CEILING(D502/G502,1)</f>
        <v/>
      </c>
      <c r="I502" s="0">
        <f>H502*F502</f>
        <v/>
      </c>
    </row>
    <row r="503">
      <c r="A503" s="0" t="inlineStr">
        <is>
          <t>'Reference sheet'!N505</t>
        </is>
      </c>
      <c r="B503" s="0" t="inlineStr">
        <is>
          <t>Structure Storage Bay</t>
        </is>
      </c>
      <c r="C503" s="0" t="inlineStr">
        <is>
          <t>Industrial Explosives</t>
        </is>
      </c>
      <c r="D503" s="0" t="n">
        <v>18</v>
      </c>
      <c r="E503" s="0">
        <f>VLOOKUP(C503,'Item Tier Lookup'!$A:$B,2,FALSE)</f>
        <v/>
      </c>
      <c r="F503" s="0">
        <f>VLOOKUP(E503,'Tier Params'!$A:$B,2,FALSE)</f>
        <v/>
      </c>
      <c r="G503" s="0">
        <f>VLOOKUP(E503,'Tier Params'!$A:$C,3,FALSE)</f>
        <v/>
      </c>
      <c r="H503" s="0">
        <f>CEILING(D503/G503,1)</f>
        <v/>
      </c>
      <c r="I503" s="0">
        <f>H503*F503</f>
        <v/>
      </c>
    </row>
    <row r="504">
      <c r="A504" s="0" t="inlineStr">
        <is>
          <t>'Reference sheet'!N506</t>
        </is>
      </c>
      <c r="B504" s="0" t="inlineStr">
        <is>
          <t>Structure Storage Bay</t>
        </is>
      </c>
      <c r="C504" s="0" t="inlineStr">
        <is>
          <t>Fertilizer</t>
        </is>
      </c>
      <c r="D504" s="0" t="n">
        <v>60</v>
      </c>
      <c r="E504" s="0">
        <f>VLOOKUP(C504,'Item Tier Lookup'!$A:$B,2,FALSE)</f>
        <v/>
      </c>
      <c r="F504" s="0">
        <f>VLOOKUP(E504,'Tier Params'!$A:$B,2,FALSE)</f>
        <v/>
      </c>
      <c r="G504" s="0">
        <f>VLOOKUP(E504,'Tier Params'!$A:$C,3,FALSE)</f>
        <v/>
      </c>
      <c r="H504" s="0">
        <f>CEILING(D504/G504,1)</f>
        <v/>
      </c>
      <c r="I504" s="0">
        <f>H504*F504</f>
        <v/>
      </c>
    </row>
    <row r="505">
      <c r="A505" s="0" t="inlineStr">
        <is>
          <t>'Reference sheet'!N507</t>
        </is>
      </c>
      <c r="B505" s="0" t="inlineStr">
        <is>
          <t>Structure Storage Bay</t>
        </is>
      </c>
      <c r="C505" s="0" t="inlineStr">
        <is>
          <t>Bacteria</t>
        </is>
      </c>
      <c r="D505" s="0" t="n">
        <v>480</v>
      </c>
      <c r="E505" s="0">
        <f>VLOOKUP(C505,'Item Tier Lookup'!$A:$B,2,FALSE)</f>
        <v/>
      </c>
      <c r="F505" s="0">
        <f>VLOOKUP(E505,'Tier Params'!$A:$B,2,FALSE)</f>
        <v/>
      </c>
      <c r="G505" s="0">
        <f>VLOOKUP(E505,'Tier Params'!$A:$C,3,FALSE)</f>
        <v/>
      </c>
      <c r="H505" s="0">
        <f>CEILING(D505/G505,1)</f>
        <v/>
      </c>
      <c r="I505" s="0">
        <f>H505*F505</f>
        <v/>
      </c>
    </row>
    <row r="506">
      <c r="A506" s="0" t="inlineStr">
        <is>
          <t>'Reference sheet'!N508</t>
        </is>
      </c>
      <c r="B506" s="0" t="inlineStr">
        <is>
          <t>Structure Storage Bay</t>
        </is>
      </c>
      <c r="C506" s="0" t="inlineStr">
        <is>
          <t>Microorganisms</t>
        </is>
      </c>
      <c r="D506" s="0" t="n">
        <v>72000</v>
      </c>
      <c r="E506" s="0">
        <f>VLOOKUP(C506,'Item Tier Lookup'!$A:$B,2,FALSE)</f>
        <v/>
      </c>
      <c r="F506" s="0">
        <f>VLOOKUP(E506,'Tier Params'!$A:$B,2,FALSE)</f>
        <v/>
      </c>
      <c r="G506" s="0">
        <f>VLOOKUP(E506,'Tier Params'!$A:$C,3,FALSE)</f>
        <v/>
      </c>
      <c r="H506" s="0">
        <f>CEILING(D506/G506,1)</f>
        <v/>
      </c>
      <c r="I506" s="0">
        <f>H506*F506</f>
        <v/>
      </c>
    </row>
    <row r="507">
      <c r="A507" s="0" t="inlineStr">
        <is>
          <t>'Reference sheet'!N509</t>
        </is>
      </c>
      <c r="B507" s="0" t="inlineStr">
        <is>
          <t>Structure Storage Bay</t>
        </is>
      </c>
      <c r="C507" s="0" t="inlineStr">
        <is>
          <t>Proteins</t>
        </is>
      </c>
      <c r="D507" s="0" t="n">
        <v>480</v>
      </c>
      <c r="E507" s="0">
        <f>VLOOKUP(C507,'Item Tier Lookup'!$A:$B,2,FALSE)</f>
        <v/>
      </c>
      <c r="F507" s="0">
        <f>VLOOKUP(E507,'Tier Params'!$A:$B,2,FALSE)</f>
        <v/>
      </c>
      <c r="G507" s="0">
        <f>VLOOKUP(E507,'Tier Params'!$A:$C,3,FALSE)</f>
        <v/>
      </c>
      <c r="H507" s="0">
        <f>CEILING(D507/G507,1)</f>
        <v/>
      </c>
      <c r="I507" s="0">
        <f>H507*F507</f>
        <v/>
      </c>
    </row>
    <row r="508">
      <c r="A508" s="0" t="inlineStr">
        <is>
          <t>'Reference sheet'!N510</t>
        </is>
      </c>
      <c r="B508" s="0" t="inlineStr">
        <is>
          <t>Structure Storage Bay</t>
        </is>
      </c>
      <c r="C508" s="0" t="inlineStr">
        <is>
          <t>Complex Organisms</t>
        </is>
      </c>
      <c r="D508" s="0" t="n">
        <v>72000</v>
      </c>
      <c r="E508" s="0">
        <f>VLOOKUP(C508,'Item Tier Lookup'!$A:$B,2,FALSE)</f>
        <v/>
      </c>
      <c r="F508" s="0">
        <f>VLOOKUP(E508,'Tier Params'!$A:$B,2,FALSE)</f>
        <v/>
      </c>
      <c r="G508" s="0">
        <f>VLOOKUP(E508,'Tier Params'!$A:$C,3,FALSE)</f>
        <v/>
      </c>
      <c r="H508" s="0">
        <f>CEILING(D508/G508,1)</f>
        <v/>
      </c>
      <c r="I508" s="0">
        <f>H508*F508</f>
        <v/>
      </c>
    </row>
    <row r="509">
      <c r="A509" s="0" t="inlineStr">
        <is>
          <t>'Reference sheet'!N511</t>
        </is>
      </c>
      <c r="B509" s="0" t="inlineStr">
        <is>
          <t>Structure Storage Bay</t>
        </is>
      </c>
      <c r="C509" s="0" t="inlineStr">
        <is>
          <t>Polytextiles</t>
        </is>
      </c>
      <c r="D509" s="0" t="n">
        <v>60</v>
      </c>
      <c r="E509" s="0">
        <f>VLOOKUP(C509,'Item Tier Lookup'!$A:$B,2,FALSE)</f>
        <v/>
      </c>
      <c r="F509" s="0">
        <f>VLOOKUP(E509,'Tier Params'!$A:$B,2,FALSE)</f>
        <v/>
      </c>
      <c r="G509" s="0">
        <f>VLOOKUP(E509,'Tier Params'!$A:$C,3,FALSE)</f>
        <v/>
      </c>
      <c r="H509" s="0">
        <f>CEILING(D509/G509,1)</f>
        <v/>
      </c>
      <c r="I509" s="0">
        <f>H509*F509</f>
        <v/>
      </c>
    </row>
    <row r="510">
      <c r="A510" s="0" t="inlineStr">
        <is>
          <t>'Reference sheet'!N512</t>
        </is>
      </c>
      <c r="B510" s="0" t="inlineStr">
        <is>
          <t>Structure Storage Bay</t>
        </is>
      </c>
      <c r="C510" s="0" t="inlineStr">
        <is>
          <t>Biofuels</t>
        </is>
      </c>
      <c r="D510" s="0" t="n">
        <v>480</v>
      </c>
      <c r="E510" s="0">
        <f>VLOOKUP(C510,'Item Tier Lookup'!$A:$B,2,FALSE)</f>
        <v/>
      </c>
      <c r="F510" s="0">
        <f>VLOOKUP(E510,'Tier Params'!$A:$B,2,FALSE)</f>
        <v/>
      </c>
      <c r="G510" s="0">
        <f>VLOOKUP(E510,'Tier Params'!$A:$C,3,FALSE)</f>
        <v/>
      </c>
      <c r="H510" s="0">
        <f>CEILING(D510/G510,1)</f>
        <v/>
      </c>
      <c r="I510" s="0">
        <f>H510*F510</f>
        <v/>
      </c>
    </row>
    <row r="511">
      <c r="A511" s="0" t="inlineStr">
        <is>
          <t>'Reference sheet'!N513</t>
        </is>
      </c>
      <c r="B511" s="0" t="inlineStr">
        <is>
          <t>Structure Storage Bay</t>
        </is>
      </c>
      <c r="C511" s="0" t="inlineStr">
        <is>
          <t>Carbon Compounds</t>
        </is>
      </c>
      <c r="D511" s="0" t="n">
        <v>72000</v>
      </c>
      <c r="E511" s="0">
        <f>VLOOKUP(C511,'Item Tier Lookup'!$A:$B,2,FALSE)</f>
        <v/>
      </c>
      <c r="F511" s="0">
        <f>VLOOKUP(E511,'Tier Params'!$A:$B,2,FALSE)</f>
        <v/>
      </c>
      <c r="G511" s="0">
        <f>VLOOKUP(E511,'Tier Params'!$A:$C,3,FALSE)</f>
        <v/>
      </c>
      <c r="H511" s="0">
        <f>CEILING(D511/G511,1)</f>
        <v/>
      </c>
      <c r="I511" s="0">
        <f>H511*F511</f>
        <v/>
      </c>
    </row>
    <row r="512">
      <c r="A512" s="0" t="inlineStr">
        <is>
          <t>'Reference sheet'!N514</t>
        </is>
      </c>
      <c r="B512" s="0" t="inlineStr">
        <is>
          <t>Structure Storage Bay</t>
        </is>
      </c>
      <c r="C512" s="0" t="inlineStr">
        <is>
          <t>Industrial Fibers</t>
        </is>
      </c>
      <c r="D512" s="0" t="n">
        <v>480</v>
      </c>
      <c r="E512" s="0">
        <f>VLOOKUP(C512,'Item Tier Lookup'!$A:$B,2,FALSE)</f>
        <v/>
      </c>
      <c r="F512" s="0">
        <f>VLOOKUP(E512,'Tier Params'!$A:$B,2,FALSE)</f>
        <v/>
      </c>
      <c r="G512" s="0">
        <f>VLOOKUP(E512,'Tier Params'!$A:$C,3,FALSE)</f>
        <v/>
      </c>
      <c r="H512" s="0">
        <f>CEILING(D512/G512,1)</f>
        <v/>
      </c>
      <c r="I512" s="0">
        <f>H512*F512</f>
        <v/>
      </c>
    </row>
    <row r="513">
      <c r="A513" s="0" t="inlineStr">
        <is>
          <t>'Reference sheet'!N515</t>
        </is>
      </c>
      <c r="B513" s="0" t="inlineStr">
        <is>
          <t>Structure Storage Bay</t>
        </is>
      </c>
      <c r="C513" s="0" t="inlineStr">
        <is>
          <t>Autotrophs</t>
        </is>
      </c>
      <c r="D513" s="0" t="n">
        <v>72000</v>
      </c>
      <c r="E513" s="0">
        <f>VLOOKUP(C513,'Item Tier Lookup'!$A:$B,2,FALSE)</f>
        <v/>
      </c>
      <c r="F513" s="0">
        <f>VLOOKUP(E513,'Tier Params'!$A:$B,2,FALSE)</f>
        <v/>
      </c>
      <c r="G513" s="0">
        <f>VLOOKUP(E513,'Tier Params'!$A:$C,3,FALSE)</f>
        <v/>
      </c>
      <c r="H513" s="0">
        <f>CEILING(D513/G513,1)</f>
        <v/>
      </c>
      <c r="I513" s="0">
        <f>H513*F513</f>
        <v/>
      </c>
    </row>
    <row r="514">
      <c r="A514" s="0" t="inlineStr">
        <is>
          <t>'Reference sheet'!N516</t>
        </is>
      </c>
      <c r="B514" s="0" t="inlineStr">
        <is>
          <t>Structure Storage Bay</t>
        </is>
      </c>
      <c r="C514" s="0" t="inlineStr">
        <is>
          <t>Ukomi Superconductors</t>
        </is>
      </c>
      <c r="D514" s="0" t="n">
        <v>18</v>
      </c>
      <c r="E514" s="0">
        <f>VLOOKUP(C514,'Item Tier Lookup'!$A:$B,2,FALSE)</f>
        <v/>
      </c>
      <c r="F514" s="0">
        <f>VLOOKUP(E514,'Tier Params'!$A:$B,2,FALSE)</f>
        <v/>
      </c>
      <c r="G514" s="0">
        <f>VLOOKUP(E514,'Tier Params'!$A:$C,3,FALSE)</f>
        <v/>
      </c>
      <c r="H514" s="0">
        <f>CEILING(D514/G514,1)</f>
        <v/>
      </c>
      <c r="I514" s="0">
        <f>H514*F514</f>
        <v/>
      </c>
    </row>
    <row r="515">
      <c r="A515" s="0" t="inlineStr">
        <is>
          <t>'Reference sheet'!N517</t>
        </is>
      </c>
      <c r="B515" s="0" t="inlineStr">
        <is>
          <t>Structure Storage Bay</t>
        </is>
      </c>
      <c r="C515" s="0" t="inlineStr">
        <is>
          <t>Synthetic Oil</t>
        </is>
      </c>
      <c r="D515" s="0" t="n">
        <v>60</v>
      </c>
      <c r="E515" s="0">
        <f>VLOOKUP(C515,'Item Tier Lookup'!$A:$B,2,FALSE)</f>
        <v/>
      </c>
      <c r="F515" s="0">
        <f>VLOOKUP(E515,'Tier Params'!$A:$B,2,FALSE)</f>
        <v/>
      </c>
      <c r="G515" s="0">
        <f>VLOOKUP(E515,'Tier Params'!$A:$C,3,FALSE)</f>
        <v/>
      </c>
      <c r="H515" s="0">
        <f>CEILING(D515/G515,1)</f>
        <v/>
      </c>
      <c r="I515" s="0">
        <f>H515*F515</f>
        <v/>
      </c>
    </row>
    <row r="516">
      <c r="A516" s="0" t="inlineStr">
        <is>
          <t>'Reference sheet'!N518</t>
        </is>
      </c>
      <c r="B516" s="0" t="inlineStr">
        <is>
          <t>Structure Storage Bay</t>
        </is>
      </c>
      <c r="C516" s="0" t="inlineStr">
        <is>
          <t>Oxygen</t>
        </is>
      </c>
      <c r="D516" s="0" t="n">
        <v>480</v>
      </c>
      <c r="E516" s="0">
        <f>VLOOKUP(C516,'Item Tier Lookup'!$A:$B,2,FALSE)</f>
        <v/>
      </c>
      <c r="F516" s="0">
        <f>VLOOKUP(E516,'Tier Params'!$A:$B,2,FALSE)</f>
        <v/>
      </c>
      <c r="G516" s="0">
        <f>VLOOKUP(E516,'Tier Params'!$A:$C,3,FALSE)</f>
        <v/>
      </c>
      <c r="H516" s="0">
        <f>CEILING(D516/G516,1)</f>
        <v/>
      </c>
      <c r="I516" s="0">
        <f>H516*F516</f>
        <v/>
      </c>
    </row>
    <row r="517">
      <c r="A517" s="0" t="inlineStr">
        <is>
          <t>'Reference sheet'!N519</t>
        </is>
      </c>
      <c r="B517" s="0" t="inlineStr">
        <is>
          <t>Structure Storage Bay</t>
        </is>
      </c>
      <c r="C517" s="0" t="inlineStr">
        <is>
          <t>Noble Gas</t>
        </is>
      </c>
      <c r="D517" s="0" t="n">
        <v>72000</v>
      </c>
      <c r="E517" s="0">
        <f>VLOOKUP(C517,'Item Tier Lookup'!$A:$B,2,FALSE)</f>
        <v/>
      </c>
      <c r="F517" s="0">
        <f>VLOOKUP(E517,'Tier Params'!$A:$B,2,FALSE)</f>
        <v/>
      </c>
      <c r="G517" s="0">
        <f>VLOOKUP(E517,'Tier Params'!$A:$C,3,FALSE)</f>
        <v/>
      </c>
      <c r="H517" s="0">
        <f>CEILING(D517/G517,1)</f>
        <v/>
      </c>
      <c r="I517" s="0">
        <f>H517*F517</f>
        <v/>
      </c>
    </row>
    <row r="518">
      <c r="A518" s="0" t="inlineStr">
        <is>
          <t>'Reference sheet'!N520</t>
        </is>
      </c>
      <c r="B518" s="0" t="inlineStr">
        <is>
          <t>Structure Storage Bay</t>
        </is>
      </c>
      <c r="C518" s="0" t="inlineStr">
        <is>
          <t>Electrolytes</t>
        </is>
      </c>
      <c r="D518" s="0" t="n">
        <v>480</v>
      </c>
      <c r="E518" s="0">
        <f>VLOOKUP(C518,'Item Tier Lookup'!$A:$B,2,FALSE)</f>
        <v/>
      </c>
      <c r="F518" s="0">
        <f>VLOOKUP(E518,'Tier Params'!$A:$B,2,FALSE)</f>
        <v/>
      </c>
      <c r="G518" s="0">
        <f>VLOOKUP(E518,'Tier Params'!$A:$C,3,FALSE)</f>
        <v/>
      </c>
      <c r="H518" s="0">
        <f>CEILING(D518/G518,1)</f>
        <v/>
      </c>
      <c r="I518" s="0">
        <f>H518*F518</f>
        <v/>
      </c>
    </row>
    <row r="519">
      <c r="A519" s="0" t="inlineStr">
        <is>
          <t>'Reference sheet'!N521</t>
        </is>
      </c>
      <c r="B519" s="0" t="inlineStr">
        <is>
          <t>Structure Storage Bay</t>
        </is>
      </c>
      <c r="C519" s="0" t="inlineStr">
        <is>
          <t>Ionic Solutions</t>
        </is>
      </c>
      <c r="D519" s="0" t="n">
        <v>72000</v>
      </c>
      <c r="E519" s="0">
        <f>VLOOKUP(C519,'Item Tier Lookup'!$A:$B,2,FALSE)</f>
        <v/>
      </c>
      <c r="F519" s="0">
        <f>VLOOKUP(E519,'Tier Params'!$A:$B,2,FALSE)</f>
        <v/>
      </c>
      <c r="G519" s="0">
        <f>VLOOKUP(E519,'Tier Params'!$A:$C,3,FALSE)</f>
        <v/>
      </c>
      <c r="H519" s="0">
        <f>CEILING(D519/G519,1)</f>
        <v/>
      </c>
      <c r="I519" s="0">
        <f>H519*F519</f>
        <v/>
      </c>
    </row>
    <row r="520">
      <c r="A520" s="0" t="inlineStr">
        <is>
          <t>'Reference sheet'!N522</t>
        </is>
      </c>
      <c r="B520" s="0" t="inlineStr">
        <is>
          <t>Structure Storage Bay</t>
        </is>
      </c>
      <c r="C520" s="0" t="inlineStr">
        <is>
          <t>Superconductors</t>
        </is>
      </c>
      <c r="D520" s="0" t="n">
        <v>60</v>
      </c>
      <c r="E520" s="0">
        <f>VLOOKUP(C520,'Item Tier Lookup'!$A:$B,2,FALSE)</f>
        <v/>
      </c>
      <c r="F520" s="0">
        <f>VLOOKUP(E520,'Tier Params'!$A:$B,2,FALSE)</f>
        <v/>
      </c>
      <c r="G520" s="0">
        <f>VLOOKUP(E520,'Tier Params'!$A:$C,3,FALSE)</f>
        <v/>
      </c>
      <c r="H520" s="0">
        <f>CEILING(D520/G520,1)</f>
        <v/>
      </c>
      <c r="I520" s="0">
        <f>H520*F520</f>
        <v/>
      </c>
    </row>
    <row r="521">
      <c r="A521" s="0" t="inlineStr">
        <is>
          <t>'Reference sheet'!N523</t>
        </is>
      </c>
      <c r="B521" s="0" t="inlineStr">
        <is>
          <t>Structure Storage Bay</t>
        </is>
      </c>
      <c r="C521" s="0" t="inlineStr">
        <is>
          <t>Plasmoids</t>
        </is>
      </c>
      <c r="D521" s="0" t="n">
        <v>480</v>
      </c>
      <c r="E521" s="0">
        <f>VLOOKUP(C521,'Item Tier Lookup'!$A:$B,2,FALSE)</f>
        <v/>
      </c>
      <c r="F521" s="0">
        <f>VLOOKUP(E521,'Tier Params'!$A:$B,2,FALSE)</f>
        <v/>
      </c>
      <c r="G521" s="0">
        <f>VLOOKUP(E521,'Tier Params'!$A:$C,3,FALSE)</f>
        <v/>
      </c>
      <c r="H521" s="0">
        <f>CEILING(D521/G521,1)</f>
        <v/>
      </c>
      <c r="I521" s="0">
        <f>H521*F521</f>
        <v/>
      </c>
    </row>
    <row r="522">
      <c r="A522" s="0" t="inlineStr">
        <is>
          <t>'Reference sheet'!N524</t>
        </is>
      </c>
      <c r="B522" s="0" t="inlineStr">
        <is>
          <t>Structure Storage Bay</t>
        </is>
      </c>
      <c r="C522" s="0" t="inlineStr">
        <is>
          <t>Suspended Plasma</t>
        </is>
      </c>
      <c r="D522" s="0" t="n">
        <v>72000</v>
      </c>
      <c r="E522" s="0">
        <f>VLOOKUP(C522,'Item Tier Lookup'!$A:$B,2,FALSE)</f>
        <v/>
      </c>
      <c r="F522" s="0">
        <f>VLOOKUP(E522,'Tier Params'!$A:$B,2,FALSE)</f>
        <v/>
      </c>
      <c r="G522" s="0">
        <f>VLOOKUP(E522,'Tier Params'!$A:$C,3,FALSE)</f>
        <v/>
      </c>
      <c r="H522" s="0">
        <f>CEILING(D522/G522,1)</f>
        <v/>
      </c>
      <c r="I522" s="0">
        <f>H522*F522</f>
        <v/>
      </c>
    </row>
    <row r="523">
      <c r="A523" s="0" t="inlineStr">
        <is>
          <t>'Reference sheet'!N525</t>
        </is>
      </c>
      <c r="B523" s="0" t="inlineStr">
        <is>
          <t>Structure Storage Bay</t>
        </is>
      </c>
      <c r="C523" s="0" t="inlineStr">
        <is>
          <t>Water</t>
        </is>
      </c>
      <c r="D523" s="0" t="n">
        <v>480</v>
      </c>
      <c r="E523" s="0">
        <f>VLOOKUP(C523,'Item Tier Lookup'!$A:$B,2,FALSE)</f>
        <v/>
      </c>
      <c r="F523" s="0">
        <f>VLOOKUP(E523,'Tier Params'!$A:$B,2,FALSE)</f>
        <v/>
      </c>
      <c r="G523" s="0">
        <f>VLOOKUP(E523,'Tier Params'!$A:$C,3,FALSE)</f>
        <v/>
      </c>
      <c r="H523" s="0">
        <f>CEILING(D523/G523,1)</f>
        <v/>
      </c>
      <c r="I523" s="0">
        <f>H523*F523</f>
        <v/>
      </c>
    </row>
    <row r="524">
      <c r="A524" s="0" t="inlineStr">
        <is>
          <t>'Reference sheet'!N526</t>
        </is>
      </c>
      <c r="B524" s="0" t="inlineStr">
        <is>
          <t>Structure Storage Bay</t>
        </is>
      </c>
      <c r="C524" s="0" t="inlineStr">
        <is>
          <t>Aqueous Liquids</t>
        </is>
      </c>
      <c r="D524" s="0" t="n">
        <v>72000</v>
      </c>
      <c r="E524" s="0">
        <f>VLOOKUP(C524,'Item Tier Lookup'!$A:$B,2,FALSE)</f>
        <v/>
      </c>
      <c r="F524" s="0">
        <f>VLOOKUP(E524,'Tier Params'!$A:$B,2,FALSE)</f>
        <v/>
      </c>
      <c r="G524" s="0">
        <f>VLOOKUP(E524,'Tier Params'!$A:$C,3,FALSE)</f>
        <v/>
      </c>
      <c r="H524" s="0">
        <f>CEILING(D524/G524,1)</f>
        <v/>
      </c>
      <c r="I524" s="0">
        <f>H524*F524</f>
        <v/>
      </c>
    </row>
    <row r="525">
      <c r="A525" s="0" t="inlineStr">
        <is>
          <t>'Reference sheet'!N527</t>
        </is>
      </c>
      <c r="B525" s="0" t="inlineStr">
        <is>
          <t>Structure Storage Bay</t>
        </is>
      </c>
      <c r="C525" s="0" t="inlineStr">
        <is>
          <t>Reactive Metals</t>
        </is>
      </c>
      <c r="D525" s="0" t="n">
        <v>120</v>
      </c>
      <c r="E525" s="0">
        <f>VLOOKUP(C525,'Item Tier Lookup'!$A:$B,2,FALSE)</f>
        <v/>
      </c>
      <c r="F525" s="0">
        <f>VLOOKUP(E525,'Tier Params'!$A:$B,2,FALSE)</f>
        <v/>
      </c>
      <c r="G525" s="0">
        <f>VLOOKUP(E525,'Tier Params'!$A:$C,3,FALSE)</f>
        <v/>
      </c>
      <c r="H525" s="0">
        <f>CEILING(D525/G525,1)</f>
        <v/>
      </c>
      <c r="I525" s="0">
        <f>H525*F525</f>
        <v/>
      </c>
    </row>
    <row r="526">
      <c r="A526" s="0" t="inlineStr">
        <is>
          <t>'Reference sheet'!N528</t>
        </is>
      </c>
      <c r="B526" s="0" t="inlineStr">
        <is>
          <t>Structure Storage Bay</t>
        </is>
      </c>
      <c r="C526" s="0" t="inlineStr">
        <is>
          <t>Base Metals</t>
        </is>
      </c>
      <c r="D526" s="0" t="n">
        <v>18000</v>
      </c>
      <c r="E526" s="0">
        <f>VLOOKUP(C526,'Item Tier Lookup'!$A:$B,2,FALSE)</f>
        <v/>
      </c>
      <c r="F526" s="0">
        <f>VLOOKUP(E526,'Tier Params'!$A:$B,2,FALSE)</f>
        <v/>
      </c>
      <c r="G526" s="0">
        <f>VLOOKUP(E526,'Tier Params'!$A:$C,3,FALSE)</f>
        <v/>
      </c>
      <c r="H526" s="0">
        <f>CEILING(D526/G526,1)</f>
        <v/>
      </c>
      <c r="I526" s="0">
        <f>H526*F526</f>
        <v/>
      </c>
    </row>
    <row r="527">
      <c r="A527" s="0" t="inlineStr">
        <is>
          <t>'Reference sheet'!N529</t>
        </is>
      </c>
      <c r="B527" s="0" t="inlineStr">
        <is>
          <t>Structure Storage Bay</t>
        </is>
      </c>
      <c r="C527" s="0" t="inlineStr">
        <is>
          <t>Organic Mortar Applicators</t>
        </is>
      </c>
      <c r="D527" s="0" t="n">
        <v>3</v>
      </c>
      <c r="E527" s="0">
        <f>VLOOKUP(C527,'Item Tier Lookup'!$A:$B,2,FALSE)</f>
        <v/>
      </c>
      <c r="F527" s="0">
        <f>VLOOKUP(E527,'Tier Params'!$A:$B,2,FALSE)</f>
        <v/>
      </c>
      <c r="G527" s="0">
        <f>VLOOKUP(E527,'Tier Params'!$A:$C,3,FALSE)</f>
        <v/>
      </c>
      <c r="H527" s="0">
        <f>CEILING(D527/G527,1)</f>
        <v/>
      </c>
      <c r="I527" s="0">
        <f>H527*F527</f>
        <v/>
      </c>
    </row>
    <row r="528">
      <c r="A528" s="0" t="inlineStr">
        <is>
          <t>'Reference sheet'!N530</t>
        </is>
      </c>
      <c r="B528" s="0" t="inlineStr">
        <is>
          <t>Structure Storage Bay</t>
        </is>
      </c>
      <c r="C528" s="0" t="inlineStr">
        <is>
          <t>Condensates</t>
        </is>
      </c>
      <c r="D528" s="0" t="n">
        <v>18</v>
      </c>
      <c r="E528" s="0">
        <f>VLOOKUP(C528,'Item Tier Lookup'!$A:$B,2,FALSE)</f>
        <v/>
      </c>
      <c r="F528" s="0">
        <f>VLOOKUP(E528,'Tier Params'!$A:$B,2,FALSE)</f>
        <v/>
      </c>
      <c r="G528" s="0">
        <f>VLOOKUP(E528,'Tier Params'!$A:$C,3,FALSE)</f>
        <v/>
      </c>
      <c r="H528" s="0">
        <f>CEILING(D528/G528,1)</f>
        <v/>
      </c>
      <c r="I528" s="0">
        <f>H528*F528</f>
        <v/>
      </c>
    </row>
    <row r="529">
      <c r="A529" s="0" t="inlineStr">
        <is>
          <t>'Reference sheet'!N531</t>
        </is>
      </c>
      <c r="B529" s="0" t="inlineStr">
        <is>
          <t>Structure Storage Bay</t>
        </is>
      </c>
      <c r="C529" s="0" t="inlineStr">
        <is>
          <t>Coolant</t>
        </is>
      </c>
      <c r="D529" s="0" t="n">
        <v>60</v>
      </c>
      <c r="E529" s="0">
        <f>VLOOKUP(C529,'Item Tier Lookup'!$A:$B,2,FALSE)</f>
        <v/>
      </c>
      <c r="F529" s="0">
        <f>VLOOKUP(E529,'Tier Params'!$A:$B,2,FALSE)</f>
        <v/>
      </c>
      <c r="G529" s="0">
        <f>VLOOKUP(E529,'Tier Params'!$A:$C,3,FALSE)</f>
        <v/>
      </c>
      <c r="H529" s="0">
        <f>CEILING(D529/G529,1)</f>
        <v/>
      </c>
      <c r="I529" s="0">
        <f>H529*F529</f>
        <v/>
      </c>
    </row>
    <row r="530">
      <c r="A530" s="0" t="inlineStr">
        <is>
          <t>'Reference sheet'!N532</t>
        </is>
      </c>
      <c r="B530" s="0" t="inlineStr">
        <is>
          <t>Structure Storage Bay</t>
        </is>
      </c>
      <c r="C530" s="0" t="inlineStr">
        <is>
          <t>Water</t>
        </is>
      </c>
      <c r="D530" s="0" t="n">
        <v>480</v>
      </c>
      <c r="E530" s="0">
        <f>VLOOKUP(C530,'Item Tier Lookup'!$A:$B,2,FALSE)</f>
        <v/>
      </c>
      <c r="F530" s="0">
        <f>VLOOKUP(E530,'Tier Params'!$A:$B,2,FALSE)</f>
        <v/>
      </c>
      <c r="G530" s="0">
        <f>VLOOKUP(E530,'Tier Params'!$A:$C,3,FALSE)</f>
        <v/>
      </c>
      <c r="H530" s="0">
        <f>CEILING(D530/G530,1)</f>
        <v/>
      </c>
      <c r="I530" s="0">
        <f>H530*F530</f>
        <v/>
      </c>
    </row>
    <row r="531">
      <c r="A531" s="0" t="inlineStr">
        <is>
          <t>'Reference sheet'!N533</t>
        </is>
      </c>
      <c r="B531" s="0" t="inlineStr">
        <is>
          <t>Structure Storage Bay</t>
        </is>
      </c>
      <c r="C531" s="0" t="inlineStr">
        <is>
          <t>Aqueous Liquids</t>
        </is>
      </c>
      <c r="D531" s="0" t="n">
        <v>72000</v>
      </c>
      <c r="E531" s="0">
        <f>VLOOKUP(C531,'Item Tier Lookup'!$A:$B,2,FALSE)</f>
        <v/>
      </c>
      <c r="F531" s="0">
        <f>VLOOKUP(E531,'Tier Params'!$A:$B,2,FALSE)</f>
        <v/>
      </c>
      <c r="G531" s="0">
        <f>VLOOKUP(E531,'Tier Params'!$A:$C,3,FALSE)</f>
        <v/>
      </c>
      <c r="H531" s="0">
        <f>CEILING(D531/G531,1)</f>
        <v/>
      </c>
      <c r="I531" s="0">
        <f>H531*F531</f>
        <v/>
      </c>
    </row>
    <row r="532">
      <c r="A532" s="0" t="inlineStr">
        <is>
          <t>'Reference sheet'!N534</t>
        </is>
      </c>
      <c r="B532" s="0" t="inlineStr">
        <is>
          <t>Structure Storage Bay</t>
        </is>
      </c>
      <c r="C532" s="0" t="inlineStr">
        <is>
          <t>Electrolytes</t>
        </is>
      </c>
      <c r="D532" s="0" t="n">
        <v>480</v>
      </c>
      <c r="E532" s="0">
        <f>VLOOKUP(C532,'Item Tier Lookup'!$A:$B,2,FALSE)</f>
        <v/>
      </c>
      <c r="F532" s="0">
        <f>VLOOKUP(E532,'Tier Params'!$A:$B,2,FALSE)</f>
        <v/>
      </c>
      <c r="G532" s="0">
        <f>VLOOKUP(E532,'Tier Params'!$A:$C,3,FALSE)</f>
        <v/>
      </c>
      <c r="H532" s="0">
        <f>CEILING(D532/G532,1)</f>
        <v/>
      </c>
      <c r="I532" s="0">
        <f>H532*F532</f>
        <v/>
      </c>
    </row>
    <row r="533">
      <c r="A533" s="0" t="inlineStr">
        <is>
          <t>'Reference sheet'!N535</t>
        </is>
      </c>
      <c r="B533" s="0" t="inlineStr">
        <is>
          <t>Structure Storage Bay</t>
        </is>
      </c>
      <c r="C533" s="0" t="inlineStr">
        <is>
          <t>Ionic Solutions</t>
        </is>
      </c>
      <c r="D533" s="0" t="n">
        <v>72000</v>
      </c>
      <c r="E533" s="0">
        <f>VLOOKUP(C533,'Item Tier Lookup'!$A:$B,2,FALSE)</f>
        <v/>
      </c>
      <c r="F533" s="0">
        <f>VLOOKUP(E533,'Tier Params'!$A:$B,2,FALSE)</f>
        <v/>
      </c>
      <c r="G533" s="0">
        <f>VLOOKUP(E533,'Tier Params'!$A:$C,3,FALSE)</f>
        <v/>
      </c>
      <c r="H533" s="0">
        <f>CEILING(D533/G533,1)</f>
        <v/>
      </c>
      <c r="I533" s="0">
        <f>H533*F533</f>
        <v/>
      </c>
    </row>
    <row r="534">
      <c r="A534" s="0" t="inlineStr">
        <is>
          <t>'Reference sheet'!N536</t>
        </is>
      </c>
      <c r="B534" s="0" t="inlineStr">
        <is>
          <t>Structure Storage Bay</t>
        </is>
      </c>
      <c r="C534" s="0" t="inlineStr">
        <is>
          <t>Oxides</t>
        </is>
      </c>
      <c r="D534" s="0" t="n">
        <v>60</v>
      </c>
      <c r="E534" s="0">
        <f>VLOOKUP(C534,'Item Tier Lookup'!$A:$B,2,FALSE)</f>
        <v/>
      </c>
      <c r="F534" s="0">
        <f>VLOOKUP(E534,'Tier Params'!$A:$B,2,FALSE)</f>
        <v/>
      </c>
      <c r="G534" s="0">
        <f>VLOOKUP(E534,'Tier Params'!$A:$C,3,FALSE)</f>
        <v/>
      </c>
      <c r="H534" s="0">
        <f>CEILING(D534/G534,1)</f>
        <v/>
      </c>
      <c r="I534" s="0">
        <f>H534*F534</f>
        <v/>
      </c>
    </row>
    <row r="535">
      <c r="A535" s="0" t="inlineStr">
        <is>
          <t>'Reference sheet'!N537</t>
        </is>
      </c>
      <c r="B535" s="0" t="inlineStr">
        <is>
          <t>Structure Storage Bay</t>
        </is>
      </c>
      <c r="C535" s="0" t="inlineStr">
        <is>
          <t>Oxidizing Compound</t>
        </is>
      </c>
      <c r="D535" s="0" t="n">
        <v>480</v>
      </c>
      <c r="E535" s="0">
        <f>VLOOKUP(C535,'Item Tier Lookup'!$A:$B,2,FALSE)</f>
        <v/>
      </c>
      <c r="F535" s="0">
        <f>VLOOKUP(E535,'Tier Params'!$A:$B,2,FALSE)</f>
        <v/>
      </c>
      <c r="G535" s="0">
        <f>VLOOKUP(E535,'Tier Params'!$A:$C,3,FALSE)</f>
        <v/>
      </c>
      <c r="H535" s="0">
        <f>CEILING(D535/G535,1)</f>
        <v/>
      </c>
      <c r="I535" s="0">
        <f>H535*F535</f>
        <v/>
      </c>
    </row>
    <row r="536">
      <c r="A536" s="0" t="inlineStr">
        <is>
          <t>'Reference sheet'!N538</t>
        </is>
      </c>
      <c r="B536" s="0" t="inlineStr">
        <is>
          <t>Structure Storage Bay</t>
        </is>
      </c>
      <c r="C536" s="0" t="inlineStr">
        <is>
          <t>Reactive Gas</t>
        </is>
      </c>
      <c r="D536" s="0" t="n">
        <v>72000</v>
      </c>
      <c r="E536" s="0">
        <f>VLOOKUP(C536,'Item Tier Lookup'!$A:$B,2,FALSE)</f>
        <v/>
      </c>
      <c r="F536" s="0">
        <f>VLOOKUP(E536,'Tier Params'!$A:$B,2,FALSE)</f>
        <v/>
      </c>
      <c r="G536" s="0">
        <f>VLOOKUP(E536,'Tier Params'!$A:$C,3,FALSE)</f>
        <v/>
      </c>
      <c r="H536" s="0">
        <f>CEILING(D536/G536,1)</f>
        <v/>
      </c>
      <c r="I536" s="0">
        <f>H536*F536</f>
        <v/>
      </c>
    </row>
    <row r="537">
      <c r="A537" s="0" t="inlineStr">
        <is>
          <t>'Reference sheet'!N539</t>
        </is>
      </c>
      <c r="B537" s="0" t="inlineStr">
        <is>
          <t>Structure Storage Bay</t>
        </is>
      </c>
      <c r="C537" s="0" t="inlineStr">
        <is>
          <t>Oxygen</t>
        </is>
      </c>
      <c r="D537" s="0" t="n">
        <v>480</v>
      </c>
      <c r="E537" s="0">
        <f>VLOOKUP(C537,'Item Tier Lookup'!$A:$B,2,FALSE)</f>
        <v/>
      </c>
      <c r="F537" s="0">
        <f>VLOOKUP(E537,'Tier Params'!$A:$B,2,FALSE)</f>
        <v/>
      </c>
      <c r="G537" s="0">
        <f>VLOOKUP(E537,'Tier Params'!$A:$C,3,FALSE)</f>
        <v/>
      </c>
      <c r="H537" s="0">
        <f>CEILING(D537/G537,1)</f>
        <v/>
      </c>
      <c r="I537" s="0">
        <f>H537*F537</f>
        <v/>
      </c>
    </row>
    <row r="538">
      <c r="A538" s="0" t="inlineStr">
        <is>
          <t>'Reference sheet'!N540</t>
        </is>
      </c>
      <c r="B538" s="0" t="inlineStr">
        <is>
          <t>Structure Storage Bay</t>
        </is>
      </c>
      <c r="C538" s="0" t="inlineStr">
        <is>
          <t>Noble Gas</t>
        </is>
      </c>
      <c r="D538" s="0" t="n">
        <v>72000</v>
      </c>
      <c r="E538" s="0">
        <f>VLOOKUP(C538,'Item Tier Lookup'!$A:$B,2,FALSE)</f>
        <v/>
      </c>
      <c r="F538" s="0">
        <f>VLOOKUP(E538,'Tier Params'!$A:$B,2,FALSE)</f>
        <v/>
      </c>
      <c r="G538" s="0">
        <f>VLOOKUP(E538,'Tier Params'!$A:$C,3,FALSE)</f>
        <v/>
      </c>
      <c r="H538" s="0">
        <f>CEILING(D538/G538,1)</f>
        <v/>
      </c>
      <c r="I538" s="0">
        <f>H538*F538</f>
        <v/>
      </c>
    </row>
    <row r="539">
      <c r="A539" s="0" t="inlineStr">
        <is>
          <t>'Reference sheet'!N541</t>
        </is>
      </c>
      <c r="B539" s="0" t="inlineStr">
        <is>
          <t>Structure Storage Bay</t>
        </is>
      </c>
      <c r="C539" s="0" t="inlineStr">
        <is>
          <t>Bacteria</t>
        </is>
      </c>
      <c r="D539" s="0" t="n">
        <v>120</v>
      </c>
      <c r="E539" s="0">
        <f>VLOOKUP(C539,'Item Tier Lookup'!$A:$B,2,FALSE)</f>
        <v/>
      </c>
      <c r="F539" s="0">
        <f>VLOOKUP(E539,'Tier Params'!$A:$B,2,FALSE)</f>
        <v/>
      </c>
      <c r="G539" s="0">
        <f>VLOOKUP(E539,'Tier Params'!$A:$C,3,FALSE)</f>
        <v/>
      </c>
      <c r="H539" s="0">
        <f>CEILING(D539/G539,1)</f>
        <v/>
      </c>
      <c r="I539" s="0">
        <f>H539*F539</f>
        <v/>
      </c>
    </row>
    <row r="540">
      <c r="A540" s="0" t="inlineStr">
        <is>
          <t>'Reference sheet'!N542</t>
        </is>
      </c>
      <c r="B540" s="0" t="inlineStr">
        <is>
          <t>Structure Storage Bay</t>
        </is>
      </c>
      <c r="C540" s="0" t="inlineStr">
        <is>
          <t>Microorganisms</t>
        </is>
      </c>
      <c r="D540" s="0" t="n">
        <v>18000</v>
      </c>
      <c r="E540" s="0">
        <f>VLOOKUP(C540,'Item Tier Lookup'!$A:$B,2,FALSE)</f>
        <v/>
      </c>
      <c r="F540" s="0">
        <f>VLOOKUP(E540,'Tier Params'!$A:$B,2,FALSE)</f>
        <v/>
      </c>
      <c r="G540" s="0">
        <f>VLOOKUP(E540,'Tier Params'!$A:$C,3,FALSE)</f>
        <v/>
      </c>
      <c r="H540" s="0">
        <f>CEILING(D540/G540,1)</f>
        <v/>
      </c>
      <c r="I540" s="0">
        <f>H540*F540</f>
        <v/>
      </c>
    </row>
    <row r="541">
      <c r="A541" s="0" t="inlineStr">
        <is>
          <t>'Reference sheet'!N543</t>
        </is>
      </c>
      <c r="B541" s="0" t="inlineStr">
        <is>
          <t>Structure Storage Bay</t>
        </is>
      </c>
      <c r="C541" s="0" t="inlineStr">
        <is>
          <t>Robotics</t>
        </is>
      </c>
      <c r="D541" s="0" t="n">
        <v>18</v>
      </c>
      <c r="E541" s="0">
        <f>VLOOKUP(C541,'Item Tier Lookup'!$A:$B,2,FALSE)</f>
        <v/>
      </c>
      <c r="F541" s="0">
        <f>VLOOKUP(E541,'Tier Params'!$A:$B,2,FALSE)</f>
        <v/>
      </c>
      <c r="G541" s="0">
        <f>VLOOKUP(E541,'Tier Params'!$A:$C,3,FALSE)</f>
        <v/>
      </c>
      <c r="H541" s="0">
        <f>CEILING(D541/G541,1)</f>
        <v/>
      </c>
      <c r="I541" s="0">
        <f>H541*F541</f>
        <v/>
      </c>
    </row>
    <row r="542">
      <c r="A542" s="0" t="inlineStr">
        <is>
          <t>'Reference sheet'!N544</t>
        </is>
      </c>
      <c r="B542" s="0" t="inlineStr">
        <is>
          <t>Structure Storage Bay</t>
        </is>
      </c>
      <c r="C542" s="0" t="inlineStr">
        <is>
          <t>Mechanical Parts</t>
        </is>
      </c>
      <c r="D542" s="0" t="n">
        <v>60</v>
      </c>
      <c r="E542" s="0">
        <f>VLOOKUP(C542,'Item Tier Lookup'!$A:$B,2,FALSE)</f>
        <v/>
      </c>
      <c r="F542" s="0">
        <f>VLOOKUP(E542,'Tier Params'!$A:$B,2,FALSE)</f>
        <v/>
      </c>
      <c r="G542" s="0">
        <f>VLOOKUP(E542,'Tier Params'!$A:$C,3,FALSE)</f>
        <v/>
      </c>
      <c r="H542" s="0">
        <f>CEILING(D542/G542,1)</f>
        <v/>
      </c>
      <c r="I542" s="0">
        <f>H542*F542</f>
        <v/>
      </c>
    </row>
    <row r="543">
      <c r="A543" s="0" t="inlineStr">
        <is>
          <t>'Reference sheet'!N545</t>
        </is>
      </c>
      <c r="B543" s="0" t="inlineStr">
        <is>
          <t>Structure Storage Bay</t>
        </is>
      </c>
      <c r="C543" s="0" t="inlineStr">
        <is>
          <t>Reactive Metals</t>
        </is>
      </c>
      <c r="D543" s="0" t="n">
        <v>480</v>
      </c>
      <c r="E543" s="0">
        <f>VLOOKUP(C543,'Item Tier Lookup'!$A:$B,2,FALSE)</f>
        <v/>
      </c>
      <c r="F543" s="0">
        <f>VLOOKUP(E543,'Tier Params'!$A:$B,2,FALSE)</f>
        <v/>
      </c>
      <c r="G543" s="0">
        <f>VLOOKUP(E543,'Tier Params'!$A:$C,3,FALSE)</f>
        <v/>
      </c>
      <c r="H543" s="0">
        <f>CEILING(D543/G543,1)</f>
        <v/>
      </c>
      <c r="I543" s="0">
        <f>H543*F543</f>
        <v/>
      </c>
    </row>
    <row r="544">
      <c r="A544" s="0" t="inlineStr">
        <is>
          <t>'Reference sheet'!N546</t>
        </is>
      </c>
      <c r="B544" s="0" t="inlineStr">
        <is>
          <t>Structure Storage Bay</t>
        </is>
      </c>
      <c r="C544" s="0" t="inlineStr">
        <is>
          <t>Base Metals</t>
        </is>
      </c>
      <c r="D544" s="0" t="n">
        <v>72000</v>
      </c>
      <c r="E544" s="0">
        <f>VLOOKUP(C544,'Item Tier Lookup'!$A:$B,2,FALSE)</f>
        <v/>
      </c>
      <c r="F544" s="0">
        <f>VLOOKUP(E544,'Tier Params'!$A:$B,2,FALSE)</f>
        <v/>
      </c>
      <c r="G544" s="0">
        <f>VLOOKUP(E544,'Tier Params'!$A:$C,3,FALSE)</f>
        <v/>
      </c>
      <c r="H544" s="0">
        <f>CEILING(D544/G544,1)</f>
        <v/>
      </c>
      <c r="I544" s="0">
        <f>H544*F544</f>
        <v/>
      </c>
    </row>
    <row r="545">
      <c r="A545" s="0" t="inlineStr">
        <is>
          <t>'Reference sheet'!N547</t>
        </is>
      </c>
      <c r="B545" s="0" t="inlineStr">
        <is>
          <t>Structure Storage Bay</t>
        </is>
      </c>
      <c r="C545" s="0" t="inlineStr">
        <is>
          <t>Precious Metals</t>
        </is>
      </c>
      <c r="D545" s="0" t="n">
        <v>480</v>
      </c>
      <c r="E545" s="0">
        <f>VLOOKUP(C545,'Item Tier Lookup'!$A:$B,2,FALSE)</f>
        <v/>
      </c>
      <c r="F545" s="0">
        <f>VLOOKUP(E545,'Tier Params'!$A:$B,2,FALSE)</f>
        <v/>
      </c>
      <c r="G545" s="0">
        <f>VLOOKUP(E545,'Tier Params'!$A:$C,3,FALSE)</f>
        <v/>
      </c>
      <c r="H545" s="0">
        <f>CEILING(D545/G545,1)</f>
        <v/>
      </c>
      <c r="I545" s="0">
        <f>H545*F545</f>
        <v/>
      </c>
    </row>
    <row r="546">
      <c r="A546" s="0" t="inlineStr">
        <is>
          <t>'Reference sheet'!N548</t>
        </is>
      </c>
      <c r="B546" s="0" t="inlineStr">
        <is>
          <t>Structure Storage Bay</t>
        </is>
      </c>
      <c r="C546" s="0" t="inlineStr">
        <is>
          <t>Noble Metals</t>
        </is>
      </c>
      <c r="D546" s="0" t="n">
        <v>72000</v>
      </c>
      <c r="E546" s="0">
        <f>VLOOKUP(C546,'Item Tier Lookup'!$A:$B,2,FALSE)</f>
        <v/>
      </c>
      <c r="F546" s="0">
        <f>VLOOKUP(E546,'Tier Params'!$A:$B,2,FALSE)</f>
        <v/>
      </c>
      <c r="G546" s="0">
        <f>VLOOKUP(E546,'Tier Params'!$A:$C,3,FALSE)</f>
        <v/>
      </c>
      <c r="H546" s="0">
        <f>CEILING(D546/G546,1)</f>
        <v/>
      </c>
      <c r="I546" s="0">
        <f>H546*F546</f>
        <v/>
      </c>
    </row>
    <row r="547">
      <c r="A547" s="0" t="inlineStr">
        <is>
          <t>'Reference sheet'!N549</t>
        </is>
      </c>
      <c r="B547" s="0" t="inlineStr">
        <is>
          <t>Structure Storage Bay</t>
        </is>
      </c>
      <c r="C547" s="0" t="inlineStr">
        <is>
          <t>Consumer Electronics</t>
        </is>
      </c>
      <c r="D547" s="0" t="n">
        <v>60</v>
      </c>
      <c r="E547" s="0">
        <f>VLOOKUP(C547,'Item Tier Lookup'!$A:$B,2,FALSE)</f>
        <v/>
      </c>
      <c r="F547" s="0">
        <f>VLOOKUP(E547,'Tier Params'!$A:$B,2,FALSE)</f>
        <v/>
      </c>
      <c r="G547" s="0">
        <f>VLOOKUP(E547,'Tier Params'!$A:$C,3,FALSE)</f>
        <v/>
      </c>
      <c r="H547" s="0">
        <f>CEILING(D547/G547,1)</f>
        <v/>
      </c>
      <c r="I547" s="0">
        <f>H547*F547</f>
        <v/>
      </c>
    </row>
    <row r="548">
      <c r="A548" s="0" t="inlineStr">
        <is>
          <t>'Reference sheet'!N550</t>
        </is>
      </c>
      <c r="B548" s="0" t="inlineStr">
        <is>
          <t>Structure Storage Bay</t>
        </is>
      </c>
      <c r="C548" s="0" t="inlineStr">
        <is>
          <t>Toxic Metals</t>
        </is>
      </c>
      <c r="D548" s="0" t="n">
        <v>480</v>
      </c>
      <c r="E548" s="0">
        <f>VLOOKUP(C548,'Item Tier Lookup'!$A:$B,2,FALSE)</f>
        <v/>
      </c>
      <c r="F548" s="0">
        <f>VLOOKUP(E548,'Tier Params'!$A:$B,2,FALSE)</f>
        <v/>
      </c>
      <c r="G548" s="0">
        <f>VLOOKUP(E548,'Tier Params'!$A:$C,3,FALSE)</f>
        <v/>
      </c>
      <c r="H548" s="0">
        <f>CEILING(D548/G548,1)</f>
        <v/>
      </c>
      <c r="I548" s="0">
        <f>H548*F548</f>
        <v/>
      </c>
    </row>
    <row r="549">
      <c r="A549" s="0" t="inlineStr">
        <is>
          <t>'Reference sheet'!N551</t>
        </is>
      </c>
      <c r="B549" s="0" t="inlineStr">
        <is>
          <t>Structure Storage Bay</t>
        </is>
      </c>
      <c r="C549" s="0" t="inlineStr">
        <is>
          <t>Heavy Metals</t>
        </is>
      </c>
      <c r="D549" s="0" t="n">
        <v>72000</v>
      </c>
      <c r="E549" s="0">
        <f>VLOOKUP(C549,'Item Tier Lookup'!$A:$B,2,FALSE)</f>
        <v/>
      </c>
      <c r="F549" s="0">
        <f>VLOOKUP(E549,'Tier Params'!$A:$B,2,FALSE)</f>
        <v/>
      </c>
      <c r="G549" s="0">
        <f>VLOOKUP(E549,'Tier Params'!$A:$C,3,FALSE)</f>
        <v/>
      </c>
      <c r="H549" s="0">
        <f>CEILING(D549/G549,1)</f>
        <v/>
      </c>
      <c r="I549" s="0">
        <f>H549*F549</f>
        <v/>
      </c>
    </row>
    <row r="550">
      <c r="A550" s="0" t="inlineStr">
        <is>
          <t>'Reference sheet'!N552</t>
        </is>
      </c>
      <c r="B550" s="0" t="inlineStr">
        <is>
          <t>Structure Storage Bay</t>
        </is>
      </c>
      <c r="C550" s="0" t="inlineStr">
        <is>
          <t>Chiral Structures</t>
        </is>
      </c>
      <c r="D550" s="0" t="n">
        <v>480</v>
      </c>
      <c r="E550" s="0">
        <f>VLOOKUP(C550,'Item Tier Lookup'!$A:$B,2,FALSE)</f>
        <v/>
      </c>
      <c r="F550" s="0">
        <f>VLOOKUP(E550,'Tier Params'!$A:$B,2,FALSE)</f>
        <v/>
      </c>
      <c r="G550" s="0">
        <f>VLOOKUP(E550,'Tier Params'!$A:$C,3,FALSE)</f>
        <v/>
      </c>
      <c r="H550" s="0">
        <f>CEILING(D550/G550,1)</f>
        <v/>
      </c>
      <c r="I550" s="0">
        <f>H550*F550</f>
        <v/>
      </c>
    </row>
    <row r="551">
      <c r="A551" s="0" t="inlineStr">
        <is>
          <t>'Reference sheet'!N553</t>
        </is>
      </c>
      <c r="B551" s="0" t="inlineStr">
        <is>
          <t>Structure Storage Bay</t>
        </is>
      </c>
      <c r="C551" s="0" t="inlineStr">
        <is>
          <t>Non-CS Crystals</t>
        </is>
      </c>
      <c r="D551" s="0" t="n">
        <v>72000</v>
      </c>
      <c r="E551" s="0">
        <f>VLOOKUP(C551,'Item Tier Lookup'!$A:$B,2,FALSE)</f>
        <v/>
      </c>
      <c r="F551" s="0">
        <f>VLOOKUP(E551,'Tier Params'!$A:$B,2,FALSE)</f>
        <v/>
      </c>
      <c r="G551" s="0">
        <f>VLOOKUP(E551,'Tier Params'!$A:$C,3,FALSE)</f>
        <v/>
      </c>
      <c r="H551" s="0">
        <f>CEILING(D551/G551,1)</f>
        <v/>
      </c>
      <c r="I551" s="0">
        <f>H551*F551</f>
        <v/>
      </c>
    </row>
    <row r="552">
      <c r="A552" s="0" t="inlineStr">
        <is>
          <t>'Reference sheet'!N554</t>
        </is>
      </c>
      <c r="B552" s="0" t="inlineStr">
        <is>
          <t>Structure Storage Bay</t>
        </is>
      </c>
      <c r="C552" s="0" t="inlineStr">
        <is>
          <t>Sterile Conduits</t>
        </is>
      </c>
      <c r="D552" s="0" t="n">
        <v>3</v>
      </c>
      <c r="E552" s="0">
        <f>VLOOKUP(C552,'Item Tier Lookup'!$A:$B,2,FALSE)</f>
        <v/>
      </c>
      <c r="F552" s="0">
        <f>VLOOKUP(E552,'Tier Params'!$A:$B,2,FALSE)</f>
        <v/>
      </c>
      <c r="G552" s="0">
        <f>VLOOKUP(E552,'Tier Params'!$A:$C,3,FALSE)</f>
        <v/>
      </c>
      <c r="H552" s="0">
        <f>CEILING(D552/G552,1)</f>
        <v/>
      </c>
      <c r="I552" s="0">
        <f>H552*F552</f>
        <v/>
      </c>
    </row>
    <row r="553">
      <c r="A553" s="0" t="inlineStr">
        <is>
          <t>'Reference sheet'!N555</t>
        </is>
      </c>
      <c r="B553" s="0" t="inlineStr">
        <is>
          <t>Structure Storage Bay</t>
        </is>
      </c>
      <c r="C553" s="0" t="inlineStr">
        <is>
          <t>Water</t>
        </is>
      </c>
      <c r="D553" s="0" t="n">
        <v>120</v>
      </c>
      <c r="E553" s="0">
        <f>VLOOKUP(C553,'Item Tier Lookup'!$A:$B,2,FALSE)</f>
        <v/>
      </c>
      <c r="F553" s="0">
        <f>VLOOKUP(E553,'Tier Params'!$A:$B,2,FALSE)</f>
        <v/>
      </c>
      <c r="G553" s="0">
        <f>VLOOKUP(E553,'Tier Params'!$A:$C,3,FALSE)</f>
        <v/>
      </c>
      <c r="H553" s="0">
        <f>CEILING(D553/G553,1)</f>
        <v/>
      </c>
      <c r="I553" s="0">
        <f>H553*F553</f>
        <v/>
      </c>
    </row>
    <row r="554">
      <c r="A554" s="0" t="inlineStr">
        <is>
          <t>'Reference sheet'!N556</t>
        </is>
      </c>
      <c r="B554" s="0" t="inlineStr">
        <is>
          <t>Structure Storage Bay</t>
        </is>
      </c>
      <c r="C554" s="0" t="inlineStr">
        <is>
          <t>Aqueous Liquids</t>
        </is>
      </c>
      <c r="D554" s="0" t="n">
        <v>18000</v>
      </c>
      <c r="E554" s="0">
        <f>VLOOKUP(C554,'Item Tier Lookup'!$A:$B,2,FALSE)</f>
        <v/>
      </c>
      <c r="F554" s="0">
        <f>VLOOKUP(E554,'Tier Params'!$A:$B,2,FALSE)</f>
        <v/>
      </c>
      <c r="G554" s="0">
        <f>VLOOKUP(E554,'Tier Params'!$A:$C,3,FALSE)</f>
        <v/>
      </c>
      <c r="H554" s="0">
        <f>CEILING(D554/G554,1)</f>
        <v/>
      </c>
      <c r="I554" s="0">
        <f>H554*F554</f>
        <v/>
      </c>
    </row>
    <row r="555">
      <c r="A555" s="0" t="inlineStr">
        <is>
          <t>'Reference sheet'!N557</t>
        </is>
      </c>
      <c r="B555" s="0" t="inlineStr">
        <is>
          <t>Structure Storage Bay</t>
        </is>
      </c>
      <c r="C555" s="0" t="inlineStr">
        <is>
          <t>Vaccines</t>
        </is>
      </c>
      <c r="D555" s="0" t="n">
        <v>18</v>
      </c>
      <c r="E555" s="0">
        <f>VLOOKUP(C555,'Item Tier Lookup'!$A:$B,2,FALSE)</f>
        <v/>
      </c>
      <c r="F555" s="0">
        <f>VLOOKUP(E555,'Tier Params'!$A:$B,2,FALSE)</f>
        <v/>
      </c>
      <c r="G555" s="0">
        <f>VLOOKUP(E555,'Tier Params'!$A:$C,3,FALSE)</f>
        <v/>
      </c>
      <c r="H555" s="0">
        <f>CEILING(D555/G555,1)</f>
        <v/>
      </c>
      <c r="I555" s="0">
        <f>H555*F555</f>
        <v/>
      </c>
    </row>
    <row r="556">
      <c r="A556" s="0" t="inlineStr">
        <is>
          <t>'Reference sheet'!N558</t>
        </is>
      </c>
      <c r="B556" s="0" t="inlineStr">
        <is>
          <t>Structure Storage Bay</t>
        </is>
      </c>
      <c r="C556" s="0" t="inlineStr">
        <is>
          <t>Livestock</t>
        </is>
      </c>
      <c r="D556" s="0" t="n">
        <v>60</v>
      </c>
      <c r="E556" s="0">
        <f>VLOOKUP(C556,'Item Tier Lookup'!$A:$B,2,FALSE)</f>
        <v/>
      </c>
      <c r="F556" s="0">
        <f>VLOOKUP(E556,'Tier Params'!$A:$B,2,FALSE)</f>
        <v/>
      </c>
      <c r="G556" s="0">
        <f>VLOOKUP(E556,'Tier Params'!$A:$C,3,FALSE)</f>
        <v/>
      </c>
      <c r="H556" s="0">
        <f>CEILING(D556/G556,1)</f>
        <v/>
      </c>
      <c r="I556" s="0">
        <f>H556*F556</f>
        <v/>
      </c>
    </row>
    <row r="557">
      <c r="A557" s="0" t="inlineStr">
        <is>
          <t>'Reference sheet'!N559</t>
        </is>
      </c>
      <c r="B557" s="0" t="inlineStr">
        <is>
          <t>Structure Storage Bay</t>
        </is>
      </c>
      <c r="C557" s="0" t="inlineStr">
        <is>
          <t>Proteins</t>
        </is>
      </c>
      <c r="D557" s="0" t="n">
        <v>480</v>
      </c>
      <c r="E557" s="0">
        <f>VLOOKUP(C557,'Item Tier Lookup'!$A:$B,2,FALSE)</f>
        <v/>
      </c>
      <c r="F557" s="0">
        <f>VLOOKUP(E557,'Tier Params'!$A:$B,2,FALSE)</f>
        <v/>
      </c>
      <c r="G557" s="0">
        <f>VLOOKUP(E557,'Tier Params'!$A:$C,3,FALSE)</f>
        <v/>
      </c>
      <c r="H557" s="0">
        <f>CEILING(D557/G557,1)</f>
        <v/>
      </c>
      <c r="I557" s="0">
        <f>H557*F557</f>
        <v/>
      </c>
    </row>
    <row r="558">
      <c r="A558" s="0" t="inlineStr">
        <is>
          <t>'Reference sheet'!N560</t>
        </is>
      </c>
      <c r="B558" s="0" t="inlineStr">
        <is>
          <t>Structure Storage Bay</t>
        </is>
      </c>
      <c r="C558" s="0" t="inlineStr">
        <is>
          <t>Complex Organisms</t>
        </is>
      </c>
      <c r="D558" s="0" t="n">
        <v>72000</v>
      </c>
      <c r="E558" s="0">
        <f>VLOOKUP(C558,'Item Tier Lookup'!$A:$B,2,FALSE)</f>
        <v/>
      </c>
      <c r="F558" s="0">
        <f>VLOOKUP(E558,'Tier Params'!$A:$B,2,FALSE)</f>
        <v/>
      </c>
      <c r="G558" s="0">
        <f>VLOOKUP(E558,'Tier Params'!$A:$C,3,FALSE)</f>
        <v/>
      </c>
      <c r="H558" s="0">
        <f>CEILING(D558/G558,1)</f>
        <v/>
      </c>
      <c r="I558" s="0">
        <f>H558*F558</f>
        <v/>
      </c>
    </row>
    <row r="559">
      <c r="A559" s="0" t="inlineStr">
        <is>
          <t>'Reference sheet'!N561</t>
        </is>
      </c>
      <c r="B559" s="0" t="inlineStr">
        <is>
          <t>Structure Storage Bay</t>
        </is>
      </c>
      <c r="C559" s="0" t="inlineStr">
        <is>
          <t>Biofuels</t>
        </is>
      </c>
      <c r="D559" s="0" t="n">
        <v>480</v>
      </c>
      <c r="E559" s="0">
        <f>VLOOKUP(C559,'Item Tier Lookup'!$A:$B,2,FALSE)</f>
        <v/>
      </c>
      <c r="F559" s="0">
        <f>VLOOKUP(E559,'Tier Params'!$A:$B,2,FALSE)</f>
        <v/>
      </c>
      <c r="G559" s="0">
        <f>VLOOKUP(E559,'Tier Params'!$A:$C,3,FALSE)</f>
        <v/>
      </c>
      <c r="H559" s="0">
        <f>CEILING(D559/G559,1)</f>
        <v/>
      </c>
      <c r="I559" s="0">
        <f>H559*F559</f>
        <v/>
      </c>
    </row>
    <row r="560">
      <c r="A560" s="0" t="inlineStr">
        <is>
          <t>'Reference sheet'!N562</t>
        </is>
      </c>
      <c r="B560" s="0" t="inlineStr">
        <is>
          <t>Structure Storage Bay</t>
        </is>
      </c>
      <c r="C560" s="0" t="inlineStr">
        <is>
          <t>Carbon Compounds</t>
        </is>
      </c>
      <c r="D560" s="0" t="n">
        <v>72000</v>
      </c>
      <c r="E560" s="0">
        <f>VLOOKUP(C560,'Item Tier Lookup'!$A:$B,2,FALSE)</f>
        <v/>
      </c>
      <c r="F560" s="0">
        <f>VLOOKUP(E560,'Tier Params'!$A:$B,2,FALSE)</f>
        <v/>
      </c>
      <c r="G560" s="0">
        <f>VLOOKUP(E560,'Tier Params'!$A:$C,3,FALSE)</f>
        <v/>
      </c>
      <c r="H560" s="0">
        <f>CEILING(D560/G560,1)</f>
        <v/>
      </c>
      <c r="I560" s="0">
        <f>H560*F560</f>
        <v/>
      </c>
    </row>
    <row r="561">
      <c r="A561" s="0" t="inlineStr">
        <is>
          <t>'Reference sheet'!N563</t>
        </is>
      </c>
      <c r="B561" s="0" t="inlineStr">
        <is>
          <t>Structure Storage Bay</t>
        </is>
      </c>
      <c r="C561" s="0" t="inlineStr">
        <is>
          <t>Viral Agent</t>
        </is>
      </c>
      <c r="D561" s="0" t="n">
        <v>60</v>
      </c>
      <c r="E561" s="0">
        <f>VLOOKUP(C561,'Item Tier Lookup'!$A:$B,2,FALSE)</f>
        <v/>
      </c>
      <c r="F561" s="0">
        <f>VLOOKUP(E561,'Tier Params'!$A:$B,2,FALSE)</f>
        <v/>
      </c>
      <c r="G561" s="0">
        <f>VLOOKUP(E561,'Tier Params'!$A:$C,3,FALSE)</f>
        <v/>
      </c>
      <c r="H561" s="0">
        <f>CEILING(D561/G561,1)</f>
        <v/>
      </c>
      <c r="I561" s="0">
        <f>H561*F561</f>
        <v/>
      </c>
    </row>
    <row r="562">
      <c r="A562" s="0" t="inlineStr">
        <is>
          <t>'Reference sheet'!N564</t>
        </is>
      </c>
      <c r="B562" s="0" t="inlineStr">
        <is>
          <t>Structure Storage Bay</t>
        </is>
      </c>
      <c r="C562" s="0" t="inlineStr">
        <is>
          <t>Bacteria</t>
        </is>
      </c>
      <c r="D562" s="0" t="n">
        <v>480</v>
      </c>
      <c r="E562" s="0">
        <f>VLOOKUP(C562,'Item Tier Lookup'!$A:$B,2,FALSE)</f>
        <v/>
      </c>
      <c r="F562" s="0">
        <f>VLOOKUP(E562,'Tier Params'!$A:$B,2,FALSE)</f>
        <v/>
      </c>
      <c r="G562" s="0">
        <f>VLOOKUP(E562,'Tier Params'!$A:$C,3,FALSE)</f>
        <v/>
      </c>
      <c r="H562" s="0">
        <f>CEILING(D562/G562,1)</f>
        <v/>
      </c>
      <c r="I562" s="0">
        <f>H562*F562</f>
        <v/>
      </c>
    </row>
    <row r="563">
      <c r="A563" s="0" t="inlineStr">
        <is>
          <t>'Reference sheet'!N565</t>
        </is>
      </c>
      <c r="B563" s="0" t="inlineStr">
        <is>
          <t>Structure Storage Bay</t>
        </is>
      </c>
      <c r="C563" s="0" t="inlineStr">
        <is>
          <t>Microorganisms</t>
        </is>
      </c>
      <c r="D563" s="0" t="n">
        <v>72000</v>
      </c>
      <c r="E563" s="0">
        <f>VLOOKUP(C563,'Item Tier Lookup'!$A:$B,2,FALSE)</f>
        <v/>
      </c>
      <c r="F563" s="0">
        <f>VLOOKUP(E563,'Tier Params'!$A:$B,2,FALSE)</f>
        <v/>
      </c>
      <c r="G563" s="0">
        <f>VLOOKUP(E563,'Tier Params'!$A:$C,3,FALSE)</f>
        <v/>
      </c>
      <c r="H563" s="0">
        <f>CEILING(D563/G563,1)</f>
        <v/>
      </c>
      <c r="I563" s="0">
        <f>H563*F563</f>
        <v/>
      </c>
    </row>
    <row r="564">
      <c r="A564" s="0" t="inlineStr">
        <is>
          <t>'Reference sheet'!N566</t>
        </is>
      </c>
      <c r="B564" s="0" t="inlineStr">
        <is>
          <t>Structure Storage Bay</t>
        </is>
      </c>
      <c r="C564" s="0" t="inlineStr">
        <is>
          <t>Biomass</t>
        </is>
      </c>
      <c r="D564" s="0" t="n">
        <v>480</v>
      </c>
      <c r="E564" s="0">
        <f>VLOOKUP(C564,'Item Tier Lookup'!$A:$B,2,FALSE)</f>
        <v/>
      </c>
      <c r="F564" s="0">
        <f>VLOOKUP(E564,'Tier Params'!$A:$B,2,FALSE)</f>
        <v/>
      </c>
      <c r="G564" s="0">
        <f>VLOOKUP(E564,'Tier Params'!$A:$C,3,FALSE)</f>
        <v/>
      </c>
      <c r="H564" s="0">
        <f>CEILING(D564/G564,1)</f>
        <v/>
      </c>
      <c r="I564" s="0">
        <f>H564*F564</f>
        <v/>
      </c>
    </row>
    <row r="565">
      <c r="A565" s="0" t="inlineStr">
        <is>
          <t>'Reference sheet'!N567</t>
        </is>
      </c>
      <c r="B565" s="0" t="inlineStr">
        <is>
          <t>Structure Storage Bay</t>
        </is>
      </c>
      <c r="C565" s="0" t="inlineStr">
        <is>
          <t>Planktic Colonies</t>
        </is>
      </c>
      <c r="D565" s="0" t="n">
        <v>72000</v>
      </c>
      <c r="E565" s="0">
        <f>VLOOKUP(C565,'Item Tier Lookup'!$A:$B,2,FALSE)</f>
        <v/>
      </c>
      <c r="F565" s="0">
        <f>VLOOKUP(E565,'Tier Params'!$A:$B,2,FALSE)</f>
        <v/>
      </c>
      <c r="G565" s="0">
        <f>VLOOKUP(E565,'Tier Params'!$A:$C,3,FALSE)</f>
        <v/>
      </c>
      <c r="H565" s="0">
        <f>CEILING(D565/G565,1)</f>
        <v/>
      </c>
      <c r="I565" s="0">
        <f>H565*F565</f>
        <v/>
      </c>
    </row>
    <row r="566">
      <c r="A566" s="0" t="inlineStr">
        <is>
          <t>'Reference sheet'!N568</t>
        </is>
      </c>
      <c r="B566" s="0" t="inlineStr">
        <is>
          <t>Structure Storage Bay</t>
        </is>
      </c>
      <c r="C566" s="0" t="inlineStr">
        <is>
          <t>Smartfab Units</t>
        </is>
      </c>
      <c r="D566" s="0" t="n">
        <v>18</v>
      </c>
      <c r="E566" s="0">
        <f>VLOOKUP(C566,'Item Tier Lookup'!$A:$B,2,FALSE)</f>
        <v/>
      </c>
      <c r="F566" s="0">
        <f>VLOOKUP(E566,'Tier Params'!$A:$B,2,FALSE)</f>
        <v/>
      </c>
      <c r="G566" s="0">
        <f>VLOOKUP(E566,'Tier Params'!$A:$C,3,FALSE)</f>
        <v/>
      </c>
      <c r="H566" s="0">
        <f>CEILING(D566/G566,1)</f>
        <v/>
      </c>
      <c r="I566" s="0">
        <f>H566*F566</f>
        <v/>
      </c>
    </row>
    <row r="567">
      <c r="A567" s="0" t="inlineStr">
        <is>
          <t>'Reference sheet'!N569</t>
        </is>
      </c>
      <c r="B567" s="0" t="inlineStr">
        <is>
          <t>Structure Storage Bay</t>
        </is>
      </c>
      <c r="C567" s="0" t="inlineStr">
        <is>
          <t>Miniature Electronics</t>
        </is>
      </c>
      <c r="D567" s="0" t="n">
        <v>60</v>
      </c>
      <c r="E567" s="0">
        <f>VLOOKUP(C567,'Item Tier Lookup'!$A:$B,2,FALSE)</f>
        <v/>
      </c>
      <c r="F567" s="0">
        <f>VLOOKUP(E567,'Tier Params'!$A:$B,2,FALSE)</f>
        <v/>
      </c>
      <c r="G567" s="0">
        <f>VLOOKUP(E567,'Tier Params'!$A:$C,3,FALSE)</f>
        <v/>
      </c>
      <c r="H567" s="0">
        <f>CEILING(D567/G567,1)</f>
        <v/>
      </c>
      <c r="I567" s="0">
        <f>H567*F567</f>
        <v/>
      </c>
    </row>
    <row r="568">
      <c r="A568" s="0" t="inlineStr">
        <is>
          <t>'Reference sheet'!N570</t>
        </is>
      </c>
      <c r="B568" s="0" t="inlineStr">
        <is>
          <t>Structure Storage Bay</t>
        </is>
      </c>
      <c r="C568" s="0" t="inlineStr">
        <is>
          <t>Chiral Structures</t>
        </is>
      </c>
      <c r="D568" s="0" t="n">
        <v>480</v>
      </c>
      <c r="E568" s="0">
        <f>VLOOKUP(C568,'Item Tier Lookup'!$A:$B,2,FALSE)</f>
        <v/>
      </c>
      <c r="F568" s="0">
        <f>VLOOKUP(E568,'Tier Params'!$A:$B,2,FALSE)</f>
        <v/>
      </c>
      <c r="G568" s="0">
        <f>VLOOKUP(E568,'Tier Params'!$A:$C,3,FALSE)</f>
        <v/>
      </c>
      <c r="H568" s="0">
        <f>CEILING(D568/G568,1)</f>
        <v/>
      </c>
      <c r="I568" s="0">
        <f>H568*F568</f>
        <v/>
      </c>
    </row>
    <row r="569">
      <c r="A569" s="0" t="inlineStr">
        <is>
          <t>'Reference sheet'!N571</t>
        </is>
      </c>
      <c r="B569" s="0" t="inlineStr">
        <is>
          <t>Structure Storage Bay</t>
        </is>
      </c>
      <c r="C569" s="0" t="inlineStr">
        <is>
          <t>Non-CS Crystals</t>
        </is>
      </c>
      <c r="D569" s="0" t="n">
        <v>72000</v>
      </c>
      <c r="E569" s="0">
        <f>VLOOKUP(C569,'Item Tier Lookup'!$A:$B,2,FALSE)</f>
        <v/>
      </c>
      <c r="F569" s="0">
        <f>VLOOKUP(E569,'Tier Params'!$A:$B,2,FALSE)</f>
        <v/>
      </c>
      <c r="G569" s="0">
        <f>VLOOKUP(E569,'Tier Params'!$A:$C,3,FALSE)</f>
        <v/>
      </c>
      <c r="H569" s="0">
        <f>CEILING(D569/G569,1)</f>
        <v/>
      </c>
      <c r="I569" s="0">
        <f>H569*F569</f>
        <v/>
      </c>
    </row>
    <row r="570">
      <c r="A570" s="0" t="inlineStr">
        <is>
          <t>'Reference sheet'!N572</t>
        </is>
      </c>
      <c r="B570" s="0" t="inlineStr">
        <is>
          <t>Structure Storage Bay</t>
        </is>
      </c>
      <c r="C570" s="0" t="inlineStr">
        <is>
          <t>Silicon</t>
        </is>
      </c>
      <c r="D570" s="0" t="n">
        <v>480</v>
      </c>
      <c r="E570" s="0">
        <f>VLOOKUP(C570,'Item Tier Lookup'!$A:$B,2,FALSE)</f>
        <v/>
      </c>
      <c r="F570" s="0">
        <f>VLOOKUP(E570,'Tier Params'!$A:$B,2,FALSE)</f>
        <v/>
      </c>
      <c r="G570" s="0">
        <f>VLOOKUP(E570,'Tier Params'!$A:$C,3,FALSE)</f>
        <v/>
      </c>
      <c r="H570" s="0">
        <f>CEILING(D570/G570,1)</f>
        <v/>
      </c>
      <c r="I570" s="0">
        <f>H570*F570</f>
        <v/>
      </c>
    </row>
    <row r="571">
      <c r="A571" s="0" t="inlineStr">
        <is>
          <t>'Reference sheet'!N573</t>
        </is>
      </c>
      <c r="B571" s="0" t="inlineStr">
        <is>
          <t>Structure Storage Bay</t>
        </is>
      </c>
      <c r="C571" s="0" t="inlineStr">
        <is>
          <t>Felsic Magma</t>
        </is>
      </c>
      <c r="D571" s="0" t="n">
        <v>72000</v>
      </c>
      <c r="E571" s="0">
        <f>VLOOKUP(C571,'Item Tier Lookup'!$A:$B,2,FALSE)</f>
        <v/>
      </c>
      <c r="F571" s="0">
        <f>VLOOKUP(E571,'Tier Params'!$A:$B,2,FALSE)</f>
        <v/>
      </c>
      <c r="G571" s="0">
        <f>VLOOKUP(E571,'Tier Params'!$A:$C,3,FALSE)</f>
        <v/>
      </c>
      <c r="H571" s="0">
        <f>CEILING(D571/G571,1)</f>
        <v/>
      </c>
      <c r="I571" s="0">
        <f>H571*F571</f>
        <v/>
      </c>
    </row>
    <row r="572">
      <c r="A572" s="0" t="inlineStr">
        <is>
          <t>'Reference sheet'!N574</t>
        </is>
      </c>
      <c r="B572" s="0" t="inlineStr">
        <is>
          <t>Structure Storage Bay</t>
        </is>
      </c>
      <c r="C572" s="0" t="inlineStr">
        <is>
          <t>Construction Blocks</t>
        </is>
      </c>
      <c r="D572" s="0" t="n">
        <v>60</v>
      </c>
      <c r="E572" s="0">
        <f>VLOOKUP(C572,'Item Tier Lookup'!$A:$B,2,FALSE)</f>
        <v/>
      </c>
      <c r="F572" s="0">
        <f>VLOOKUP(E572,'Tier Params'!$A:$B,2,FALSE)</f>
        <v/>
      </c>
      <c r="G572" s="0">
        <f>VLOOKUP(E572,'Tier Params'!$A:$C,3,FALSE)</f>
        <v/>
      </c>
      <c r="H572" s="0">
        <f>CEILING(D572/G572,1)</f>
        <v/>
      </c>
      <c r="I572" s="0">
        <f>H572*F572</f>
        <v/>
      </c>
    </row>
    <row r="573">
      <c r="A573" s="0" t="inlineStr">
        <is>
          <t>'Reference sheet'!N575</t>
        </is>
      </c>
      <c r="B573" s="0" t="inlineStr">
        <is>
          <t>Structure Storage Bay</t>
        </is>
      </c>
      <c r="C573" s="0" t="inlineStr">
        <is>
          <t>Toxic Metals</t>
        </is>
      </c>
      <c r="D573" s="0" t="n">
        <v>480</v>
      </c>
      <c r="E573" s="0">
        <f>VLOOKUP(C573,'Item Tier Lookup'!$A:$B,2,FALSE)</f>
        <v/>
      </c>
      <c r="F573" s="0">
        <f>VLOOKUP(E573,'Tier Params'!$A:$B,2,FALSE)</f>
        <v/>
      </c>
      <c r="G573" s="0">
        <f>VLOOKUP(E573,'Tier Params'!$A:$C,3,FALSE)</f>
        <v/>
      </c>
      <c r="H573" s="0">
        <f>CEILING(D573/G573,1)</f>
        <v/>
      </c>
      <c r="I573" s="0">
        <f>H573*F573</f>
        <v/>
      </c>
    </row>
    <row r="574">
      <c r="A574" s="0" t="inlineStr">
        <is>
          <t>'Reference sheet'!N576</t>
        </is>
      </c>
      <c r="B574" s="0" t="inlineStr">
        <is>
          <t>Structure Storage Bay</t>
        </is>
      </c>
      <c r="C574" s="0" t="inlineStr">
        <is>
          <t>Heavy Metals</t>
        </is>
      </c>
      <c r="D574" s="0" t="n">
        <v>72000</v>
      </c>
      <c r="E574" s="0">
        <f>VLOOKUP(C574,'Item Tier Lookup'!$A:$B,2,FALSE)</f>
        <v/>
      </c>
      <c r="F574" s="0">
        <f>VLOOKUP(E574,'Tier Params'!$A:$B,2,FALSE)</f>
        <v/>
      </c>
      <c r="G574" s="0">
        <f>VLOOKUP(E574,'Tier Params'!$A:$C,3,FALSE)</f>
        <v/>
      </c>
      <c r="H574" s="0">
        <f>CEILING(D574/G574,1)</f>
        <v/>
      </c>
      <c r="I574" s="0">
        <f>H574*F574</f>
        <v/>
      </c>
    </row>
    <row r="575">
      <c r="A575" s="0" t="inlineStr">
        <is>
          <t>'Reference sheet'!N577</t>
        </is>
      </c>
      <c r="B575" s="0" t="inlineStr">
        <is>
          <t>Structure Storage Bay</t>
        </is>
      </c>
      <c r="C575" s="0" t="inlineStr">
        <is>
          <t>Reactive Metals</t>
        </is>
      </c>
      <c r="D575" s="0" t="n">
        <v>480</v>
      </c>
      <c r="E575" s="0">
        <f>VLOOKUP(C575,'Item Tier Lookup'!$A:$B,2,FALSE)</f>
        <v/>
      </c>
      <c r="F575" s="0">
        <f>VLOOKUP(E575,'Tier Params'!$A:$B,2,FALSE)</f>
        <v/>
      </c>
      <c r="G575" s="0">
        <f>VLOOKUP(E575,'Tier Params'!$A:$C,3,FALSE)</f>
        <v/>
      </c>
      <c r="H575" s="0">
        <f>CEILING(D575/G575,1)</f>
        <v/>
      </c>
      <c r="I575" s="0">
        <f>H575*F575</f>
        <v/>
      </c>
    </row>
    <row r="576">
      <c r="A576" s="0" t="inlineStr">
        <is>
          <t>'Reference sheet'!N578</t>
        </is>
      </c>
      <c r="B576" s="0" t="inlineStr">
        <is>
          <t>Structure Storage Bay</t>
        </is>
      </c>
      <c r="C576" s="0" t="inlineStr">
        <is>
          <t>Base Metals</t>
        </is>
      </c>
      <c r="D576" s="0" t="n">
        <v>72000</v>
      </c>
      <c r="E576" s="0">
        <f>VLOOKUP(C576,'Item Tier Lookup'!$A:$B,2,FALSE)</f>
        <v/>
      </c>
      <c r="F576" s="0">
        <f>VLOOKUP(E576,'Tier Params'!$A:$B,2,FALSE)</f>
        <v/>
      </c>
      <c r="G576" s="0">
        <f>VLOOKUP(E576,'Tier Params'!$A:$C,3,FALSE)</f>
        <v/>
      </c>
      <c r="H576" s="0">
        <f>CEILING(D576/G576,1)</f>
        <v/>
      </c>
      <c r="I576" s="0">
        <f>H576*F576</f>
        <v/>
      </c>
    </row>
    <row r="577">
      <c r="A577" s="0" t="inlineStr">
        <is>
          <t>'Reference sheet'!N579</t>
        </is>
      </c>
      <c r="B577" s="0" t="inlineStr">
        <is>
          <t>Structure Storage Bay</t>
        </is>
      </c>
      <c r="C577" s="0" t="inlineStr">
        <is>
          <t>Wetware Mainframe</t>
        </is>
      </c>
      <c r="D577" s="0" t="n">
        <v>5</v>
      </c>
      <c r="E577" s="0">
        <f>VLOOKUP(C577,'Item Tier Lookup'!$A:$B,2,FALSE)</f>
        <v/>
      </c>
      <c r="F577" s="0">
        <f>VLOOKUP(E577,'Tier Params'!$A:$B,2,FALSE)</f>
        <v/>
      </c>
      <c r="G577" s="0">
        <f>VLOOKUP(E577,'Tier Params'!$A:$C,3,FALSE)</f>
        <v/>
      </c>
      <c r="H577" s="0">
        <f>CEILING(D577/G577,1)</f>
        <v/>
      </c>
      <c r="I577" s="0">
        <f>H577*F577</f>
        <v/>
      </c>
    </row>
    <row r="578">
      <c r="A578" s="0" t="inlineStr">
        <is>
          <t>'Reference sheet'!N580</t>
        </is>
      </c>
      <c r="B578" s="0" t="inlineStr">
        <is>
          <t>Structure Storage Bay</t>
        </is>
      </c>
      <c r="C578" s="0" t="inlineStr">
        <is>
          <t>Supercomputers</t>
        </is>
      </c>
      <c r="D578" s="0" t="n">
        <v>30</v>
      </c>
      <c r="E578" s="0">
        <f>VLOOKUP(C578,'Item Tier Lookup'!$A:$B,2,FALSE)</f>
        <v/>
      </c>
      <c r="F578" s="0">
        <f>VLOOKUP(E578,'Tier Params'!$A:$B,2,FALSE)</f>
        <v/>
      </c>
      <c r="G578" s="0">
        <f>VLOOKUP(E578,'Tier Params'!$A:$C,3,FALSE)</f>
        <v/>
      </c>
      <c r="H578" s="0">
        <f>CEILING(D578/G578,1)</f>
        <v/>
      </c>
      <c r="I578" s="0">
        <f>H578*F578</f>
        <v/>
      </c>
    </row>
    <row r="579">
      <c r="A579" s="0" t="inlineStr">
        <is>
          <t>'Reference sheet'!N581</t>
        </is>
      </c>
      <c r="B579" s="0" t="inlineStr">
        <is>
          <t>Structure Storage Bay</t>
        </is>
      </c>
      <c r="C579" s="0" t="inlineStr">
        <is>
          <t>Water-Cooled CPU</t>
        </is>
      </c>
      <c r="D579" s="0" t="n">
        <v>100</v>
      </c>
      <c r="E579" s="0">
        <f>VLOOKUP(C579,'Item Tier Lookup'!$A:$B,2,FALSE)</f>
        <v/>
      </c>
      <c r="F579" s="0">
        <f>VLOOKUP(E579,'Tier Params'!$A:$B,2,FALSE)</f>
        <v/>
      </c>
      <c r="G579" s="0">
        <f>VLOOKUP(E579,'Tier Params'!$A:$C,3,FALSE)</f>
        <v/>
      </c>
      <c r="H579" s="0">
        <f>CEILING(D579/G579,1)</f>
        <v/>
      </c>
      <c r="I579" s="0">
        <f>H579*F579</f>
        <v/>
      </c>
    </row>
    <row r="580">
      <c r="A580" s="0" t="inlineStr">
        <is>
          <t>'Reference sheet'!N582</t>
        </is>
      </c>
      <c r="B580" s="0" t="inlineStr">
        <is>
          <t>Structure Storage Bay</t>
        </is>
      </c>
      <c r="C580" s="0" t="inlineStr">
        <is>
          <t>Water</t>
        </is>
      </c>
      <c r="D580" s="0" t="n">
        <v>800</v>
      </c>
      <c r="E580" s="0">
        <f>VLOOKUP(C580,'Item Tier Lookup'!$A:$B,2,FALSE)</f>
        <v/>
      </c>
      <c r="F580" s="0">
        <f>VLOOKUP(E580,'Tier Params'!$A:$B,2,FALSE)</f>
        <v/>
      </c>
      <c r="G580" s="0">
        <f>VLOOKUP(E580,'Tier Params'!$A:$C,3,FALSE)</f>
        <v/>
      </c>
      <c r="H580" s="0">
        <f>CEILING(D580/G580,1)</f>
        <v/>
      </c>
      <c r="I580" s="0">
        <f>H580*F580</f>
        <v/>
      </c>
    </row>
    <row r="581">
      <c r="A581" s="0" t="inlineStr">
        <is>
          <t>'Reference sheet'!N583</t>
        </is>
      </c>
      <c r="B581" s="0" t="inlineStr">
        <is>
          <t>Structure Storage Bay</t>
        </is>
      </c>
      <c r="C581" s="0" t="inlineStr">
        <is>
          <t>Aqueous Liquids</t>
        </is>
      </c>
      <c r="D581" s="0" t="n">
        <v>120000</v>
      </c>
      <c r="E581" s="0">
        <f>VLOOKUP(C581,'Item Tier Lookup'!$A:$B,2,FALSE)</f>
        <v/>
      </c>
      <c r="F581" s="0">
        <f>VLOOKUP(E581,'Tier Params'!$A:$B,2,FALSE)</f>
        <v/>
      </c>
      <c r="G581" s="0">
        <f>VLOOKUP(E581,'Tier Params'!$A:$C,3,FALSE)</f>
        <v/>
      </c>
      <c r="H581" s="0">
        <f>CEILING(D581/G581,1)</f>
        <v/>
      </c>
      <c r="I581" s="0">
        <f>H581*F581</f>
        <v/>
      </c>
    </row>
    <row r="582">
      <c r="A582" s="0" t="inlineStr">
        <is>
          <t>'Reference sheet'!N584</t>
        </is>
      </c>
      <c r="B582" s="0" t="inlineStr">
        <is>
          <t>Structure Storage Bay</t>
        </is>
      </c>
      <c r="C582" s="0" t="inlineStr">
        <is>
          <t>Reactive Metals</t>
        </is>
      </c>
      <c r="D582" s="0" t="n">
        <v>800</v>
      </c>
      <c r="E582" s="0">
        <f>VLOOKUP(C582,'Item Tier Lookup'!$A:$B,2,FALSE)</f>
        <v/>
      </c>
      <c r="F582" s="0">
        <f>VLOOKUP(E582,'Tier Params'!$A:$B,2,FALSE)</f>
        <v/>
      </c>
      <c r="G582" s="0">
        <f>VLOOKUP(E582,'Tier Params'!$A:$C,3,FALSE)</f>
        <v/>
      </c>
      <c r="H582" s="0">
        <f>CEILING(D582/G582,1)</f>
        <v/>
      </c>
      <c r="I582" s="0">
        <f>H582*F582</f>
        <v/>
      </c>
    </row>
    <row r="583">
      <c r="A583" s="0" t="inlineStr">
        <is>
          <t>'Reference sheet'!N585</t>
        </is>
      </c>
      <c r="B583" s="0" t="inlineStr">
        <is>
          <t>Structure Storage Bay</t>
        </is>
      </c>
      <c r="C583" s="0" t="inlineStr">
        <is>
          <t>Base Metals</t>
        </is>
      </c>
      <c r="D583" s="0" t="n">
        <v>120000</v>
      </c>
      <c r="E583" s="0">
        <f>VLOOKUP(C583,'Item Tier Lookup'!$A:$B,2,FALSE)</f>
        <v/>
      </c>
      <c r="F583" s="0">
        <f>VLOOKUP(E583,'Tier Params'!$A:$B,2,FALSE)</f>
        <v/>
      </c>
      <c r="G583" s="0">
        <f>VLOOKUP(E583,'Tier Params'!$A:$C,3,FALSE)</f>
        <v/>
      </c>
      <c r="H583" s="0">
        <f>CEILING(D583/G583,1)</f>
        <v/>
      </c>
      <c r="I583" s="0">
        <f>H583*F583</f>
        <v/>
      </c>
    </row>
    <row r="584">
      <c r="A584" s="0" t="inlineStr">
        <is>
          <t>'Reference sheet'!N586</t>
        </is>
      </c>
      <c r="B584" s="0" t="inlineStr">
        <is>
          <t>Structure Storage Bay</t>
        </is>
      </c>
      <c r="C584" s="0" t="inlineStr">
        <is>
          <t>Coolant</t>
        </is>
      </c>
      <c r="D584" s="0" t="n">
        <v>100</v>
      </c>
      <c r="E584" s="0">
        <f>VLOOKUP(C584,'Item Tier Lookup'!$A:$B,2,FALSE)</f>
        <v/>
      </c>
      <c r="F584" s="0">
        <f>VLOOKUP(E584,'Tier Params'!$A:$B,2,FALSE)</f>
        <v/>
      </c>
      <c r="G584" s="0">
        <f>VLOOKUP(E584,'Tier Params'!$A:$C,3,FALSE)</f>
        <v/>
      </c>
      <c r="H584" s="0">
        <f>CEILING(D584/G584,1)</f>
        <v/>
      </c>
      <c r="I584" s="0">
        <f>H584*F584</f>
        <v/>
      </c>
    </row>
    <row r="585">
      <c r="A585" s="0" t="inlineStr">
        <is>
          <t>'Reference sheet'!N587</t>
        </is>
      </c>
      <c r="B585" s="0" t="inlineStr">
        <is>
          <t>Structure Storage Bay</t>
        </is>
      </c>
      <c r="C585" s="0" t="inlineStr">
        <is>
          <t>Water</t>
        </is>
      </c>
      <c r="D585" s="0" t="n">
        <v>800</v>
      </c>
      <c r="E585" s="0">
        <f>VLOOKUP(C585,'Item Tier Lookup'!$A:$B,2,FALSE)</f>
        <v/>
      </c>
      <c r="F585" s="0">
        <f>VLOOKUP(E585,'Tier Params'!$A:$B,2,FALSE)</f>
        <v/>
      </c>
      <c r="G585" s="0">
        <f>VLOOKUP(E585,'Tier Params'!$A:$C,3,FALSE)</f>
        <v/>
      </c>
      <c r="H585" s="0">
        <f>CEILING(D585/G585,1)</f>
        <v/>
      </c>
      <c r="I585" s="0">
        <f>H585*F585</f>
        <v/>
      </c>
    </row>
    <row r="586">
      <c r="A586" s="0" t="inlineStr">
        <is>
          <t>'Reference sheet'!N588</t>
        </is>
      </c>
      <c r="B586" s="0" t="inlineStr">
        <is>
          <t>Structure Storage Bay</t>
        </is>
      </c>
      <c r="C586" s="0" t="inlineStr">
        <is>
          <t>Aqueous Liquids</t>
        </is>
      </c>
      <c r="D586" s="0" t="n">
        <v>120000</v>
      </c>
      <c r="E586" s="0">
        <f>VLOOKUP(C586,'Item Tier Lookup'!$A:$B,2,FALSE)</f>
        <v/>
      </c>
      <c r="F586" s="0">
        <f>VLOOKUP(E586,'Tier Params'!$A:$B,2,FALSE)</f>
        <v/>
      </c>
      <c r="G586" s="0">
        <f>VLOOKUP(E586,'Tier Params'!$A:$C,3,FALSE)</f>
        <v/>
      </c>
      <c r="H586" s="0">
        <f>CEILING(D586/G586,1)</f>
        <v/>
      </c>
      <c r="I586" s="0">
        <f>H586*F586</f>
        <v/>
      </c>
    </row>
    <row r="587">
      <c r="A587" s="0" t="inlineStr">
        <is>
          <t>'Reference sheet'!N589</t>
        </is>
      </c>
      <c r="B587" s="0" t="inlineStr">
        <is>
          <t>Structure Storage Bay</t>
        </is>
      </c>
      <c r="C587" s="0" t="inlineStr">
        <is>
          <t>Electrolytes</t>
        </is>
      </c>
      <c r="D587" s="0" t="n">
        <v>800</v>
      </c>
      <c r="E587" s="0">
        <f>VLOOKUP(C587,'Item Tier Lookup'!$A:$B,2,FALSE)</f>
        <v/>
      </c>
      <c r="F587" s="0">
        <f>VLOOKUP(E587,'Tier Params'!$A:$B,2,FALSE)</f>
        <v/>
      </c>
      <c r="G587" s="0">
        <f>VLOOKUP(E587,'Tier Params'!$A:$C,3,FALSE)</f>
        <v/>
      </c>
      <c r="H587" s="0">
        <f>CEILING(D587/G587,1)</f>
        <v/>
      </c>
      <c r="I587" s="0">
        <f>H587*F587</f>
        <v/>
      </c>
    </row>
    <row r="588">
      <c r="A588" s="0" t="inlineStr">
        <is>
          <t>'Reference sheet'!N590</t>
        </is>
      </c>
      <c r="B588" s="0" t="inlineStr">
        <is>
          <t>Structure Storage Bay</t>
        </is>
      </c>
      <c r="C588" s="0" t="inlineStr">
        <is>
          <t>Ionic Solutions</t>
        </is>
      </c>
      <c r="D588" s="0" t="n">
        <v>120000</v>
      </c>
      <c r="E588" s="0">
        <f>VLOOKUP(C588,'Item Tier Lookup'!$A:$B,2,FALSE)</f>
        <v/>
      </c>
      <c r="F588" s="0">
        <f>VLOOKUP(E588,'Tier Params'!$A:$B,2,FALSE)</f>
        <v/>
      </c>
      <c r="G588" s="0">
        <f>VLOOKUP(E588,'Tier Params'!$A:$C,3,FALSE)</f>
        <v/>
      </c>
      <c r="H588" s="0">
        <f>CEILING(D588/G588,1)</f>
        <v/>
      </c>
      <c r="I588" s="0">
        <f>H588*F588</f>
        <v/>
      </c>
    </row>
    <row r="589">
      <c r="A589" s="0" t="inlineStr">
        <is>
          <t>'Reference sheet'!N591</t>
        </is>
      </c>
      <c r="B589" s="0" t="inlineStr">
        <is>
          <t>Structure Storage Bay</t>
        </is>
      </c>
      <c r="C589" s="0" t="inlineStr">
        <is>
          <t>Consumer Electronics</t>
        </is>
      </c>
      <c r="D589" s="0" t="n">
        <v>100</v>
      </c>
      <c r="E589" s="0">
        <f>VLOOKUP(C589,'Item Tier Lookup'!$A:$B,2,FALSE)</f>
        <v/>
      </c>
      <c r="F589" s="0">
        <f>VLOOKUP(E589,'Tier Params'!$A:$B,2,FALSE)</f>
        <v/>
      </c>
      <c r="G589" s="0">
        <f>VLOOKUP(E589,'Tier Params'!$A:$C,3,FALSE)</f>
        <v/>
      </c>
      <c r="H589" s="0">
        <f>CEILING(D589/G589,1)</f>
        <v/>
      </c>
      <c r="I589" s="0">
        <f>H589*F589</f>
        <v/>
      </c>
    </row>
    <row r="590">
      <c r="A590" s="0" t="inlineStr">
        <is>
          <t>'Reference sheet'!N592</t>
        </is>
      </c>
      <c r="B590" s="0" t="inlineStr">
        <is>
          <t>Structure Storage Bay</t>
        </is>
      </c>
      <c r="C590" s="0" t="inlineStr">
        <is>
          <t>Toxic Metals</t>
        </is>
      </c>
      <c r="D590" s="0" t="n">
        <v>800</v>
      </c>
      <c r="E590" s="0">
        <f>VLOOKUP(C590,'Item Tier Lookup'!$A:$B,2,FALSE)</f>
        <v/>
      </c>
      <c r="F590" s="0">
        <f>VLOOKUP(E590,'Tier Params'!$A:$B,2,FALSE)</f>
        <v/>
      </c>
      <c r="G590" s="0">
        <f>VLOOKUP(E590,'Tier Params'!$A:$C,3,FALSE)</f>
        <v/>
      </c>
      <c r="H590" s="0">
        <f>CEILING(D590/G590,1)</f>
        <v/>
      </c>
      <c r="I590" s="0">
        <f>H590*F590</f>
        <v/>
      </c>
    </row>
    <row r="591">
      <c r="A591" s="0" t="inlineStr">
        <is>
          <t>'Reference sheet'!N593</t>
        </is>
      </c>
      <c r="B591" s="0" t="inlineStr">
        <is>
          <t>Structure Storage Bay</t>
        </is>
      </c>
      <c r="C591" s="0" t="inlineStr">
        <is>
          <t>Heavy Metals</t>
        </is>
      </c>
      <c r="D591" s="0" t="n">
        <v>120000</v>
      </c>
      <c r="E591" s="0">
        <f>VLOOKUP(C591,'Item Tier Lookup'!$A:$B,2,FALSE)</f>
        <v/>
      </c>
      <c r="F591" s="0">
        <f>VLOOKUP(E591,'Tier Params'!$A:$B,2,FALSE)</f>
        <v/>
      </c>
      <c r="G591" s="0">
        <f>VLOOKUP(E591,'Tier Params'!$A:$C,3,FALSE)</f>
        <v/>
      </c>
      <c r="H591" s="0">
        <f>CEILING(D591/G591,1)</f>
        <v/>
      </c>
      <c r="I591" s="0">
        <f>H591*F591</f>
        <v/>
      </c>
    </row>
    <row r="592">
      <c r="A592" s="0" t="inlineStr">
        <is>
          <t>'Reference sheet'!N594</t>
        </is>
      </c>
      <c r="B592" s="0" t="inlineStr">
        <is>
          <t>Structure Storage Bay</t>
        </is>
      </c>
      <c r="C592" s="0" t="inlineStr">
        <is>
          <t>Chiral Structures</t>
        </is>
      </c>
      <c r="D592" s="0" t="n">
        <v>800</v>
      </c>
      <c r="E592" s="0">
        <f>VLOOKUP(C592,'Item Tier Lookup'!$A:$B,2,FALSE)</f>
        <v/>
      </c>
      <c r="F592" s="0">
        <f>VLOOKUP(E592,'Tier Params'!$A:$B,2,FALSE)</f>
        <v/>
      </c>
      <c r="G592" s="0">
        <f>VLOOKUP(E592,'Tier Params'!$A:$C,3,FALSE)</f>
        <v/>
      </c>
      <c r="H592" s="0">
        <f>CEILING(D592/G592,1)</f>
        <v/>
      </c>
      <c r="I592" s="0">
        <f>H592*F592</f>
        <v/>
      </c>
    </row>
    <row r="593">
      <c r="A593" s="0" t="inlineStr">
        <is>
          <t>'Reference sheet'!N595</t>
        </is>
      </c>
      <c r="B593" s="0" t="inlineStr">
        <is>
          <t>Structure Storage Bay</t>
        </is>
      </c>
      <c r="C593" s="0" t="inlineStr">
        <is>
          <t>Non-CS Crystals</t>
        </is>
      </c>
      <c r="D593" s="0" t="n">
        <v>120000</v>
      </c>
      <c r="E593" s="0">
        <f>VLOOKUP(C593,'Item Tier Lookup'!$A:$B,2,FALSE)</f>
        <v/>
      </c>
      <c r="F593" s="0">
        <f>VLOOKUP(E593,'Tier Params'!$A:$B,2,FALSE)</f>
        <v/>
      </c>
      <c r="G593" s="0">
        <f>VLOOKUP(E593,'Tier Params'!$A:$C,3,FALSE)</f>
        <v/>
      </c>
      <c r="H593" s="0">
        <f>CEILING(D593/G593,1)</f>
        <v/>
      </c>
      <c r="I593" s="0">
        <f>H593*F593</f>
        <v/>
      </c>
    </row>
    <row r="594">
      <c r="A594" s="0" t="inlineStr">
        <is>
          <t>'Reference sheet'!N596</t>
        </is>
      </c>
      <c r="B594" s="0" t="inlineStr">
        <is>
          <t>Structure Storage Bay</t>
        </is>
      </c>
      <c r="C594" s="0" t="inlineStr">
        <is>
          <t>Biotech Research Reports</t>
        </is>
      </c>
      <c r="D594" s="0" t="n">
        <v>30</v>
      </c>
      <c r="E594" s="0">
        <f>VLOOKUP(C594,'Item Tier Lookup'!$A:$B,2,FALSE)</f>
        <v/>
      </c>
      <c r="F594" s="0">
        <f>VLOOKUP(E594,'Tier Params'!$A:$B,2,FALSE)</f>
        <v/>
      </c>
      <c r="G594" s="0">
        <f>VLOOKUP(E594,'Tier Params'!$A:$C,3,FALSE)</f>
        <v/>
      </c>
      <c r="H594" s="0">
        <f>CEILING(D594/G594,1)</f>
        <v/>
      </c>
      <c r="I594" s="0">
        <f>H594*F594</f>
        <v/>
      </c>
    </row>
    <row r="595">
      <c r="A595" s="0" t="inlineStr">
        <is>
          <t>'Reference sheet'!N597</t>
        </is>
      </c>
      <c r="B595" s="0" t="inlineStr">
        <is>
          <t>Structure Storage Bay</t>
        </is>
      </c>
      <c r="C595" s="0" t="inlineStr">
        <is>
          <t>Construction Blocks</t>
        </is>
      </c>
      <c r="D595" s="0" t="n">
        <v>100</v>
      </c>
      <c r="E595" s="0">
        <f>VLOOKUP(C595,'Item Tier Lookup'!$A:$B,2,FALSE)</f>
        <v/>
      </c>
      <c r="F595" s="0">
        <f>VLOOKUP(E595,'Tier Params'!$A:$B,2,FALSE)</f>
        <v/>
      </c>
      <c r="G595" s="0">
        <f>VLOOKUP(E595,'Tier Params'!$A:$C,3,FALSE)</f>
        <v/>
      </c>
      <c r="H595" s="0">
        <f>CEILING(D595/G595,1)</f>
        <v/>
      </c>
      <c r="I595" s="0">
        <f>H595*F595</f>
        <v/>
      </c>
    </row>
    <row r="596">
      <c r="A596" s="0" t="inlineStr">
        <is>
          <t>'Reference sheet'!N598</t>
        </is>
      </c>
      <c r="B596" s="0" t="inlineStr">
        <is>
          <t>Structure Storage Bay</t>
        </is>
      </c>
      <c r="C596" s="0" t="inlineStr">
        <is>
          <t>Toxic Metals</t>
        </is>
      </c>
      <c r="D596" s="0" t="n">
        <v>800</v>
      </c>
      <c r="E596" s="0">
        <f>VLOOKUP(C596,'Item Tier Lookup'!$A:$B,2,FALSE)</f>
        <v/>
      </c>
      <c r="F596" s="0">
        <f>VLOOKUP(E596,'Tier Params'!$A:$B,2,FALSE)</f>
        <v/>
      </c>
      <c r="G596" s="0">
        <f>VLOOKUP(E596,'Tier Params'!$A:$C,3,FALSE)</f>
        <v/>
      </c>
      <c r="H596" s="0">
        <f>CEILING(D596/G596,1)</f>
        <v/>
      </c>
      <c r="I596" s="0">
        <f>H596*F596</f>
        <v/>
      </c>
    </row>
    <row r="597">
      <c r="A597" s="0" t="inlineStr">
        <is>
          <t>'Reference sheet'!N599</t>
        </is>
      </c>
      <c r="B597" s="0" t="inlineStr">
        <is>
          <t>Structure Storage Bay</t>
        </is>
      </c>
      <c r="C597" s="0" t="inlineStr">
        <is>
          <t>Heavy Metals</t>
        </is>
      </c>
      <c r="D597" s="0" t="n">
        <v>120000</v>
      </c>
      <c r="E597" s="0">
        <f>VLOOKUP(C597,'Item Tier Lookup'!$A:$B,2,FALSE)</f>
        <v/>
      </c>
      <c r="F597" s="0">
        <f>VLOOKUP(E597,'Tier Params'!$A:$B,2,FALSE)</f>
        <v/>
      </c>
      <c r="G597" s="0">
        <f>VLOOKUP(E597,'Tier Params'!$A:$C,3,FALSE)</f>
        <v/>
      </c>
      <c r="H597" s="0">
        <f>CEILING(D597/G597,1)</f>
        <v/>
      </c>
      <c r="I597" s="0">
        <f>H597*F597</f>
        <v/>
      </c>
    </row>
    <row r="598">
      <c r="A598" s="0" t="inlineStr">
        <is>
          <t>'Reference sheet'!N600</t>
        </is>
      </c>
      <c r="B598" s="0" t="inlineStr">
        <is>
          <t>Structure Storage Bay</t>
        </is>
      </c>
      <c r="C598" s="0" t="inlineStr">
        <is>
          <t>Reactive Metals</t>
        </is>
      </c>
      <c r="D598" s="0" t="n">
        <v>800</v>
      </c>
      <c r="E598" s="0">
        <f>VLOOKUP(C598,'Item Tier Lookup'!$A:$B,2,FALSE)</f>
        <v/>
      </c>
      <c r="F598" s="0">
        <f>VLOOKUP(E598,'Tier Params'!$A:$B,2,FALSE)</f>
        <v/>
      </c>
      <c r="G598" s="0">
        <f>VLOOKUP(E598,'Tier Params'!$A:$C,3,FALSE)</f>
        <v/>
      </c>
      <c r="H598" s="0">
        <f>CEILING(D598/G598,1)</f>
        <v/>
      </c>
      <c r="I598" s="0">
        <f>H598*F598</f>
        <v/>
      </c>
    </row>
    <row r="599">
      <c r="A599" s="0" t="inlineStr">
        <is>
          <t>'Reference sheet'!N601</t>
        </is>
      </c>
      <c r="B599" s="0" t="inlineStr">
        <is>
          <t>Structure Storage Bay</t>
        </is>
      </c>
      <c r="C599" s="0" t="inlineStr">
        <is>
          <t>Base Metals</t>
        </is>
      </c>
      <c r="D599" s="0" t="n">
        <v>120000</v>
      </c>
      <c r="E599" s="0">
        <f>VLOOKUP(C599,'Item Tier Lookup'!$A:$B,2,FALSE)</f>
        <v/>
      </c>
      <c r="F599" s="0">
        <f>VLOOKUP(E599,'Tier Params'!$A:$B,2,FALSE)</f>
        <v/>
      </c>
      <c r="G599" s="0">
        <f>VLOOKUP(E599,'Tier Params'!$A:$C,3,FALSE)</f>
        <v/>
      </c>
      <c r="H599" s="0">
        <f>CEILING(D599/G599,1)</f>
        <v/>
      </c>
      <c r="I599" s="0">
        <f>H599*F599</f>
        <v/>
      </c>
    </row>
    <row r="600">
      <c r="A600" s="0" t="inlineStr">
        <is>
          <t>'Reference sheet'!N602</t>
        </is>
      </c>
      <c r="B600" s="0" t="inlineStr">
        <is>
          <t>Structure Storage Bay</t>
        </is>
      </c>
      <c r="C600" s="0" t="inlineStr">
        <is>
          <t>Livestock</t>
        </is>
      </c>
      <c r="D600" s="0" t="n">
        <v>100</v>
      </c>
      <c r="E600" s="0">
        <f>VLOOKUP(C600,'Item Tier Lookup'!$A:$B,2,FALSE)</f>
        <v/>
      </c>
      <c r="F600" s="0">
        <f>VLOOKUP(E600,'Tier Params'!$A:$B,2,FALSE)</f>
        <v/>
      </c>
      <c r="G600" s="0">
        <f>VLOOKUP(E600,'Tier Params'!$A:$C,3,FALSE)</f>
        <v/>
      </c>
      <c r="H600" s="0">
        <f>CEILING(D600/G600,1)</f>
        <v/>
      </c>
      <c r="I600" s="0">
        <f>H600*F600</f>
        <v/>
      </c>
    </row>
    <row r="601">
      <c r="A601" s="0" t="inlineStr">
        <is>
          <t>'Reference sheet'!N603</t>
        </is>
      </c>
      <c r="B601" s="0" t="inlineStr">
        <is>
          <t>Structure Storage Bay</t>
        </is>
      </c>
      <c r="C601" s="0" t="inlineStr">
        <is>
          <t>Proteins</t>
        </is>
      </c>
      <c r="D601" s="0" t="n">
        <v>800</v>
      </c>
      <c r="E601" s="0">
        <f>VLOOKUP(C601,'Item Tier Lookup'!$A:$B,2,FALSE)</f>
        <v/>
      </c>
      <c r="F601" s="0">
        <f>VLOOKUP(E601,'Tier Params'!$A:$B,2,FALSE)</f>
        <v/>
      </c>
      <c r="G601" s="0">
        <f>VLOOKUP(E601,'Tier Params'!$A:$C,3,FALSE)</f>
        <v/>
      </c>
      <c r="H601" s="0">
        <f>CEILING(D601/G601,1)</f>
        <v/>
      </c>
      <c r="I601" s="0">
        <f>H601*F601</f>
        <v/>
      </c>
    </row>
    <row r="602">
      <c r="A602" s="0" t="inlineStr">
        <is>
          <t>'Reference sheet'!N604</t>
        </is>
      </c>
      <c r="B602" s="0" t="inlineStr">
        <is>
          <t>Structure Storage Bay</t>
        </is>
      </c>
      <c r="C602" s="0" t="inlineStr">
        <is>
          <t>Complex Organisms</t>
        </is>
      </c>
      <c r="D602" s="0" t="n">
        <v>120000</v>
      </c>
      <c r="E602" s="0">
        <f>VLOOKUP(C602,'Item Tier Lookup'!$A:$B,2,FALSE)</f>
        <v/>
      </c>
      <c r="F602" s="0">
        <f>VLOOKUP(E602,'Tier Params'!$A:$B,2,FALSE)</f>
        <v/>
      </c>
      <c r="G602" s="0">
        <f>VLOOKUP(E602,'Tier Params'!$A:$C,3,FALSE)</f>
        <v/>
      </c>
      <c r="H602" s="0">
        <f>CEILING(D602/G602,1)</f>
        <v/>
      </c>
      <c r="I602" s="0">
        <f>H602*F602</f>
        <v/>
      </c>
    </row>
    <row r="603">
      <c r="A603" s="0" t="inlineStr">
        <is>
          <t>'Reference sheet'!N605</t>
        </is>
      </c>
      <c r="B603" s="0" t="inlineStr">
        <is>
          <t>Structure Storage Bay</t>
        </is>
      </c>
      <c r="C603" s="0" t="inlineStr">
        <is>
          <t>Biofuels</t>
        </is>
      </c>
      <c r="D603" s="0" t="n">
        <v>800</v>
      </c>
      <c r="E603" s="0">
        <f>VLOOKUP(C603,'Item Tier Lookup'!$A:$B,2,FALSE)</f>
        <v/>
      </c>
      <c r="F603" s="0">
        <f>VLOOKUP(E603,'Tier Params'!$A:$B,2,FALSE)</f>
        <v/>
      </c>
      <c r="G603" s="0">
        <f>VLOOKUP(E603,'Tier Params'!$A:$C,3,FALSE)</f>
        <v/>
      </c>
      <c r="H603" s="0">
        <f>CEILING(D603/G603,1)</f>
        <v/>
      </c>
      <c r="I603" s="0">
        <f>H603*F603</f>
        <v/>
      </c>
    </row>
    <row r="604">
      <c r="A604" s="0" t="inlineStr">
        <is>
          <t>'Reference sheet'!N606</t>
        </is>
      </c>
      <c r="B604" s="0" t="inlineStr">
        <is>
          <t>Structure Storage Bay</t>
        </is>
      </c>
      <c r="C604" s="0" t="inlineStr">
        <is>
          <t>Carbon Compounds</t>
        </is>
      </c>
      <c r="D604" s="0" t="n">
        <v>120000</v>
      </c>
      <c r="E604" s="0">
        <f>VLOOKUP(C604,'Item Tier Lookup'!$A:$B,2,FALSE)</f>
        <v/>
      </c>
      <c r="F604" s="0">
        <f>VLOOKUP(E604,'Tier Params'!$A:$B,2,FALSE)</f>
        <v/>
      </c>
      <c r="G604" s="0">
        <f>VLOOKUP(E604,'Tier Params'!$A:$C,3,FALSE)</f>
        <v/>
      </c>
      <c r="H604" s="0">
        <f>CEILING(D604/G604,1)</f>
        <v/>
      </c>
      <c r="I604" s="0">
        <f>H604*F604</f>
        <v/>
      </c>
    </row>
    <row r="605">
      <c r="A605" s="0" t="inlineStr">
        <is>
          <t>'Reference sheet'!N607</t>
        </is>
      </c>
      <c r="B605" s="0" t="inlineStr">
        <is>
          <t>Structure Storage Bay</t>
        </is>
      </c>
      <c r="C605" s="0" t="inlineStr">
        <is>
          <t>Nanites</t>
        </is>
      </c>
      <c r="D605" s="0" t="n">
        <v>100</v>
      </c>
      <c r="E605" s="0">
        <f>VLOOKUP(C605,'Item Tier Lookup'!$A:$B,2,FALSE)</f>
        <v/>
      </c>
      <c r="F605" s="0">
        <f>VLOOKUP(E605,'Tier Params'!$A:$B,2,FALSE)</f>
        <v/>
      </c>
      <c r="G605" s="0">
        <f>VLOOKUP(E605,'Tier Params'!$A:$C,3,FALSE)</f>
        <v/>
      </c>
      <c r="H605" s="0">
        <f>CEILING(D605/G605,1)</f>
        <v/>
      </c>
      <c r="I605" s="0">
        <f>H605*F605</f>
        <v/>
      </c>
    </row>
    <row r="606">
      <c r="A606" s="0" t="inlineStr">
        <is>
          <t>'Reference sheet'!N608</t>
        </is>
      </c>
      <c r="B606" s="0" t="inlineStr">
        <is>
          <t>Structure Storage Bay</t>
        </is>
      </c>
      <c r="C606" s="0" t="inlineStr">
        <is>
          <t>Bacteria</t>
        </is>
      </c>
      <c r="D606" s="0" t="n">
        <v>800</v>
      </c>
      <c r="E606" s="0">
        <f>VLOOKUP(C606,'Item Tier Lookup'!$A:$B,2,FALSE)</f>
        <v/>
      </c>
      <c r="F606" s="0">
        <f>VLOOKUP(E606,'Tier Params'!$A:$B,2,FALSE)</f>
        <v/>
      </c>
      <c r="G606" s="0">
        <f>VLOOKUP(E606,'Tier Params'!$A:$C,3,FALSE)</f>
        <v/>
      </c>
      <c r="H606" s="0">
        <f>CEILING(D606/G606,1)</f>
        <v/>
      </c>
      <c r="I606" s="0">
        <f>H606*F606</f>
        <v/>
      </c>
    </row>
    <row r="607">
      <c r="A607" s="0" t="inlineStr">
        <is>
          <t>'Reference sheet'!N609</t>
        </is>
      </c>
      <c r="B607" s="0" t="inlineStr">
        <is>
          <t>Structure Storage Bay</t>
        </is>
      </c>
      <c r="C607" s="0" t="inlineStr">
        <is>
          <t>Microorganisms</t>
        </is>
      </c>
      <c r="D607" s="0" t="n">
        <v>120000</v>
      </c>
      <c r="E607" s="0">
        <f>VLOOKUP(C607,'Item Tier Lookup'!$A:$B,2,FALSE)</f>
        <v/>
      </c>
      <c r="F607" s="0">
        <f>VLOOKUP(E607,'Tier Params'!$A:$B,2,FALSE)</f>
        <v/>
      </c>
      <c r="G607" s="0">
        <f>VLOOKUP(E607,'Tier Params'!$A:$C,3,FALSE)</f>
        <v/>
      </c>
      <c r="H607" s="0">
        <f>CEILING(D607/G607,1)</f>
        <v/>
      </c>
      <c r="I607" s="0">
        <f>H607*F607</f>
        <v/>
      </c>
    </row>
    <row r="608">
      <c r="A608" s="0" t="inlineStr">
        <is>
          <t>'Reference sheet'!N610</t>
        </is>
      </c>
      <c r="B608" s="0" t="inlineStr">
        <is>
          <t>Structure Storage Bay</t>
        </is>
      </c>
      <c r="C608" s="0" t="inlineStr">
        <is>
          <t>Reactive Metals</t>
        </is>
      </c>
      <c r="D608" s="0" t="n">
        <v>800</v>
      </c>
      <c r="E608" s="0">
        <f>VLOOKUP(C608,'Item Tier Lookup'!$A:$B,2,FALSE)</f>
        <v/>
      </c>
      <c r="F608" s="0">
        <f>VLOOKUP(E608,'Tier Params'!$A:$B,2,FALSE)</f>
        <v/>
      </c>
      <c r="G608" s="0">
        <f>VLOOKUP(E608,'Tier Params'!$A:$C,3,FALSE)</f>
        <v/>
      </c>
      <c r="H608" s="0">
        <f>CEILING(D608/G608,1)</f>
        <v/>
      </c>
      <c r="I608" s="0">
        <f>H608*F608</f>
        <v/>
      </c>
    </row>
    <row r="609">
      <c r="A609" s="0" t="inlineStr">
        <is>
          <t>'Reference sheet'!N611</t>
        </is>
      </c>
      <c r="B609" s="0" t="inlineStr">
        <is>
          <t>Structure Storage Bay</t>
        </is>
      </c>
      <c r="C609" s="0" t="inlineStr">
        <is>
          <t>Base Metals</t>
        </is>
      </c>
      <c r="D609" s="0" t="n">
        <v>120000</v>
      </c>
      <c r="E609" s="0">
        <f>VLOOKUP(C609,'Item Tier Lookup'!$A:$B,2,FALSE)</f>
        <v/>
      </c>
      <c r="F609" s="0">
        <f>VLOOKUP(E609,'Tier Params'!$A:$B,2,FALSE)</f>
        <v/>
      </c>
      <c r="G609" s="0">
        <f>VLOOKUP(E609,'Tier Params'!$A:$C,3,FALSE)</f>
        <v/>
      </c>
      <c r="H609" s="0">
        <f>CEILING(D609/G609,1)</f>
        <v/>
      </c>
      <c r="I609" s="0">
        <f>H609*F609</f>
        <v/>
      </c>
    </row>
    <row r="610">
      <c r="A610" s="0" t="inlineStr">
        <is>
          <t>'Reference sheet'!N612</t>
        </is>
      </c>
      <c r="B610" s="0" t="inlineStr">
        <is>
          <t>Structure Storage Bay</t>
        </is>
      </c>
      <c r="C610" s="0" t="inlineStr">
        <is>
          <t>Cryoprotectant Solution</t>
        </is>
      </c>
      <c r="D610" s="0" t="n">
        <v>30</v>
      </c>
      <c r="E610" s="0">
        <f>VLOOKUP(C610,'Item Tier Lookup'!$A:$B,2,FALSE)</f>
        <v/>
      </c>
      <c r="F610" s="0">
        <f>VLOOKUP(E610,'Tier Params'!$A:$B,2,FALSE)</f>
        <v/>
      </c>
      <c r="G610" s="0">
        <f>VLOOKUP(E610,'Tier Params'!$A:$C,3,FALSE)</f>
        <v/>
      </c>
      <c r="H610" s="0">
        <f>CEILING(D610/G610,1)</f>
        <v/>
      </c>
      <c r="I610" s="0">
        <f>H610*F610</f>
        <v/>
      </c>
    </row>
    <row r="611">
      <c r="A611" s="0" t="inlineStr">
        <is>
          <t>'Reference sheet'!N613</t>
        </is>
      </c>
      <c r="B611" s="0" t="inlineStr">
        <is>
          <t>Structure Storage Bay</t>
        </is>
      </c>
      <c r="C611" s="0" t="inlineStr">
        <is>
          <t>Test Cultures</t>
        </is>
      </c>
      <c r="D611" s="0" t="n">
        <v>100</v>
      </c>
      <c r="E611" s="0">
        <f>VLOOKUP(C611,'Item Tier Lookup'!$A:$B,2,FALSE)</f>
        <v/>
      </c>
      <c r="F611" s="0">
        <f>VLOOKUP(E611,'Tier Params'!$A:$B,2,FALSE)</f>
        <v/>
      </c>
      <c r="G611" s="0">
        <f>VLOOKUP(E611,'Tier Params'!$A:$C,3,FALSE)</f>
        <v/>
      </c>
      <c r="H611" s="0">
        <f>CEILING(D611/G611,1)</f>
        <v/>
      </c>
      <c r="I611" s="0">
        <f>H611*F611</f>
        <v/>
      </c>
    </row>
    <row r="612">
      <c r="A612" s="0" t="inlineStr">
        <is>
          <t>'Reference sheet'!N614</t>
        </is>
      </c>
      <c r="B612" s="0" t="inlineStr">
        <is>
          <t>Structure Storage Bay</t>
        </is>
      </c>
      <c r="C612" s="0" t="inlineStr">
        <is>
          <t>Bacteria</t>
        </is>
      </c>
      <c r="D612" s="0" t="n">
        <v>800</v>
      </c>
      <c r="E612" s="0">
        <f>VLOOKUP(C612,'Item Tier Lookup'!$A:$B,2,FALSE)</f>
        <v/>
      </c>
      <c r="F612" s="0">
        <f>VLOOKUP(E612,'Tier Params'!$A:$B,2,FALSE)</f>
        <v/>
      </c>
      <c r="G612" s="0">
        <f>VLOOKUP(E612,'Tier Params'!$A:$C,3,FALSE)</f>
        <v/>
      </c>
      <c r="H612" s="0">
        <f>CEILING(D612/G612,1)</f>
        <v/>
      </c>
      <c r="I612" s="0">
        <f>H612*F612</f>
        <v/>
      </c>
    </row>
    <row r="613">
      <c r="A613" s="0" t="inlineStr">
        <is>
          <t>'Reference sheet'!N615</t>
        </is>
      </c>
      <c r="B613" s="0" t="inlineStr">
        <is>
          <t>Structure Storage Bay</t>
        </is>
      </c>
      <c r="C613" s="0" t="inlineStr">
        <is>
          <t>Microorganisms</t>
        </is>
      </c>
      <c r="D613" s="0" t="n">
        <v>120000</v>
      </c>
      <c r="E613" s="0">
        <f>VLOOKUP(C613,'Item Tier Lookup'!$A:$B,2,FALSE)</f>
        <v/>
      </c>
      <c r="F613" s="0">
        <f>VLOOKUP(E613,'Tier Params'!$A:$B,2,FALSE)</f>
        <v/>
      </c>
      <c r="G613" s="0">
        <f>VLOOKUP(E613,'Tier Params'!$A:$C,3,FALSE)</f>
        <v/>
      </c>
      <c r="H613" s="0">
        <f>CEILING(D613/G613,1)</f>
        <v/>
      </c>
      <c r="I613" s="0">
        <f>H613*F613</f>
        <v/>
      </c>
    </row>
    <row r="614">
      <c r="A614" s="0" t="inlineStr">
        <is>
          <t>'Reference sheet'!N616</t>
        </is>
      </c>
      <c r="B614" s="0" t="inlineStr">
        <is>
          <t>Structure Storage Bay</t>
        </is>
      </c>
      <c r="C614" s="0" t="inlineStr">
        <is>
          <t>Water</t>
        </is>
      </c>
      <c r="D614" s="0" t="n">
        <v>800</v>
      </c>
      <c r="E614" s="0">
        <f>VLOOKUP(C614,'Item Tier Lookup'!$A:$B,2,FALSE)</f>
        <v/>
      </c>
      <c r="F614" s="0">
        <f>VLOOKUP(E614,'Tier Params'!$A:$B,2,FALSE)</f>
        <v/>
      </c>
      <c r="G614" s="0">
        <f>VLOOKUP(E614,'Tier Params'!$A:$C,3,FALSE)</f>
        <v/>
      </c>
      <c r="H614" s="0">
        <f>CEILING(D614/G614,1)</f>
        <v/>
      </c>
      <c r="I614" s="0">
        <f>H614*F614</f>
        <v/>
      </c>
    </row>
    <row r="615">
      <c r="A615" s="0" t="inlineStr">
        <is>
          <t>'Reference sheet'!N617</t>
        </is>
      </c>
      <c r="B615" s="0" t="inlineStr">
        <is>
          <t>Structure Storage Bay</t>
        </is>
      </c>
      <c r="C615" s="0" t="inlineStr">
        <is>
          <t>Aqueous Liquids</t>
        </is>
      </c>
      <c r="D615" s="0" t="n">
        <v>120000</v>
      </c>
      <c r="E615" s="0">
        <f>VLOOKUP(C615,'Item Tier Lookup'!$A:$B,2,FALSE)</f>
        <v/>
      </c>
      <c r="F615" s="0">
        <f>VLOOKUP(E615,'Tier Params'!$A:$B,2,FALSE)</f>
        <v/>
      </c>
      <c r="G615" s="0">
        <f>VLOOKUP(E615,'Tier Params'!$A:$C,3,FALSE)</f>
        <v/>
      </c>
      <c r="H615" s="0">
        <f>CEILING(D615/G615,1)</f>
        <v/>
      </c>
      <c r="I615" s="0">
        <f>H615*F615</f>
        <v/>
      </c>
    </row>
    <row r="616">
      <c r="A616" s="0" t="inlineStr">
        <is>
          <t>'Reference sheet'!N618</t>
        </is>
      </c>
      <c r="B616" s="0" t="inlineStr">
        <is>
          <t>Structure Storage Bay</t>
        </is>
      </c>
      <c r="C616" s="0" t="inlineStr">
        <is>
          <t>Synthetic Oil</t>
        </is>
      </c>
      <c r="D616" s="0" t="n">
        <v>100</v>
      </c>
      <c r="E616" s="0">
        <f>VLOOKUP(C616,'Item Tier Lookup'!$A:$B,2,FALSE)</f>
        <v/>
      </c>
      <c r="F616" s="0">
        <f>VLOOKUP(E616,'Tier Params'!$A:$B,2,FALSE)</f>
        <v/>
      </c>
      <c r="G616" s="0">
        <f>VLOOKUP(E616,'Tier Params'!$A:$C,3,FALSE)</f>
        <v/>
      </c>
      <c r="H616" s="0">
        <f>CEILING(D616/G616,1)</f>
        <v/>
      </c>
      <c r="I616" s="0">
        <f>H616*F616</f>
        <v/>
      </c>
    </row>
    <row r="617">
      <c r="A617" s="0" t="inlineStr">
        <is>
          <t>'Reference sheet'!N619</t>
        </is>
      </c>
      <c r="B617" s="0" t="inlineStr">
        <is>
          <t>Structure Storage Bay</t>
        </is>
      </c>
      <c r="C617" s="0" t="inlineStr">
        <is>
          <t>Oxygen</t>
        </is>
      </c>
      <c r="D617" s="0" t="n">
        <v>800</v>
      </c>
      <c r="E617" s="0">
        <f>VLOOKUP(C617,'Item Tier Lookup'!$A:$B,2,FALSE)</f>
        <v/>
      </c>
      <c r="F617" s="0">
        <f>VLOOKUP(E617,'Tier Params'!$A:$B,2,FALSE)</f>
        <v/>
      </c>
      <c r="G617" s="0">
        <f>VLOOKUP(E617,'Tier Params'!$A:$C,3,FALSE)</f>
        <v/>
      </c>
      <c r="H617" s="0">
        <f>CEILING(D617/G617,1)</f>
        <v/>
      </c>
      <c r="I617" s="0">
        <f>H617*F617</f>
        <v/>
      </c>
    </row>
    <row r="618">
      <c r="A618" s="0" t="inlineStr">
        <is>
          <t>'Reference sheet'!N620</t>
        </is>
      </c>
      <c r="B618" s="0" t="inlineStr">
        <is>
          <t>Structure Storage Bay</t>
        </is>
      </c>
      <c r="C618" s="0" t="inlineStr">
        <is>
          <t>Noble Gas</t>
        </is>
      </c>
      <c r="D618" s="0" t="n">
        <v>120000</v>
      </c>
      <c r="E618" s="0">
        <f>VLOOKUP(C618,'Item Tier Lookup'!$A:$B,2,FALSE)</f>
        <v/>
      </c>
      <c r="F618" s="0">
        <f>VLOOKUP(E618,'Tier Params'!$A:$B,2,FALSE)</f>
        <v/>
      </c>
      <c r="G618" s="0">
        <f>VLOOKUP(E618,'Tier Params'!$A:$C,3,FALSE)</f>
        <v/>
      </c>
      <c r="H618" s="0">
        <f>CEILING(D618/G618,1)</f>
        <v/>
      </c>
      <c r="I618" s="0">
        <f>H618*F618</f>
        <v/>
      </c>
    </row>
    <row r="619">
      <c r="A619" s="0" t="inlineStr">
        <is>
          <t>'Reference sheet'!N621</t>
        </is>
      </c>
      <c r="B619" s="0" t="inlineStr">
        <is>
          <t>Structure Storage Bay</t>
        </is>
      </c>
      <c r="C619" s="0" t="inlineStr">
        <is>
          <t>Electrolytes</t>
        </is>
      </c>
      <c r="D619" s="0" t="n">
        <v>800</v>
      </c>
      <c r="E619" s="0">
        <f>VLOOKUP(C619,'Item Tier Lookup'!$A:$B,2,FALSE)</f>
        <v/>
      </c>
      <c r="F619" s="0">
        <f>VLOOKUP(E619,'Tier Params'!$A:$B,2,FALSE)</f>
        <v/>
      </c>
      <c r="G619" s="0">
        <f>VLOOKUP(E619,'Tier Params'!$A:$C,3,FALSE)</f>
        <v/>
      </c>
      <c r="H619" s="0">
        <f>CEILING(D619/G619,1)</f>
        <v/>
      </c>
      <c r="I619" s="0">
        <f>H619*F619</f>
        <v/>
      </c>
    </row>
    <row r="620">
      <c r="A620" s="0" t="inlineStr">
        <is>
          <t>'Reference sheet'!N622</t>
        </is>
      </c>
      <c r="B620" s="0" t="inlineStr">
        <is>
          <t>Structure Storage Bay</t>
        </is>
      </c>
      <c r="C620" s="0" t="inlineStr">
        <is>
          <t>Ionic Solutions</t>
        </is>
      </c>
      <c r="D620" s="0" t="n">
        <v>120000</v>
      </c>
      <c r="E620" s="0">
        <f>VLOOKUP(C620,'Item Tier Lookup'!$A:$B,2,FALSE)</f>
        <v/>
      </c>
      <c r="F620" s="0">
        <f>VLOOKUP(E620,'Tier Params'!$A:$B,2,FALSE)</f>
        <v/>
      </c>
      <c r="G620" s="0">
        <f>VLOOKUP(E620,'Tier Params'!$A:$C,3,FALSE)</f>
        <v/>
      </c>
      <c r="H620" s="0">
        <f>CEILING(D620/G620,1)</f>
        <v/>
      </c>
      <c r="I620" s="0">
        <f>H620*F620</f>
        <v/>
      </c>
    </row>
    <row r="621">
      <c r="A621" s="0" t="inlineStr">
        <is>
          <t>'Reference sheet'!N623</t>
        </is>
      </c>
      <c r="B621" s="0" t="inlineStr">
        <is>
          <t>Structure Storage Bay</t>
        </is>
      </c>
      <c r="C621" s="0" t="inlineStr">
        <is>
          <t>Fertilizer</t>
        </is>
      </c>
      <c r="D621" s="0" t="n">
        <v>100</v>
      </c>
      <c r="E621" s="0">
        <f>VLOOKUP(C621,'Item Tier Lookup'!$A:$B,2,FALSE)</f>
        <v/>
      </c>
      <c r="F621" s="0">
        <f>VLOOKUP(E621,'Tier Params'!$A:$B,2,FALSE)</f>
        <v/>
      </c>
      <c r="G621" s="0">
        <f>VLOOKUP(E621,'Tier Params'!$A:$C,3,FALSE)</f>
        <v/>
      </c>
      <c r="H621" s="0">
        <f>CEILING(D621/G621,1)</f>
        <v/>
      </c>
      <c r="I621" s="0">
        <f>H621*F621</f>
        <v/>
      </c>
    </row>
    <row r="622">
      <c r="A622" s="0" t="inlineStr">
        <is>
          <t>'Reference sheet'!N624</t>
        </is>
      </c>
      <c r="B622" s="0" t="inlineStr">
        <is>
          <t>Structure Storage Bay</t>
        </is>
      </c>
      <c r="C622" s="0" t="inlineStr">
        <is>
          <t>Bacteria</t>
        </is>
      </c>
      <c r="D622" s="0" t="n">
        <v>800</v>
      </c>
      <c r="E622" s="0">
        <f>VLOOKUP(C622,'Item Tier Lookup'!$A:$B,2,FALSE)</f>
        <v/>
      </c>
      <c r="F622" s="0">
        <f>VLOOKUP(E622,'Tier Params'!$A:$B,2,FALSE)</f>
        <v/>
      </c>
      <c r="G622" s="0">
        <f>VLOOKUP(E622,'Tier Params'!$A:$C,3,FALSE)</f>
        <v/>
      </c>
      <c r="H622" s="0">
        <f>CEILING(D622/G622,1)</f>
        <v/>
      </c>
      <c r="I622" s="0">
        <f>H622*F622</f>
        <v/>
      </c>
    </row>
    <row r="623">
      <c r="A623" s="0" t="inlineStr">
        <is>
          <t>'Reference sheet'!N625</t>
        </is>
      </c>
      <c r="B623" s="0" t="inlineStr">
        <is>
          <t>Structure Storage Bay</t>
        </is>
      </c>
      <c r="C623" s="0" t="inlineStr">
        <is>
          <t>Microorganisms</t>
        </is>
      </c>
      <c r="D623" s="0" t="n">
        <v>120000</v>
      </c>
      <c r="E623" s="0">
        <f>VLOOKUP(C623,'Item Tier Lookup'!$A:$B,2,FALSE)</f>
        <v/>
      </c>
      <c r="F623" s="0">
        <f>VLOOKUP(E623,'Tier Params'!$A:$B,2,FALSE)</f>
        <v/>
      </c>
      <c r="G623" s="0">
        <f>VLOOKUP(E623,'Tier Params'!$A:$C,3,FALSE)</f>
        <v/>
      </c>
      <c r="H623" s="0">
        <f>CEILING(D623/G623,1)</f>
        <v/>
      </c>
      <c r="I623" s="0">
        <f>H623*F623</f>
        <v/>
      </c>
    </row>
    <row r="624">
      <c r="A624" s="0" t="inlineStr">
        <is>
          <t>'Reference sheet'!N626</t>
        </is>
      </c>
      <c r="B624" s="0" t="inlineStr">
        <is>
          <t>Structure Storage Bay</t>
        </is>
      </c>
      <c r="C624" s="0" t="inlineStr">
        <is>
          <t>Proteins</t>
        </is>
      </c>
      <c r="D624" s="0" t="n">
        <v>800</v>
      </c>
      <c r="E624" s="0">
        <f>VLOOKUP(C624,'Item Tier Lookup'!$A:$B,2,FALSE)</f>
        <v/>
      </c>
      <c r="F624" s="0">
        <f>VLOOKUP(E624,'Tier Params'!$A:$B,2,FALSE)</f>
        <v/>
      </c>
      <c r="G624" s="0">
        <f>VLOOKUP(E624,'Tier Params'!$A:$C,3,FALSE)</f>
        <v/>
      </c>
      <c r="H624" s="0">
        <f>CEILING(D624/G624,1)</f>
        <v/>
      </c>
      <c r="I624" s="0">
        <f>H624*F624</f>
        <v/>
      </c>
    </row>
    <row r="625">
      <c r="A625" s="0" t="inlineStr">
        <is>
          <t>'Reference sheet'!N627</t>
        </is>
      </c>
      <c r="B625" s="0" t="inlineStr">
        <is>
          <t>Structure Storage Bay</t>
        </is>
      </c>
      <c r="C625" s="0" t="inlineStr">
        <is>
          <t>Complex Organisms</t>
        </is>
      </c>
      <c r="D625" s="0" t="n">
        <v>120000</v>
      </c>
      <c r="E625" s="0">
        <f>VLOOKUP(C625,'Item Tier Lookup'!$A:$B,2,FALSE)</f>
        <v/>
      </c>
      <c r="F625" s="0">
        <f>VLOOKUP(E625,'Tier Params'!$A:$B,2,FALSE)</f>
        <v/>
      </c>
      <c r="G625" s="0">
        <f>VLOOKUP(E625,'Tier Params'!$A:$C,3,FALSE)</f>
        <v/>
      </c>
      <c r="H625" s="0">
        <f>CEILING(D625/G625,1)</f>
        <v/>
      </c>
      <c r="I625" s="0">
        <f>H625*F625</f>
        <v/>
      </c>
    </row>
    <row r="626">
      <c r="A626" s="0" t="inlineStr">
        <is>
          <t>'Reference sheet'!N628</t>
        </is>
      </c>
      <c r="B626" s="0" t="inlineStr">
        <is>
          <t>Structure Repair Facility</t>
        </is>
      </c>
      <c r="C626" s="0" t="inlineStr">
        <is>
          <t>Structure Repair Facility</t>
        </is>
      </c>
      <c r="D626" s="0" t="n">
        <v>1</v>
      </c>
      <c r="E626" s="0">
        <f>VLOOKUP(C626,'Item Tier Lookup'!$A:$B,2,FALSE)</f>
        <v/>
      </c>
      <c r="F626" s="0">
        <f>VLOOKUP(E626,'Tier Params'!$A:$B,2,FALSE)</f>
        <v/>
      </c>
      <c r="G626" s="0">
        <f>VLOOKUP(E626,'Tier Params'!$A:$C,3,FALSE)</f>
        <v/>
      </c>
      <c r="H626" s="0">
        <f>CEILING(D626/G626,1)</f>
        <v/>
      </c>
      <c r="I626" s="0">
        <f>H626*F626</f>
        <v/>
      </c>
    </row>
    <row r="627">
      <c r="A627" s="0" t="inlineStr">
        <is>
          <t>'Reference sheet'!N629</t>
        </is>
      </c>
      <c r="B627" s="0" t="inlineStr">
        <is>
          <t>Structure Repair Facility</t>
        </is>
      </c>
      <c r="C627" s="0" t="inlineStr">
        <is>
          <t>Tritanium</t>
        </is>
      </c>
      <c r="D627" s="0" t="n">
        <v>450000</v>
      </c>
      <c r="E627" s="0">
        <f>VLOOKUP(C627,'Item Tier Lookup'!$A:$B,2,FALSE)</f>
        <v/>
      </c>
      <c r="F627" s="0">
        <f>VLOOKUP(E627,'Tier Params'!$A:$B,2,FALSE)</f>
        <v/>
      </c>
      <c r="G627" s="0">
        <f>VLOOKUP(E627,'Tier Params'!$A:$C,3,FALSE)</f>
        <v/>
      </c>
      <c r="H627" s="0">
        <f>CEILING(D627/G627,1)</f>
        <v/>
      </c>
      <c r="I627" s="0">
        <f>H627*F627</f>
        <v/>
      </c>
    </row>
    <row r="628">
      <c r="A628" s="0" t="inlineStr">
        <is>
          <t>'Reference sheet'!N630</t>
        </is>
      </c>
      <c r="B628" s="0" t="inlineStr">
        <is>
          <t>Structure Repair Facility</t>
        </is>
      </c>
      <c r="C628" s="0" t="inlineStr">
        <is>
          <t>Pyerite</t>
        </is>
      </c>
      <c r="D628" s="0" t="n">
        <v>90000</v>
      </c>
      <c r="E628" s="0">
        <f>VLOOKUP(C628,'Item Tier Lookup'!$A:$B,2,FALSE)</f>
        <v/>
      </c>
      <c r="F628" s="0">
        <f>VLOOKUP(E628,'Tier Params'!$A:$B,2,FALSE)</f>
        <v/>
      </c>
      <c r="G628" s="0">
        <f>VLOOKUP(E628,'Tier Params'!$A:$C,3,FALSE)</f>
        <v/>
      </c>
      <c r="H628" s="0">
        <f>CEILING(D628/G628,1)</f>
        <v/>
      </c>
      <c r="I628" s="0">
        <f>H628*F628</f>
        <v/>
      </c>
    </row>
    <row r="629">
      <c r="A629" s="0" t="inlineStr">
        <is>
          <t>'Reference sheet'!N631</t>
        </is>
      </c>
      <c r="B629" s="0" t="inlineStr">
        <is>
          <t>Structure Repair Facility</t>
        </is>
      </c>
      <c r="C629" s="0" t="inlineStr">
        <is>
          <t>Mexallon</t>
        </is>
      </c>
      <c r="D629" s="0" t="n">
        <v>31500</v>
      </c>
      <c r="E629" s="0">
        <f>VLOOKUP(C629,'Item Tier Lookup'!$A:$B,2,FALSE)</f>
        <v/>
      </c>
      <c r="F629" s="0">
        <f>VLOOKUP(E629,'Tier Params'!$A:$B,2,FALSE)</f>
        <v/>
      </c>
      <c r="G629" s="0">
        <f>VLOOKUP(E629,'Tier Params'!$A:$C,3,FALSE)</f>
        <v/>
      </c>
      <c r="H629" s="0">
        <f>CEILING(D629/G629,1)</f>
        <v/>
      </c>
      <c r="I629" s="0">
        <f>H629*F629</f>
        <v/>
      </c>
    </row>
    <row r="630">
      <c r="A630" s="0" t="inlineStr">
        <is>
          <t>'Reference sheet'!N632</t>
        </is>
      </c>
      <c r="B630" s="0" t="inlineStr">
        <is>
          <t>Structure Repair Facility</t>
        </is>
      </c>
      <c r="C630" s="0" t="inlineStr">
        <is>
          <t>Isogen</t>
        </is>
      </c>
      <c r="D630" s="0" t="n">
        <v>3600</v>
      </c>
      <c r="E630" s="0">
        <f>VLOOKUP(C630,'Item Tier Lookup'!$A:$B,2,FALSE)</f>
        <v/>
      </c>
      <c r="F630" s="0">
        <f>VLOOKUP(E630,'Tier Params'!$A:$B,2,FALSE)</f>
        <v/>
      </c>
      <c r="G630" s="0">
        <f>VLOOKUP(E630,'Tier Params'!$A:$C,3,FALSE)</f>
        <v/>
      </c>
      <c r="H630" s="0">
        <f>CEILING(D630/G630,1)</f>
        <v/>
      </c>
      <c r="I630" s="0">
        <f>H630*F630</f>
        <v/>
      </c>
    </row>
    <row r="631">
      <c r="A631" s="0" t="inlineStr">
        <is>
          <t>'Reference sheet'!N633</t>
        </is>
      </c>
      <c r="B631" s="0" t="inlineStr">
        <is>
          <t>Structure Repair Facility</t>
        </is>
      </c>
      <c r="C631" s="0" t="inlineStr">
        <is>
          <t>Nocxium</t>
        </is>
      </c>
      <c r="D631" s="0" t="n">
        <v>675</v>
      </c>
      <c r="E631" s="0">
        <f>VLOOKUP(C631,'Item Tier Lookup'!$A:$B,2,FALSE)</f>
        <v/>
      </c>
      <c r="F631" s="0">
        <f>VLOOKUP(E631,'Tier Params'!$A:$B,2,FALSE)</f>
        <v/>
      </c>
      <c r="G631" s="0">
        <f>VLOOKUP(E631,'Tier Params'!$A:$C,3,FALSE)</f>
        <v/>
      </c>
      <c r="H631" s="0">
        <f>CEILING(D631/G631,1)</f>
        <v/>
      </c>
      <c r="I631" s="0">
        <f>H631*F631</f>
        <v/>
      </c>
    </row>
    <row r="632">
      <c r="A632" s="0" t="inlineStr">
        <is>
          <t>'Reference sheet'!N634</t>
        </is>
      </c>
      <c r="B632" s="0" t="inlineStr">
        <is>
          <t>Structure Repair Facility</t>
        </is>
      </c>
      <c r="C632" s="0" t="inlineStr">
        <is>
          <t>Zydrine</t>
        </is>
      </c>
      <c r="D632" s="0" t="n">
        <v>315</v>
      </c>
      <c r="E632" s="0">
        <f>VLOOKUP(C632,'Item Tier Lookup'!$A:$B,2,FALSE)</f>
        <v/>
      </c>
      <c r="F632" s="0">
        <f>VLOOKUP(E632,'Tier Params'!$A:$B,2,FALSE)</f>
        <v/>
      </c>
      <c r="G632" s="0">
        <f>VLOOKUP(E632,'Tier Params'!$A:$C,3,FALSE)</f>
        <v/>
      </c>
      <c r="H632" s="0">
        <f>CEILING(D632/G632,1)</f>
        <v/>
      </c>
      <c r="I632" s="0">
        <f>H632*F632</f>
        <v/>
      </c>
    </row>
    <row r="633">
      <c r="A633" s="0" t="inlineStr">
        <is>
          <t>'Reference sheet'!N635</t>
        </is>
      </c>
      <c r="B633" s="0" t="inlineStr">
        <is>
          <t>Structure Repair Facility</t>
        </is>
      </c>
      <c r="C633" s="0" t="inlineStr">
        <is>
          <t>Megacyte</t>
        </is>
      </c>
      <c r="D633" s="0" t="n">
        <v>135</v>
      </c>
      <c r="E633" s="0">
        <f>VLOOKUP(C633,'Item Tier Lookup'!$A:$B,2,FALSE)</f>
        <v/>
      </c>
      <c r="F633" s="0">
        <f>VLOOKUP(E633,'Tier Params'!$A:$B,2,FALSE)</f>
        <v/>
      </c>
      <c r="G633" s="0">
        <f>VLOOKUP(E633,'Tier Params'!$A:$C,3,FALSE)</f>
        <v/>
      </c>
      <c r="H633" s="0">
        <f>CEILING(D633/G633,1)</f>
        <v/>
      </c>
      <c r="I633" s="0">
        <f>H633*F633</f>
        <v/>
      </c>
    </row>
    <row r="634">
      <c r="A634" s="0" t="inlineStr">
        <is>
          <t>'Reference sheet'!N636</t>
        </is>
      </c>
      <c r="B634" s="0" t="inlineStr">
        <is>
          <t>Structure Repair Facility</t>
        </is>
      </c>
      <c r="C634" s="0" t="inlineStr">
        <is>
          <t>Integrity Response Drones</t>
        </is>
      </c>
      <c r="D634" s="0" t="n">
        <v>3</v>
      </c>
      <c r="E634" s="0">
        <f>VLOOKUP(C634,'Item Tier Lookup'!$A:$B,2,FALSE)</f>
        <v/>
      </c>
      <c r="F634" s="0">
        <f>VLOOKUP(E634,'Tier Params'!$A:$B,2,FALSE)</f>
        <v/>
      </c>
      <c r="G634" s="0">
        <f>VLOOKUP(E634,'Tier Params'!$A:$C,3,FALSE)</f>
        <v/>
      </c>
      <c r="H634" s="0">
        <f>CEILING(D634/G634,1)</f>
        <v/>
      </c>
      <c r="I634" s="0">
        <f>H634*F634</f>
        <v/>
      </c>
    </row>
    <row r="635">
      <c r="A635" s="0" t="inlineStr">
        <is>
          <t>'Reference sheet'!N637</t>
        </is>
      </c>
      <c r="B635" s="0" t="inlineStr">
        <is>
          <t>Structure Repair Facility</t>
        </is>
      </c>
      <c r="C635" s="0" t="inlineStr">
        <is>
          <t>Gel-Matrix Biopaste</t>
        </is>
      </c>
      <c r="D635" s="0" t="n">
        <v>18</v>
      </c>
      <c r="E635" s="0">
        <f>VLOOKUP(C635,'Item Tier Lookup'!$A:$B,2,FALSE)</f>
        <v/>
      </c>
      <c r="F635" s="0">
        <f>VLOOKUP(E635,'Tier Params'!$A:$B,2,FALSE)</f>
        <v/>
      </c>
      <c r="G635" s="0">
        <f>VLOOKUP(E635,'Tier Params'!$A:$C,3,FALSE)</f>
        <v/>
      </c>
      <c r="H635" s="0">
        <f>CEILING(D635/G635,1)</f>
        <v/>
      </c>
      <c r="I635" s="0">
        <f>H635*F635</f>
        <v/>
      </c>
    </row>
    <row r="636">
      <c r="A636" s="0" t="inlineStr">
        <is>
          <t>'Reference sheet'!N638</t>
        </is>
      </c>
      <c r="B636" s="0" t="inlineStr">
        <is>
          <t>Structure Repair Facility</t>
        </is>
      </c>
      <c r="C636" s="0" t="inlineStr">
        <is>
          <t>Biocells</t>
        </is>
      </c>
      <c r="D636" s="0" t="n">
        <v>60</v>
      </c>
      <c r="E636" s="0">
        <f>VLOOKUP(C636,'Item Tier Lookup'!$A:$B,2,FALSE)</f>
        <v/>
      </c>
      <c r="F636" s="0">
        <f>VLOOKUP(E636,'Tier Params'!$A:$B,2,FALSE)</f>
        <v/>
      </c>
      <c r="G636" s="0">
        <f>VLOOKUP(E636,'Tier Params'!$A:$C,3,FALSE)</f>
        <v/>
      </c>
      <c r="H636" s="0">
        <f>CEILING(D636/G636,1)</f>
        <v/>
      </c>
      <c r="I636" s="0">
        <f>H636*F636</f>
        <v/>
      </c>
    </row>
    <row r="637">
      <c r="A637" s="0" t="inlineStr">
        <is>
          <t>'Reference sheet'!N639</t>
        </is>
      </c>
      <c r="B637" s="0" t="inlineStr">
        <is>
          <t>Structure Repair Facility</t>
        </is>
      </c>
      <c r="C637" s="0" t="inlineStr">
        <is>
          <t>Biofuels</t>
        </is>
      </c>
      <c r="D637" s="0" t="n">
        <v>480</v>
      </c>
      <c r="E637" s="0">
        <f>VLOOKUP(C637,'Item Tier Lookup'!$A:$B,2,FALSE)</f>
        <v/>
      </c>
      <c r="F637" s="0">
        <f>VLOOKUP(E637,'Tier Params'!$A:$B,2,FALSE)</f>
        <v/>
      </c>
      <c r="G637" s="0">
        <f>VLOOKUP(E637,'Tier Params'!$A:$C,3,FALSE)</f>
        <v/>
      </c>
      <c r="H637" s="0">
        <f>CEILING(D637/G637,1)</f>
        <v/>
      </c>
      <c r="I637" s="0">
        <f>H637*F637</f>
        <v/>
      </c>
    </row>
    <row r="638">
      <c r="A638" s="0" t="inlineStr">
        <is>
          <t>'Reference sheet'!N640</t>
        </is>
      </c>
      <c r="B638" s="0" t="inlineStr">
        <is>
          <t>Structure Repair Facility</t>
        </is>
      </c>
      <c r="C638" s="0" t="inlineStr">
        <is>
          <t>Carbon Compounds</t>
        </is>
      </c>
      <c r="D638" s="0" t="n">
        <v>72000</v>
      </c>
      <c r="E638" s="0">
        <f>VLOOKUP(C638,'Item Tier Lookup'!$A:$B,2,FALSE)</f>
        <v/>
      </c>
      <c r="F638" s="0">
        <f>VLOOKUP(E638,'Tier Params'!$A:$B,2,FALSE)</f>
        <v/>
      </c>
      <c r="G638" s="0">
        <f>VLOOKUP(E638,'Tier Params'!$A:$C,3,FALSE)</f>
        <v/>
      </c>
      <c r="H638" s="0">
        <f>CEILING(D638/G638,1)</f>
        <v/>
      </c>
      <c r="I638" s="0">
        <f>H638*F638</f>
        <v/>
      </c>
    </row>
    <row r="639">
      <c r="A639" s="0" t="inlineStr">
        <is>
          <t>'Reference sheet'!N641</t>
        </is>
      </c>
      <c r="B639" s="0" t="inlineStr">
        <is>
          <t>Structure Repair Facility</t>
        </is>
      </c>
      <c r="C639" s="0" t="inlineStr">
        <is>
          <t>Precious Metals</t>
        </is>
      </c>
      <c r="D639" s="0" t="n">
        <v>480</v>
      </c>
      <c r="E639" s="0">
        <f>VLOOKUP(C639,'Item Tier Lookup'!$A:$B,2,FALSE)</f>
        <v/>
      </c>
      <c r="F639" s="0">
        <f>VLOOKUP(E639,'Tier Params'!$A:$B,2,FALSE)</f>
        <v/>
      </c>
      <c r="G639" s="0">
        <f>VLOOKUP(E639,'Tier Params'!$A:$C,3,FALSE)</f>
        <v/>
      </c>
      <c r="H639" s="0">
        <f>CEILING(D639/G639,1)</f>
        <v/>
      </c>
      <c r="I639" s="0">
        <f>H639*F639</f>
        <v/>
      </c>
    </row>
    <row r="640">
      <c r="A640" s="0" t="inlineStr">
        <is>
          <t>'Reference sheet'!N642</t>
        </is>
      </c>
      <c r="B640" s="0" t="inlineStr">
        <is>
          <t>Structure Repair Facility</t>
        </is>
      </c>
      <c r="C640" s="0" t="inlineStr">
        <is>
          <t>Noble Metals</t>
        </is>
      </c>
      <c r="D640" s="0" t="n">
        <v>72000</v>
      </c>
      <c r="E640" s="0">
        <f>VLOOKUP(C640,'Item Tier Lookup'!$A:$B,2,FALSE)</f>
        <v/>
      </c>
      <c r="F640" s="0">
        <f>VLOOKUP(E640,'Tier Params'!$A:$B,2,FALSE)</f>
        <v/>
      </c>
      <c r="G640" s="0">
        <f>VLOOKUP(E640,'Tier Params'!$A:$C,3,FALSE)</f>
        <v/>
      </c>
      <c r="H640" s="0">
        <f>CEILING(D640/G640,1)</f>
        <v/>
      </c>
      <c r="I640" s="0">
        <f>H640*F640</f>
        <v/>
      </c>
    </row>
    <row r="641">
      <c r="A641" s="0" t="inlineStr">
        <is>
          <t>'Reference sheet'!N643</t>
        </is>
      </c>
      <c r="B641" s="0" t="inlineStr">
        <is>
          <t>Structure Repair Facility</t>
        </is>
      </c>
      <c r="C641" s="0" t="inlineStr">
        <is>
          <t>Oxides</t>
        </is>
      </c>
      <c r="D641" s="0" t="n">
        <v>60</v>
      </c>
      <c r="E641" s="0">
        <f>VLOOKUP(C641,'Item Tier Lookup'!$A:$B,2,FALSE)</f>
        <v/>
      </c>
      <c r="F641" s="0">
        <f>VLOOKUP(E641,'Tier Params'!$A:$B,2,FALSE)</f>
        <v/>
      </c>
      <c r="G641" s="0">
        <f>VLOOKUP(E641,'Tier Params'!$A:$C,3,FALSE)</f>
        <v/>
      </c>
      <c r="H641" s="0">
        <f>CEILING(D641/G641,1)</f>
        <v/>
      </c>
      <c r="I641" s="0">
        <f>H641*F641</f>
        <v/>
      </c>
    </row>
    <row r="642">
      <c r="A642" s="0" t="inlineStr">
        <is>
          <t>'Reference sheet'!N644</t>
        </is>
      </c>
      <c r="B642" s="0" t="inlineStr">
        <is>
          <t>Structure Repair Facility</t>
        </is>
      </c>
      <c r="C642" s="0" t="inlineStr">
        <is>
          <t>Oxidizing Compound</t>
        </is>
      </c>
      <c r="D642" s="0" t="n">
        <v>480</v>
      </c>
      <c r="E642" s="0">
        <f>VLOOKUP(C642,'Item Tier Lookup'!$A:$B,2,FALSE)</f>
        <v/>
      </c>
      <c r="F642" s="0">
        <f>VLOOKUP(E642,'Tier Params'!$A:$B,2,FALSE)</f>
        <v/>
      </c>
      <c r="G642" s="0">
        <f>VLOOKUP(E642,'Tier Params'!$A:$C,3,FALSE)</f>
        <v/>
      </c>
      <c r="H642" s="0">
        <f>CEILING(D642/G642,1)</f>
        <v/>
      </c>
      <c r="I642" s="0">
        <f>H642*F642</f>
        <v/>
      </c>
    </row>
    <row r="643">
      <c r="A643" s="0" t="inlineStr">
        <is>
          <t>'Reference sheet'!N645</t>
        </is>
      </c>
      <c r="B643" s="0" t="inlineStr">
        <is>
          <t>Structure Repair Facility</t>
        </is>
      </c>
      <c r="C643" s="0" t="inlineStr">
        <is>
          <t>Reactive Gas</t>
        </is>
      </c>
      <c r="D643" s="0" t="n">
        <v>72000</v>
      </c>
      <c r="E643" s="0">
        <f>VLOOKUP(C643,'Item Tier Lookup'!$A:$B,2,FALSE)</f>
        <v/>
      </c>
      <c r="F643" s="0">
        <f>VLOOKUP(E643,'Tier Params'!$A:$B,2,FALSE)</f>
        <v/>
      </c>
      <c r="G643" s="0">
        <f>VLOOKUP(E643,'Tier Params'!$A:$C,3,FALSE)</f>
        <v/>
      </c>
      <c r="H643" s="0">
        <f>CEILING(D643/G643,1)</f>
        <v/>
      </c>
      <c r="I643" s="0">
        <f>H643*F643</f>
        <v/>
      </c>
    </row>
    <row r="644">
      <c r="A644" s="0" t="inlineStr">
        <is>
          <t>'Reference sheet'!N646</t>
        </is>
      </c>
      <c r="B644" s="0" t="inlineStr">
        <is>
          <t>Structure Repair Facility</t>
        </is>
      </c>
      <c r="C644" s="0" t="inlineStr">
        <is>
          <t>Oxygen</t>
        </is>
      </c>
      <c r="D644" s="0" t="n">
        <v>480</v>
      </c>
      <c r="E644" s="0">
        <f>VLOOKUP(C644,'Item Tier Lookup'!$A:$B,2,FALSE)</f>
        <v/>
      </c>
      <c r="F644" s="0">
        <f>VLOOKUP(E644,'Tier Params'!$A:$B,2,FALSE)</f>
        <v/>
      </c>
      <c r="G644" s="0">
        <f>VLOOKUP(E644,'Tier Params'!$A:$C,3,FALSE)</f>
        <v/>
      </c>
      <c r="H644" s="0">
        <f>CEILING(D644/G644,1)</f>
        <v/>
      </c>
      <c r="I644" s="0">
        <f>H644*F644</f>
        <v/>
      </c>
    </row>
    <row r="645">
      <c r="A645" s="0" t="inlineStr">
        <is>
          <t>'Reference sheet'!N647</t>
        </is>
      </c>
      <c r="B645" s="0" t="inlineStr">
        <is>
          <t>Structure Repair Facility</t>
        </is>
      </c>
      <c r="C645" s="0" t="inlineStr">
        <is>
          <t>Noble Gas</t>
        </is>
      </c>
      <c r="D645" s="0" t="n">
        <v>72000</v>
      </c>
      <c r="E645" s="0">
        <f>VLOOKUP(C645,'Item Tier Lookup'!$A:$B,2,FALSE)</f>
        <v/>
      </c>
      <c r="F645" s="0">
        <f>VLOOKUP(E645,'Tier Params'!$A:$B,2,FALSE)</f>
        <v/>
      </c>
      <c r="G645" s="0">
        <f>VLOOKUP(E645,'Tier Params'!$A:$C,3,FALSE)</f>
        <v/>
      </c>
      <c r="H645" s="0">
        <f>CEILING(D645/G645,1)</f>
        <v/>
      </c>
      <c r="I645" s="0">
        <f>H645*F645</f>
        <v/>
      </c>
    </row>
    <row r="646">
      <c r="A646" s="0" t="inlineStr">
        <is>
          <t>'Reference sheet'!N648</t>
        </is>
      </c>
      <c r="B646" s="0" t="inlineStr">
        <is>
          <t>Structure Repair Facility</t>
        </is>
      </c>
      <c r="C646" s="0" t="inlineStr">
        <is>
          <t>Superconductors</t>
        </is>
      </c>
      <c r="D646" s="0" t="n">
        <v>60</v>
      </c>
      <c r="E646" s="0">
        <f>VLOOKUP(C646,'Item Tier Lookup'!$A:$B,2,FALSE)</f>
        <v/>
      </c>
      <c r="F646" s="0">
        <f>VLOOKUP(E646,'Tier Params'!$A:$B,2,FALSE)</f>
        <v/>
      </c>
      <c r="G646" s="0">
        <f>VLOOKUP(E646,'Tier Params'!$A:$C,3,FALSE)</f>
        <v/>
      </c>
      <c r="H646" s="0">
        <f>CEILING(D646/G646,1)</f>
        <v/>
      </c>
      <c r="I646" s="0">
        <f>H646*F646</f>
        <v/>
      </c>
    </row>
    <row r="647">
      <c r="A647" s="0" t="inlineStr">
        <is>
          <t>'Reference sheet'!N649</t>
        </is>
      </c>
      <c r="B647" s="0" t="inlineStr">
        <is>
          <t>Structure Repair Facility</t>
        </is>
      </c>
      <c r="C647" s="0" t="inlineStr">
        <is>
          <t>Plasmoids</t>
        </is>
      </c>
      <c r="D647" s="0" t="n">
        <v>480</v>
      </c>
      <c r="E647" s="0">
        <f>VLOOKUP(C647,'Item Tier Lookup'!$A:$B,2,FALSE)</f>
        <v/>
      </c>
      <c r="F647" s="0">
        <f>VLOOKUP(E647,'Tier Params'!$A:$B,2,FALSE)</f>
        <v/>
      </c>
      <c r="G647" s="0">
        <f>VLOOKUP(E647,'Tier Params'!$A:$C,3,FALSE)</f>
        <v/>
      </c>
      <c r="H647" s="0">
        <f>CEILING(D647/G647,1)</f>
        <v/>
      </c>
      <c r="I647" s="0">
        <f>H647*F647</f>
        <v/>
      </c>
    </row>
    <row r="648">
      <c r="A648" s="0" t="inlineStr">
        <is>
          <t>'Reference sheet'!N650</t>
        </is>
      </c>
      <c r="B648" s="0" t="inlineStr">
        <is>
          <t>Structure Repair Facility</t>
        </is>
      </c>
      <c r="C648" s="0" t="inlineStr">
        <is>
          <t>Suspended Plasma</t>
        </is>
      </c>
      <c r="D648" s="0" t="n">
        <v>72000</v>
      </c>
      <c r="E648" s="0">
        <f>VLOOKUP(C648,'Item Tier Lookup'!$A:$B,2,FALSE)</f>
        <v/>
      </c>
      <c r="F648" s="0">
        <f>VLOOKUP(E648,'Tier Params'!$A:$B,2,FALSE)</f>
        <v/>
      </c>
      <c r="G648" s="0">
        <f>VLOOKUP(E648,'Tier Params'!$A:$C,3,FALSE)</f>
        <v/>
      </c>
      <c r="H648" s="0">
        <f>CEILING(D648/G648,1)</f>
        <v/>
      </c>
      <c r="I648" s="0">
        <f>H648*F648</f>
        <v/>
      </c>
    </row>
    <row r="649">
      <c r="A649" s="0" t="inlineStr">
        <is>
          <t>'Reference sheet'!N651</t>
        </is>
      </c>
      <c r="B649" s="0" t="inlineStr">
        <is>
          <t>Structure Repair Facility</t>
        </is>
      </c>
      <c r="C649" s="0" t="inlineStr">
        <is>
          <t>Water</t>
        </is>
      </c>
      <c r="D649" s="0" t="n">
        <v>480</v>
      </c>
      <c r="E649" s="0">
        <f>VLOOKUP(C649,'Item Tier Lookup'!$A:$B,2,FALSE)</f>
        <v/>
      </c>
      <c r="F649" s="0">
        <f>VLOOKUP(E649,'Tier Params'!$A:$B,2,FALSE)</f>
        <v/>
      </c>
      <c r="G649" s="0">
        <f>VLOOKUP(E649,'Tier Params'!$A:$C,3,FALSE)</f>
        <v/>
      </c>
      <c r="H649" s="0">
        <f>CEILING(D649/G649,1)</f>
        <v/>
      </c>
      <c r="I649" s="0">
        <f>H649*F649</f>
        <v/>
      </c>
    </row>
    <row r="650">
      <c r="A650" s="0" t="inlineStr">
        <is>
          <t>'Reference sheet'!N652</t>
        </is>
      </c>
      <c r="B650" s="0" t="inlineStr">
        <is>
          <t>Structure Repair Facility</t>
        </is>
      </c>
      <c r="C650" s="0" t="inlineStr">
        <is>
          <t>Aqueous Liquids</t>
        </is>
      </c>
      <c r="D650" s="0" t="n">
        <v>72000</v>
      </c>
      <c r="E650" s="0">
        <f>VLOOKUP(C650,'Item Tier Lookup'!$A:$B,2,FALSE)</f>
        <v/>
      </c>
      <c r="F650" s="0">
        <f>VLOOKUP(E650,'Tier Params'!$A:$B,2,FALSE)</f>
        <v/>
      </c>
      <c r="G650" s="0">
        <f>VLOOKUP(E650,'Tier Params'!$A:$C,3,FALSE)</f>
        <v/>
      </c>
      <c r="H650" s="0">
        <f>CEILING(D650/G650,1)</f>
        <v/>
      </c>
      <c r="I650" s="0">
        <f>H650*F650</f>
        <v/>
      </c>
    </row>
    <row r="651">
      <c r="A651" s="0" t="inlineStr">
        <is>
          <t>'Reference sheet'!N653</t>
        </is>
      </c>
      <c r="B651" s="0" t="inlineStr">
        <is>
          <t>Structure Repair Facility</t>
        </is>
      </c>
      <c r="C651" s="0" t="inlineStr">
        <is>
          <t>Hazmat Detection Systems</t>
        </is>
      </c>
      <c r="D651" s="0" t="n">
        <v>18</v>
      </c>
      <c r="E651" s="0">
        <f>VLOOKUP(C651,'Item Tier Lookup'!$A:$B,2,FALSE)</f>
        <v/>
      </c>
      <c r="F651" s="0">
        <f>VLOOKUP(E651,'Tier Params'!$A:$B,2,FALSE)</f>
        <v/>
      </c>
      <c r="G651" s="0">
        <f>VLOOKUP(E651,'Tier Params'!$A:$C,3,FALSE)</f>
        <v/>
      </c>
      <c r="H651" s="0">
        <f>CEILING(D651/G651,1)</f>
        <v/>
      </c>
      <c r="I651" s="0">
        <f>H651*F651</f>
        <v/>
      </c>
    </row>
    <row r="652">
      <c r="A652" s="0" t="inlineStr">
        <is>
          <t>'Reference sheet'!N654</t>
        </is>
      </c>
      <c r="B652" s="0" t="inlineStr">
        <is>
          <t>Structure Repair Facility</t>
        </is>
      </c>
      <c r="C652" s="0" t="inlineStr">
        <is>
          <t>Transmitter</t>
        </is>
      </c>
      <c r="D652" s="0" t="n">
        <v>60</v>
      </c>
      <c r="E652" s="0">
        <f>VLOOKUP(C652,'Item Tier Lookup'!$A:$B,2,FALSE)</f>
        <v/>
      </c>
      <c r="F652" s="0">
        <f>VLOOKUP(E652,'Tier Params'!$A:$B,2,FALSE)</f>
        <v/>
      </c>
      <c r="G652" s="0">
        <f>VLOOKUP(E652,'Tier Params'!$A:$C,3,FALSE)</f>
        <v/>
      </c>
      <c r="H652" s="0">
        <f>CEILING(D652/G652,1)</f>
        <v/>
      </c>
      <c r="I652" s="0">
        <f>H652*F652</f>
        <v/>
      </c>
    </row>
    <row r="653">
      <c r="A653" s="0" t="inlineStr">
        <is>
          <t>'Reference sheet'!N655</t>
        </is>
      </c>
      <c r="B653" s="0" t="inlineStr">
        <is>
          <t>Structure Repair Facility</t>
        </is>
      </c>
      <c r="C653" s="0" t="inlineStr">
        <is>
          <t>Chiral Structures</t>
        </is>
      </c>
      <c r="D653" s="0" t="n">
        <v>480</v>
      </c>
      <c r="E653" s="0">
        <f>VLOOKUP(C653,'Item Tier Lookup'!$A:$B,2,FALSE)</f>
        <v/>
      </c>
      <c r="F653" s="0">
        <f>VLOOKUP(E653,'Tier Params'!$A:$B,2,FALSE)</f>
        <v/>
      </c>
      <c r="G653" s="0">
        <f>VLOOKUP(E653,'Tier Params'!$A:$C,3,FALSE)</f>
        <v/>
      </c>
      <c r="H653" s="0">
        <f>CEILING(D653/G653,1)</f>
        <v/>
      </c>
      <c r="I653" s="0">
        <f>H653*F653</f>
        <v/>
      </c>
    </row>
    <row r="654">
      <c r="A654" s="0" t="inlineStr">
        <is>
          <t>'Reference sheet'!N656</t>
        </is>
      </c>
      <c r="B654" s="0" t="inlineStr">
        <is>
          <t>Structure Repair Facility</t>
        </is>
      </c>
      <c r="C654" s="0" t="inlineStr">
        <is>
          <t>Non-CS Crystals</t>
        </is>
      </c>
      <c r="D654" s="0" t="n">
        <v>72000</v>
      </c>
      <c r="E654" s="0">
        <f>VLOOKUP(C654,'Item Tier Lookup'!$A:$B,2,FALSE)</f>
        <v/>
      </c>
      <c r="F654" s="0">
        <f>VLOOKUP(E654,'Tier Params'!$A:$B,2,FALSE)</f>
        <v/>
      </c>
      <c r="G654" s="0">
        <f>VLOOKUP(E654,'Tier Params'!$A:$C,3,FALSE)</f>
        <v/>
      </c>
      <c r="H654" s="0">
        <f>CEILING(D654/G654,1)</f>
        <v/>
      </c>
      <c r="I654" s="0">
        <f>H654*F654</f>
        <v/>
      </c>
    </row>
    <row r="655">
      <c r="A655" s="0" t="inlineStr">
        <is>
          <t>'Reference sheet'!N657</t>
        </is>
      </c>
      <c r="B655" s="0" t="inlineStr">
        <is>
          <t>Structure Repair Facility</t>
        </is>
      </c>
      <c r="C655" s="0" t="inlineStr">
        <is>
          <t>Plasmoids</t>
        </is>
      </c>
      <c r="D655" s="0" t="n">
        <v>480</v>
      </c>
      <c r="E655" s="0">
        <f>VLOOKUP(C655,'Item Tier Lookup'!$A:$B,2,FALSE)</f>
        <v/>
      </c>
      <c r="F655" s="0">
        <f>VLOOKUP(E655,'Tier Params'!$A:$B,2,FALSE)</f>
        <v/>
      </c>
      <c r="G655" s="0">
        <f>VLOOKUP(E655,'Tier Params'!$A:$C,3,FALSE)</f>
        <v/>
      </c>
      <c r="H655" s="0">
        <f>CEILING(D655/G655,1)</f>
        <v/>
      </c>
      <c r="I655" s="0">
        <f>H655*F655</f>
        <v/>
      </c>
    </row>
    <row r="656">
      <c r="A656" s="0" t="inlineStr">
        <is>
          <t>'Reference sheet'!N658</t>
        </is>
      </c>
      <c r="B656" s="0" t="inlineStr">
        <is>
          <t>Structure Repair Facility</t>
        </is>
      </c>
      <c r="C656" s="0" t="inlineStr">
        <is>
          <t>Suspended Plasma</t>
        </is>
      </c>
      <c r="D656" s="0" t="n">
        <v>72000</v>
      </c>
      <c r="E656" s="0">
        <f>VLOOKUP(C656,'Item Tier Lookup'!$A:$B,2,FALSE)</f>
        <v/>
      </c>
      <c r="F656" s="0">
        <f>VLOOKUP(E656,'Tier Params'!$A:$B,2,FALSE)</f>
        <v/>
      </c>
      <c r="G656" s="0">
        <f>VLOOKUP(E656,'Tier Params'!$A:$C,3,FALSE)</f>
        <v/>
      </c>
      <c r="H656" s="0">
        <f>CEILING(D656/G656,1)</f>
        <v/>
      </c>
      <c r="I656" s="0">
        <f>H656*F656</f>
        <v/>
      </c>
    </row>
    <row r="657">
      <c r="A657" s="0" t="inlineStr">
        <is>
          <t>'Reference sheet'!N659</t>
        </is>
      </c>
      <c r="B657" s="0" t="inlineStr">
        <is>
          <t>Structure Repair Facility</t>
        </is>
      </c>
      <c r="C657" s="0" t="inlineStr">
        <is>
          <t>Polytextiles</t>
        </is>
      </c>
      <c r="D657" s="0" t="n">
        <v>60</v>
      </c>
      <c r="E657" s="0">
        <f>VLOOKUP(C657,'Item Tier Lookup'!$A:$B,2,FALSE)</f>
        <v/>
      </c>
      <c r="F657" s="0">
        <f>VLOOKUP(E657,'Tier Params'!$A:$B,2,FALSE)</f>
        <v/>
      </c>
      <c r="G657" s="0">
        <f>VLOOKUP(E657,'Tier Params'!$A:$C,3,FALSE)</f>
        <v/>
      </c>
      <c r="H657" s="0">
        <f>CEILING(D657/G657,1)</f>
        <v/>
      </c>
      <c r="I657" s="0">
        <f>H657*F657</f>
        <v/>
      </c>
    </row>
    <row r="658">
      <c r="A658" s="0" t="inlineStr">
        <is>
          <t>'Reference sheet'!N660</t>
        </is>
      </c>
      <c r="B658" s="0" t="inlineStr">
        <is>
          <t>Structure Repair Facility</t>
        </is>
      </c>
      <c r="C658" s="0" t="inlineStr">
        <is>
          <t>Biofuels</t>
        </is>
      </c>
      <c r="D658" s="0" t="n">
        <v>480</v>
      </c>
      <c r="E658" s="0">
        <f>VLOOKUP(C658,'Item Tier Lookup'!$A:$B,2,FALSE)</f>
        <v/>
      </c>
      <c r="F658" s="0">
        <f>VLOOKUP(E658,'Tier Params'!$A:$B,2,FALSE)</f>
        <v/>
      </c>
      <c r="G658" s="0">
        <f>VLOOKUP(E658,'Tier Params'!$A:$C,3,FALSE)</f>
        <v/>
      </c>
      <c r="H658" s="0">
        <f>CEILING(D658/G658,1)</f>
        <v/>
      </c>
      <c r="I658" s="0">
        <f>H658*F658</f>
        <v/>
      </c>
    </row>
    <row r="659">
      <c r="A659" s="0" t="inlineStr">
        <is>
          <t>'Reference sheet'!N661</t>
        </is>
      </c>
      <c r="B659" s="0" t="inlineStr">
        <is>
          <t>Structure Repair Facility</t>
        </is>
      </c>
      <c r="C659" s="0" t="inlineStr">
        <is>
          <t>Carbon Compounds</t>
        </is>
      </c>
      <c r="D659" s="0" t="n">
        <v>72000</v>
      </c>
      <c r="E659" s="0">
        <f>VLOOKUP(C659,'Item Tier Lookup'!$A:$B,2,FALSE)</f>
        <v/>
      </c>
      <c r="F659" s="0">
        <f>VLOOKUP(E659,'Tier Params'!$A:$B,2,FALSE)</f>
        <v/>
      </c>
      <c r="G659" s="0">
        <f>VLOOKUP(E659,'Tier Params'!$A:$C,3,FALSE)</f>
        <v/>
      </c>
      <c r="H659" s="0">
        <f>CEILING(D659/G659,1)</f>
        <v/>
      </c>
      <c r="I659" s="0">
        <f>H659*F659</f>
        <v/>
      </c>
    </row>
    <row r="660">
      <c r="A660" s="0" t="inlineStr">
        <is>
          <t>'Reference sheet'!N662</t>
        </is>
      </c>
      <c r="B660" s="0" t="inlineStr">
        <is>
          <t>Structure Repair Facility</t>
        </is>
      </c>
      <c r="C660" s="0" t="inlineStr">
        <is>
          <t>Industrial Fibers</t>
        </is>
      </c>
      <c r="D660" s="0" t="n">
        <v>480</v>
      </c>
      <c r="E660" s="0">
        <f>VLOOKUP(C660,'Item Tier Lookup'!$A:$B,2,FALSE)</f>
        <v/>
      </c>
      <c r="F660" s="0">
        <f>VLOOKUP(E660,'Tier Params'!$A:$B,2,FALSE)</f>
        <v/>
      </c>
      <c r="G660" s="0">
        <f>VLOOKUP(E660,'Tier Params'!$A:$C,3,FALSE)</f>
        <v/>
      </c>
      <c r="H660" s="0">
        <f>CEILING(D660/G660,1)</f>
        <v/>
      </c>
      <c r="I660" s="0">
        <f>H660*F660</f>
        <v/>
      </c>
    </row>
    <row r="661">
      <c r="A661" s="0" t="inlineStr">
        <is>
          <t>'Reference sheet'!N663</t>
        </is>
      </c>
      <c r="B661" s="0" t="inlineStr">
        <is>
          <t>Structure Repair Facility</t>
        </is>
      </c>
      <c r="C661" s="0" t="inlineStr">
        <is>
          <t>Autotrophs</t>
        </is>
      </c>
      <c r="D661" s="0" t="n">
        <v>72000</v>
      </c>
      <c r="E661" s="0">
        <f>VLOOKUP(C661,'Item Tier Lookup'!$A:$B,2,FALSE)</f>
        <v/>
      </c>
      <c r="F661" s="0">
        <f>VLOOKUP(E661,'Tier Params'!$A:$B,2,FALSE)</f>
        <v/>
      </c>
      <c r="G661" s="0">
        <f>VLOOKUP(E661,'Tier Params'!$A:$C,3,FALSE)</f>
        <v/>
      </c>
      <c r="H661" s="0">
        <f>CEILING(D661/G661,1)</f>
        <v/>
      </c>
      <c r="I661" s="0">
        <f>H661*F661</f>
        <v/>
      </c>
    </row>
    <row r="662">
      <c r="A662" s="0" t="inlineStr">
        <is>
          <t>'Reference sheet'!N664</t>
        </is>
      </c>
      <c r="B662" s="0" t="inlineStr">
        <is>
          <t>Structure Repair Facility</t>
        </is>
      </c>
      <c r="C662" s="0" t="inlineStr">
        <is>
          <t>Viral Agent</t>
        </is>
      </c>
      <c r="D662" s="0" t="n">
        <v>60</v>
      </c>
      <c r="E662" s="0">
        <f>VLOOKUP(C662,'Item Tier Lookup'!$A:$B,2,FALSE)</f>
        <v/>
      </c>
      <c r="F662" s="0">
        <f>VLOOKUP(E662,'Tier Params'!$A:$B,2,FALSE)</f>
        <v/>
      </c>
      <c r="G662" s="0">
        <f>VLOOKUP(E662,'Tier Params'!$A:$C,3,FALSE)</f>
        <v/>
      </c>
      <c r="H662" s="0">
        <f>CEILING(D662/G662,1)</f>
        <v/>
      </c>
      <c r="I662" s="0">
        <f>H662*F662</f>
        <v/>
      </c>
    </row>
    <row r="663">
      <c r="A663" s="0" t="inlineStr">
        <is>
          <t>'Reference sheet'!N665</t>
        </is>
      </c>
      <c r="B663" s="0" t="inlineStr">
        <is>
          <t>Structure Repair Facility</t>
        </is>
      </c>
      <c r="C663" s="0" t="inlineStr">
        <is>
          <t>Bacteria</t>
        </is>
      </c>
      <c r="D663" s="0" t="n">
        <v>480</v>
      </c>
      <c r="E663" s="0">
        <f>VLOOKUP(C663,'Item Tier Lookup'!$A:$B,2,FALSE)</f>
        <v/>
      </c>
      <c r="F663" s="0">
        <f>VLOOKUP(E663,'Tier Params'!$A:$B,2,FALSE)</f>
        <v/>
      </c>
      <c r="G663" s="0">
        <f>VLOOKUP(E663,'Tier Params'!$A:$C,3,FALSE)</f>
        <v/>
      </c>
      <c r="H663" s="0">
        <f>CEILING(D663/G663,1)</f>
        <v/>
      </c>
      <c r="I663" s="0">
        <f>H663*F663</f>
        <v/>
      </c>
    </row>
    <row r="664">
      <c r="A664" s="0" t="inlineStr">
        <is>
          <t>'Reference sheet'!N666</t>
        </is>
      </c>
      <c r="B664" s="0" t="inlineStr">
        <is>
          <t>Structure Repair Facility</t>
        </is>
      </c>
      <c r="C664" s="0" t="inlineStr">
        <is>
          <t>Microorganisms</t>
        </is>
      </c>
      <c r="D664" s="0" t="n">
        <v>72000</v>
      </c>
      <c r="E664" s="0">
        <f>VLOOKUP(C664,'Item Tier Lookup'!$A:$B,2,FALSE)</f>
        <v/>
      </c>
      <c r="F664" s="0">
        <f>VLOOKUP(E664,'Tier Params'!$A:$B,2,FALSE)</f>
        <v/>
      </c>
      <c r="G664" s="0">
        <f>VLOOKUP(E664,'Tier Params'!$A:$C,3,FALSE)</f>
        <v/>
      </c>
      <c r="H664" s="0">
        <f>CEILING(D664/G664,1)</f>
        <v/>
      </c>
      <c r="I664" s="0">
        <f>H664*F664</f>
        <v/>
      </c>
    </row>
    <row r="665">
      <c r="A665" s="0" t="inlineStr">
        <is>
          <t>'Reference sheet'!N667</t>
        </is>
      </c>
      <c r="B665" s="0" t="inlineStr">
        <is>
          <t>Structure Repair Facility</t>
        </is>
      </c>
      <c r="C665" s="0" t="inlineStr">
        <is>
          <t>Biomass</t>
        </is>
      </c>
      <c r="D665" s="0" t="n">
        <v>480</v>
      </c>
      <c r="E665" s="0">
        <f>VLOOKUP(C665,'Item Tier Lookup'!$A:$B,2,FALSE)</f>
        <v/>
      </c>
      <c r="F665" s="0">
        <f>VLOOKUP(E665,'Tier Params'!$A:$B,2,FALSE)</f>
        <v/>
      </c>
      <c r="G665" s="0">
        <f>VLOOKUP(E665,'Tier Params'!$A:$C,3,FALSE)</f>
        <v/>
      </c>
      <c r="H665" s="0">
        <f>CEILING(D665/G665,1)</f>
        <v/>
      </c>
      <c r="I665" s="0">
        <f>H665*F665</f>
        <v/>
      </c>
    </row>
    <row r="666">
      <c r="A666" s="0" t="inlineStr">
        <is>
          <t>'Reference sheet'!N668</t>
        </is>
      </c>
      <c r="B666" s="0" t="inlineStr">
        <is>
          <t>Structure Repair Facility</t>
        </is>
      </c>
      <c r="C666" s="0" t="inlineStr">
        <is>
          <t>Planktic Colonies</t>
        </is>
      </c>
      <c r="D666" s="0" t="n">
        <v>72000</v>
      </c>
      <c r="E666" s="0">
        <f>VLOOKUP(C666,'Item Tier Lookup'!$A:$B,2,FALSE)</f>
        <v/>
      </c>
      <c r="F666" s="0">
        <f>VLOOKUP(E666,'Tier Params'!$A:$B,2,FALSE)</f>
        <v/>
      </c>
      <c r="G666" s="0">
        <f>VLOOKUP(E666,'Tier Params'!$A:$C,3,FALSE)</f>
        <v/>
      </c>
      <c r="H666" s="0">
        <f>CEILING(D666/G666,1)</f>
        <v/>
      </c>
      <c r="I666" s="0">
        <f>H666*F666</f>
        <v/>
      </c>
    </row>
    <row r="667">
      <c r="A667" s="0" t="inlineStr">
        <is>
          <t>'Reference sheet'!N669</t>
        </is>
      </c>
      <c r="B667" s="0" t="inlineStr">
        <is>
          <t>Structure Repair Facility</t>
        </is>
      </c>
      <c r="C667" s="0" t="inlineStr">
        <is>
          <t>Planetary Vehicles</t>
        </is>
      </c>
      <c r="D667" s="0" t="n">
        <v>18</v>
      </c>
      <c r="E667" s="0">
        <f>VLOOKUP(C667,'Item Tier Lookup'!$A:$B,2,FALSE)</f>
        <v/>
      </c>
      <c r="F667" s="0">
        <f>VLOOKUP(E667,'Tier Params'!$A:$B,2,FALSE)</f>
        <v/>
      </c>
      <c r="G667" s="0">
        <f>VLOOKUP(E667,'Tier Params'!$A:$C,3,FALSE)</f>
        <v/>
      </c>
      <c r="H667" s="0">
        <f>CEILING(D667/G667,1)</f>
        <v/>
      </c>
      <c r="I667" s="0">
        <f>H667*F667</f>
        <v/>
      </c>
    </row>
    <row r="668">
      <c r="A668" s="0" t="inlineStr">
        <is>
          <t>'Reference sheet'!N670</t>
        </is>
      </c>
      <c r="B668" s="0" t="inlineStr">
        <is>
          <t>Structure Repair Facility</t>
        </is>
      </c>
      <c r="C668" s="0" t="inlineStr">
        <is>
          <t>Supertensile Plastics</t>
        </is>
      </c>
      <c r="D668" s="0" t="n">
        <v>60</v>
      </c>
      <c r="E668" s="0">
        <f>VLOOKUP(C668,'Item Tier Lookup'!$A:$B,2,FALSE)</f>
        <v/>
      </c>
      <c r="F668" s="0">
        <f>VLOOKUP(E668,'Tier Params'!$A:$B,2,FALSE)</f>
        <v/>
      </c>
      <c r="G668" s="0">
        <f>VLOOKUP(E668,'Tier Params'!$A:$C,3,FALSE)</f>
        <v/>
      </c>
      <c r="H668" s="0">
        <f>CEILING(D668/G668,1)</f>
        <v/>
      </c>
      <c r="I668" s="0">
        <f>H668*F668</f>
        <v/>
      </c>
    </row>
    <row r="669">
      <c r="A669" s="0" t="inlineStr">
        <is>
          <t>'Reference sheet'!N671</t>
        </is>
      </c>
      <c r="B669" s="0" t="inlineStr">
        <is>
          <t>Structure Repair Facility</t>
        </is>
      </c>
      <c r="C669" s="0" t="inlineStr">
        <is>
          <t>Oxygen</t>
        </is>
      </c>
      <c r="D669" s="0" t="n">
        <v>480</v>
      </c>
      <c r="E669" s="0">
        <f>VLOOKUP(C669,'Item Tier Lookup'!$A:$B,2,FALSE)</f>
        <v/>
      </c>
      <c r="F669" s="0">
        <f>VLOOKUP(E669,'Tier Params'!$A:$B,2,FALSE)</f>
        <v/>
      </c>
      <c r="G669" s="0">
        <f>VLOOKUP(E669,'Tier Params'!$A:$C,3,FALSE)</f>
        <v/>
      </c>
      <c r="H669" s="0">
        <f>CEILING(D669/G669,1)</f>
        <v/>
      </c>
      <c r="I669" s="0">
        <f>H669*F669</f>
        <v/>
      </c>
    </row>
    <row r="670">
      <c r="A670" s="0" t="inlineStr">
        <is>
          <t>'Reference sheet'!N672</t>
        </is>
      </c>
      <c r="B670" s="0" t="inlineStr">
        <is>
          <t>Structure Repair Facility</t>
        </is>
      </c>
      <c r="C670" s="0" t="inlineStr">
        <is>
          <t>Noble Gas</t>
        </is>
      </c>
      <c r="D670" s="0" t="n">
        <v>72000</v>
      </c>
      <c r="E670" s="0">
        <f>VLOOKUP(C670,'Item Tier Lookup'!$A:$B,2,FALSE)</f>
        <v/>
      </c>
      <c r="F670" s="0">
        <f>VLOOKUP(E670,'Tier Params'!$A:$B,2,FALSE)</f>
        <v/>
      </c>
      <c r="G670" s="0">
        <f>VLOOKUP(E670,'Tier Params'!$A:$C,3,FALSE)</f>
        <v/>
      </c>
      <c r="H670" s="0">
        <f>CEILING(D670/G670,1)</f>
        <v/>
      </c>
      <c r="I670" s="0">
        <f>H670*F670</f>
        <v/>
      </c>
    </row>
    <row r="671">
      <c r="A671" s="0" t="inlineStr">
        <is>
          <t>'Reference sheet'!N673</t>
        </is>
      </c>
      <c r="B671" s="0" t="inlineStr">
        <is>
          <t>Structure Repair Facility</t>
        </is>
      </c>
      <c r="C671" s="0" t="inlineStr">
        <is>
          <t>Biomass</t>
        </is>
      </c>
      <c r="D671" s="0" t="n">
        <v>480</v>
      </c>
      <c r="E671" s="0">
        <f>VLOOKUP(C671,'Item Tier Lookup'!$A:$B,2,FALSE)</f>
        <v/>
      </c>
      <c r="F671" s="0">
        <f>VLOOKUP(E671,'Tier Params'!$A:$B,2,FALSE)</f>
        <v/>
      </c>
      <c r="G671" s="0">
        <f>VLOOKUP(E671,'Tier Params'!$A:$C,3,FALSE)</f>
        <v/>
      </c>
      <c r="H671" s="0">
        <f>CEILING(D671/G671,1)</f>
        <v/>
      </c>
      <c r="I671" s="0">
        <f>H671*F671</f>
        <v/>
      </c>
    </row>
    <row r="672">
      <c r="A672" s="0" t="inlineStr">
        <is>
          <t>'Reference sheet'!N674</t>
        </is>
      </c>
      <c r="B672" s="0" t="inlineStr">
        <is>
          <t>Structure Repair Facility</t>
        </is>
      </c>
      <c r="C672" s="0" t="inlineStr">
        <is>
          <t>Planktic Colonies</t>
        </is>
      </c>
      <c r="D672" s="0" t="n">
        <v>72000</v>
      </c>
      <c r="E672" s="0">
        <f>VLOOKUP(C672,'Item Tier Lookup'!$A:$B,2,FALSE)</f>
        <v/>
      </c>
      <c r="F672" s="0">
        <f>VLOOKUP(E672,'Tier Params'!$A:$B,2,FALSE)</f>
        <v/>
      </c>
      <c r="G672" s="0">
        <f>VLOOKUP(E672,'Tier Params'!$A:$C,3,FALSE)</f>
        <v/>
      </c>
      <c r="H672" s="0">
        <f>CEILING(D672/G672,1)</f>
        <v/>
      </c>
      <c r="I672" s="0">
        <f>H672*F672</f>
        <v/>
      </c>
    </row>
    <row r="673">
      <c r="A673" s="0" t="inlineStr">
        <is>
          <t>'Reference sheet'!N675</t>
        </is>
      </c>
      <c r="B673" s="0" t="inlineStr">
        <is>
          <t>Structure Repair Facility</t>
        </is>
      </c>
      <c r="C673" s="0" t="inlineStr">
        <is>
          <t>Mechanical Parts</t>
        </is>
      </c>
      <c r="D673" s="0" t="n">
        <v>60</v>
      </c>
      <c r="E673" s="0">
        <f>VLOOKUP(C673,'Item Tier Lookup'!$A:$B,2,FALSE)</f>
        <v/>
      </c>
      <c r="F673" s="0">
        <f>VLOOKUP(E673,'Tier Params'!$A:$B,2,FALSE)</f>
        <v/>
      </c>
      <c r="G673" s="0">
        <f>VLOOKUP(E673,'Tier Params'!$A:$C,3,FALSE)</f>
        <v/>
      </c>
      <c r="H673" s="0">
        <f>CEILING(D673/G673,1)</f>
        <v/>
      </c>
      <c r="I673" s="0">
        <f>H673*F673</f>
        <v/>
      </c>
    </row>
    <row r="674">
      <c r="A674" s="0" t="inlineStr">
        <is>
          <t>'Reference sheet'!N676</t>
        </is>
      </c>
      <c r="B674" s="0" t="inlineStr">
        <is>
          <t>Structure Repair Facility</t>
        </is>
      </c>
      <c r="C674" s="0" t="inlineStr">
        <is>
          <t>Reactive Metals</t>
        </is>
      </c>
      <c r="D674" s="0" t="n">
        <v>480</v>
      </c>
      <c r="E674" s="0">
        <f>VLOOKUP(C674,'Item Tier Lookup'!$A:$B,2,FALSE)</f>
        <v/>
      </c>
      <c r="F674" s="0">
        <f>VLOOKUP(E674,'Tier Params'!$A:$B,2,FALSE)</f>
        <v/>
      </c>
      <c r="G674" s="0">
        <f>VLOOKUP(E674,'Tier Params'!$A:$C,3,FALSE)</f>
        <v/>
      </c>
      <c r="H674" s="0">
        <f>CEILING(D674/G674,1)</f>
        <v/>
      </c>
      <c r="I674" s="0">
        <f>H674*F674</f>
        <v/>
      </c>
    </row>
    <row r="675">
      <c r="A675" s="0" t="inlineStr">
        <is>
          <t>'Reference sheet'!N677</t>
        </is>
      </c>
      <c r="B675" s="0" t="inlineStr">
        <is>
          <t>Structure Repair Facility</t>
        </is>
      </c>
      <c r="C675" s="0" t="inlineStr">
        <is>
          <t>Base Metals</t>
        </is>
      </c>
      <c r="D675" s="0" t="n">
        <v>72000</v>
      </c>
      <c r="E675" s="0">
        <f>VLOOKUP(C675,'Item Tier Lookup'!$A:$B,2,FALSE)</f>
        <v/>
      </c>
      <c r="F675" s="0">
        <f>VLOOKUP(E675,'Tier Params'!$A:$B,2,FALSE)</f>
        <v/>
      </c>
      <c r="G675" s="0">
        <f>VLOOKUP(E675,'Tier Params'!$A:$C,3,FALSE)</f>
        <v/>
      </c>
      <c r="H675" s="0">
        <f>CEILING(D675/G675,1)</f>
        <v/>
      </c>
      <c r="I675" s="0">
        <f>H675*F675</f>
        <v/>
      </c>
    </row>
    <row r="676">
      <c r="A676" s="0" t="inlineStr">
        <is>
          <t>'Reference sheet'!N678</t>
        </is>
      </c>
      <c r="B676" s="0" t="inlineStr">
        <is>
          <t>Structure Repair Facility</t>
        </is>
      </c>
      <c r="C676" s="0" t="inlineStr">
        <is>
          <t>Precious Metals</t>
        </is>
      </c>
      <c r="D676" s="0" t="n">
        <v>480</v>
      </c>
      <c r="E676" s="0">
        <f>VLOOKUP(C676,'Item Tier Lookup'!$A:$B,2,FALSE)</f>
        <v/>
      </c>
      <c r="F676" s="0">
        <f>VLOOKUP(E676,'Tier Params'!$A:$B,2,FALSE)</f>
        <v/>
      </c>
      <c r="G676" s="0">
        <f>VLOOKUP(E676,'Tier Params'!$A:$C,3,FALSE)</f>
        <v/>
      </c>
      <c r="H676" s="0">
        <f>CEILING(D676/G676,1)</f>
        <v/>
      </c>
      <c r="I676" s="0">
        <f>H676*F676</f>
        <v/>
      </c>
    </row>
    <row r="677">
      <c r="A677" s="0" t="inlineStr">
        <is>
          <t>'Reference sheet'!N679</t>
        </is>
      </c>
      <c r="B677" s="0" t="inlineStr">
        <is>
          <t>Structure Repair Facility</t>
        </is>
      </c>
      <c r="C677" s="0" t="inlineStr">
        <is>
          <t>Noble Metals</t>
        </is>
      </c>
      <c r="D677" s="0" t="n">
        <v>72000</v>
      </c>
      <c r="E677" s="0">
        <f>VLOOKUP(C677,'Item Tier Lookup'!$A:$B,2,FALSE)</f>
        <v/>
      </c>
      <c r="F677" s="0">
        <f>VLOOKUP(E677,'Tier Params'!$A:$B,2,FALSE)</f>
        <v/>
      </c>
      <c r="G677" s="0">
        <f>VLOOKUP(E677,'Tier Params'!$A:$C,3,FALSE)</f>
        <v/>
      </c>
      <c r="H677" s="0">
        <f>CEILING(D677/G677,1)</f>
        <v/>
      </c>
      <c r="I677" s="0">
        <f>H677*F677</f>
        <v/>
      </c>
    </row>
    <row r="678">
      <c r="A678" s="0" t="inlineStr">
        <is>
          <t>'Reference sheet'!N680</t>
        </is>
      </c>
      <c r="B678" s="0" t="inlineStr">
        <is>
          <t>Structure Repair Facility</t>
        </is>
      </c>
      <c r="C678" s="0" t="inlineStr">
        <is>
          <t>Miniature Electronics</t>
        </is>
      </c>
      <c r="D678" s="0" t="n">
        <v>60</v>
      </c>
      <c r="E678" s="0">
        <f>VLOOKUP(C678,'Item Tier Lookup'!$A:$B,2,FALSE)</f>
        <v/>
      </c>
      <c r="F678" s="0">
        <f>VLOOKUP(E678,'Tier Params'!$A:$B,2,FALSE)</f>
        <v/>
      </c>
      <c r="G678" s="0">
        <f>VLOOKUP(E678,'Tier Params'!$A:$C,3,FALSE)</f>
        <v/>
      </c>
      <c r="H678" s="0">
        <f>CEILING(D678/G678,1)</f>
        <v/>
      </c>
      <c r="I678" s="0">
        <f>H678*F678</f>
        <v/>
      </c>
    </row>
    <row r="679">
      <c r="A679" s="0" t="inlineStr">
        <is>
          <t>'Reference sheet'!N681</t>
        </is>
      </c>
      <c r="B679" s="0" t="inlineStr">
        <is>
          <t>Structure Repair Facility</t>
        </is>
      </c>
      <c r="C679" s="0" t="inlineStr">
        <is>
          <t>Chiral Structures</t>
        </is>
      </c>
      <c r="D679" s="0" t="n">
        <v>480</v>
      </c>
      <c r="E679" s="0">
        <f>VLOOKUP(C679,'Item Tier Lookup'!$A:$B,2,FALSE)</f>
        <v/>
      </c>
      <c r="F679" s="0">
        <f>VLOOKUP(E679,'Tier Params'!$A:$B,2,FALSE)</f>
        <v/>
      </c>
      <c r="G679" s="0">
        <f>VLOOKUP(E679,'Tier Params'!$A:$C,3,FALSE)</f>
        <v/>
      </c>
      <c r="H679" s="0">
        <f>CEILING(D679/G679,1)</f>
        <v/>
      </c>
      <c r="I679" s="0">
        <f>H679*F679</f>
        <v/>
      </c>
    </row>
    <row r="680">
      <c r="A680" s="0" t="inlineStr">
        <is>
          <t>'Reference sheet'!N682</t>
        </is>
      </c>
      <c r="B680" s="0" t="inlineStr">
        <is>
          <t>Structure Repair Facility</t>
        </is>
      </c>
      <c r="C680" s="0" t="inlineStr">
        <is>
          <t>Non-CS Crystals</t>
        </is>
      </c>
      <c r="D680" s="0" t="n">
        <v>72000</v>
      </c>
      <c r="E680" s="0">
        <f>VLOOKUP(C680,'Item Tier Lookup'!$A:$B,2,FALSE)</f>
        <v/>
      </c>
      <c r="F680" s="0">
        <f>VLOOKUP(E680,'Tier Params'!$A:$B,2,FALSE)</f>
        <v/>
      </c>
      <c r="G680" s="0">
        <f>VLOOKUP(E680,'Tier Params'!$A:$C,3,FALSE)</f>
        <v/>
      </c>
      <c r="H680" s="0">
        <f>CEILING(D680/G680,1)</f>
        <v/>
      </c>
      <c r="I680" s="0">
        <f>H680*F680</f>
        <v/>
      </c>
    </row>
    <row r="681">
      <c r="A681" s="0" t="inlineStr">
        <is>
          <t>'Reference sheet'!N683</t>
        </is>
      </c>
      <c r="B681" s="0" t="inlineStr">
        <is>
          <t>Structure Repair Facility</t>
        </is>
      </c>
      <c r="C681" s="0" t="inlineStr">
        <is>
          <t>Silicon</t>
        </is>
      </c>
      <c r="D681" s="0" t="n">
        <v>480</v>
      </c>
      <c r="E681" s="0">
        <f>VLOOKUP(C681,'Item Tier Lookup'!$A:$B,2,FALSE)</f>
        <v/>
      </c>
      <c r="F681" s="0">
        <f>VLOOKUP(E681,'Tier Params'!$A:$B,2,FALSE)</f>
        <v/>
      </c>
      <c r="G681" s="0">
        <f>VLOOKUP(E681,'Tier Params'!$A:$C,3,FALSE)</f>
        <v/>
      </c>
      <c r="H681" s="0">
        <f>CEILING(D681/G681,1)</f>
        <v/>
      </c>
      <c r="I681" s="0">
        <f>H681*F681</f>
        <v/>
      </c>
    </row>
    <row r="682">
      <c r="A682" s="0" t="inlineStr">
        <is>
          <t>'Reference sheet'!N684</t>
        </is>
      </c>
      <c r="B682" s="0" t="inlineStr">
        <is>
          <t>Structure Repair Facility</t>
        </is>
      </c>
      <c r="C682" s="0" t="inlineStr">
        <is>
          <t>Felsic Magma</t>
        </is>
      </c>
      <c r="D682" s="0" t="n">
        <v>72000</v>
      </c>
      <c r="E682" s="0">
        <f>VLOOKUP(C682,'Item Tier Lookup'!$A:$B,2,FALSE)</f>
        <v/>
      </c>
      <c r="F682" s="0">
        <f>VLOOKUP(E682,'Tier Params'!$A:$B,2,FALSE)</f>
        <v/>
      </c>
      <c r="G682" s="0">
        <f>VLOOKUP(E682,'Tier Params'!$A:$C,3,FALSE)</f>
        <v/>
      </c>
      <c r="H682" s="0">
        <f>CEILING(D682/G682,1)</f>
        <v/>
      </c>
      <c r="I682" s="0">
        <f>H682*F682</f>
        <v/>
      </c>
    </row>
    <row r="683">
      <c r="A683" s="0" t="inlineStr">
        <is>
          <t>'Reference sheet'!N685</t>
        </is>
      </c>
      <c r="B683" s="0" t="inlineStr">
        <is>
          <t>Structure Repair Facility</t>
        </is>
      </c>
      <c r="C683" s="0" t="inlineStr">
        <is>
          <t>Nano-Factory</t>
        </is>
      </c>
      <c r="D683" s="0" t="n">
        <v>5</v>
      </c>
      <c r="E683" s="0">
        <f>VLOOKUP(C683,'Item Tier Lookup'!$A:$B,2,FALSE)</f>
        <v/>
      </c>
      <c r="F683" s="0">
        <f>VLOOKUP(E683,'Tier Params'!$A:$B,2,FALSE)</f>
        <v/>
      </c>
      <c r="G683" s="0">
        <f>VLOOKUP(E683,'Tier Params'!$A:$C,3,FALSE)</f>
        <v/>
      </c>
      <c r="H683" s="0">
        <f>CEILING(D683/G683,1)</f>
        <v/>
      </c>
      <c r="I683" s="0">
        <f>H683*F683</f>
        <v/>
      </c>
    </row>
    <row r="684">
      <c r="A684" s="0" t="inlineStr">
        <is>
          <t>'Reference sheet'!N686</t>
        </is>
      </c>
      <c r="B684" s="0" t="inlineStr">
        <is>
          <t>Structure Repair Facility</t>
        </is>
      </c>
      <c r="C684" s="0" t="inlineStr">
        <is>
          <t>Industrial Explosives</t>
        </is>
      </c>
      <c r="D684" s="0" t="n">
        <v>30</v>
      </c>
      <c r="E684" s="0">
        <f>VLOOKUP(C684,'Item Tier Lookup'!$A:$B,2,FALSE)</f>
        <v/>
      </c>
      <c r="F684" s="0">
        <f>VLOOKUP(E684,'Tier Params'!$A:$B,2,FALSE)</f>
        <v/>
      </c>
      <c r="G684" s="0">
        <f>VLOOKUP(E684,'Tier Params'!$A:$C,3,FALSE)</f>
        <v/>
      </c>
      <c r="H684" s="0">
        <f>CEILING(D684/G684,1)</f>
        <v/>
      </c>
      <c r="I684" s="0">
        <f>H684*F684</f>
        <v/>
      </c>
    </row>
    <row r="685">
      <c r="A685" s="0" t="inlineStr">
        <is>
          <t>'Reference sheet'!N687</t>
        </is>
      </c>
      <c r="B685" s="0" t="inlineStr">
        <is>
          <t>Structure Repair Facility</t>
        </is>
      </c>
      <c r="C685" s="0" t="inlineStr">
        <is>
          <t>Fertilizer</t>
        </is>
      </c>
      <c r="D685" s="0" t="n">
        <v>100</v>
      </c>
      <c r="E685" s="0">
        <f>VLOOKUP(C685,'Item Tier Lookup'!$A:$B,2,FALSE)</f>
        <v/>
      </c>
      <c r="F685" s="0">
        <f>VLOOKUP(E685,'Tier Params'!$A:$B,2,FALSE)</f>
        <v/>
      </c>
      <c r="G685" s="0">
        <f>VLOOKUP(E685,'Tier Params'!$A:$C,3,FALSE)</f>
        <v/>
      </c>
      <c r="H685" s="0">
        <f>CEILING(D685/G685,1)</f>
        <v/>
      </c>
      <c r="I685" s="0">
        <f>H685*F685</f>
        <v/>
      </c>
    </row>
    <row r="686">
      <c r="A686" s="0" t="inlineStr">
        <is>
          <t>'Reference sheet'!N688</t>
        </is>
      </c>
      <c r="B686" s="0" t="inlineStr">
        <is>
          <t>Structure Repair Facility</t>
        </is>
      </c>
      <c r="C686" s="0" t="inlineStr">
        <is>
          <t>Bacteria</t>
        </is>
      </c>
      <c r="D686" s="0" t="n">
        <v>800</v>
      </c>
      <c r="E686" s="0">
        <f>VLOOKUP(C686,'Item Tier Lookup'!$A:$B,2,FALSE)</f>
        <v/>
      </c>
      <c r="F686" s="0">
        <f>VLOOKUP(E686,'Tier Params'!$A:$B,2,FALSE)</f>
        <v/>
      </c>
      <c r="G686" s="0">
        <f>VLOOKUP(E686,'Tier Params'!$A:$C,3,FALSE)</f>
        <v/>
      </c>
      <c r="H686" s="0">
        <f>CEILING(D686/G686,1)</f>
        <v/>
      </c>
      <c r="I686" s="0">
        <f>H686*F686</f>
        <v/>
      </c>
    </row>
    <row r="687">
      <c r="A687" s="0" t="inlineStr">
        <is>
          <t>'Reference sheet'!N689</t>
        </is>
      </c>
      <c r="B687" s="0" t="inlineStr">
        <is>
          <t>Structure Repair Facility</t>
        </is>
      </c>
      <c r="C687" s="0" t="inlineStr">
        <is>
          <t>Microorganisms</t>
        </is>
      </c>
      <c r="D687" s="0" t="n">
        <v>120000</v>
      </c>
      <c r="E687" s="0">
        <f>VLOOKUP(C687,'Item Tier Lookup'!$A:$B,2,FALSE)</f>
        <v/>
      </c>
      <c r="F687" s="0">
        <f>VLOOKUP(E687,'Tier Params'!$A:$B,2,FALSE)</f>
        <v/>
      </c>
      <c r="G687" s="0">
        <f>VLOOKUP(E687,'Tier Params'!$A:$C,3,FALSE)</f>
        <v/>
      </c>
      <c r="H687" s="0">
        <f>CEILING(D687/G687,1)</f>
        <v/>
      </c>
      <c r="I687" s="0">
        <f>H687*F687</f>
        <v/>
      </c>
    </row>
    <row r="688">
      <c r="A688" s="0" t="inlineStr">
        <is>
          <t>'Reference sheet'!N690</t>
        </is>
      </c>
      <c r="B688" s="0" t="inlineStr">
        <is>
          <t>Structure Repair Facility</t>
        </is>
      </c>
      <c r="C688" s="0" t="inlineStr">
        <is>
          <t>Proteins</t>
        </is>
      </c>
      <c r="D688" s="0" t="n">
        <v>800</v>
      </c>
      <c r="E688" s="0">
        <f>VLOOKUP(C688,'Item Tier Lookup'!$A:$B,2,FALSE)</f>
        <v/>
      </c>
      <c r="F688" s="0">
        <f>VLOOKUP(E688,'Tier Params'!$A:$B,2,FALSE)</f>
        <v/>
      </c>
      <c r="G688" s="0">
        <f>VLOOKUP(E688,'Tier Params'!$A:$C,3,FALSE)</f>
        <v/>
      </c>
      <c r="H688" s="0">
        <f>CEILING(D688/G688,1)</f>
        <v/>
      </c>
      <c r="I688" s="0">
        <f>H688*F688</f>
        <v/>
      </c>
    </row>
    <row r="689">
      <c r="A689" s="0" t="inlineStr">
        <is>
          <t>'Reference sheet'!N691</t>
        </is>
      </c>
      <c r="B689" s="0" t="inlineStr">
        <is>
          <t>Structure Repair Facility</t>
        </is>
      </c>
      <c r="C689" s="0" t="inlineStr">
        <is>
          <t>Complex Organisms</t>
        </is>
      </c>
      <c r="D689" s="0" t="n">
        <v>120000</v>
      </c>
      <c r="E689" s="0">
        <f>VLOOKUP(C689,'Item Tier Lookup'!$A:$B,2,FALSE)</f>
        <v/>
      </c>
      <c r="F689" s="0">
        <f>VLOOKUP(E689,'Tier Params'!$A:$B,2,FALSE)</f>
        <v/>
      </c>
      <c r="G689" s="0">
        <f>VLOOKUP(E689,'Tier Params'!$A:$C,3,FALSE)</f>
        <v/>
      </c>
      <c r="H689" s="0">
        <f>CEILING(D689/G689,1)</f>
        <v/>
      </c>
      <c r="I689" s="0">
        <f>H689*F689</f>
        <v/>
      </c>
    </row>
    <row r="690">
      <c r="A690" s="0" t="inlineStr">
        <is>
          <t>'Reference sheet'!N692</t>
        </is>
      </c>
      <c r="B690" s="0" t="inlineStr">
        <is>
          <t>Structure Repair Facility</t>
        </is>
      </c>
      <c r="C690" s="0" t="inlineStr">
        <is>
          <t>Polytextiles</t>
        </is>
      </c>
      <c r="D690" s="0" t="n">
        <v>100</v>
      </c>
      <c r="E690" s="0">
        <f>VLOOKUP(C690,'Item Tier Lookup'!$A:$B,2,FALSE)</f>
        <v/>
      </c>
      <c r="F690" s="0">
        <f>VLOOKUP(E690,'Tier Params'!$A:$B,2,FALSE)</f>
        <v/>
      </c>
      <c r="G690" s="0">
        <f>VLOOKUP(E690,'Tier Params'!$A:$C,3,FALSE)</f>
        <v/>
      </c>
      <c r="H690" s="0">
        <f>CEILING(D690/G690,1)</f>
        <v/>
      </c>
      <c r="I690" s="0">
        <f>H690*F690</f>
        <v/>
      </c>
    </row>
    <row r="691">
      <c r="A691" s="0" t="inlineStr">
        <is>
          <t>'Reference sheet'!N693</t>
        </is>
      </c>
      <c r="B691" s="0" t="inlineStr">
        <is>
          <t>Structure Repair Facility</t>
        </is>
      </c>
      <c r="C691" s="0" t="inlineStr">
        <is>
          <t>Biofuels</t>
        </is>
      </c>
      <c r="D691" s="0" t="n">
        <v>800</v>
      </c>
      <c r="E691" s="0">
        <f>VLOOKUP(C691,'Item Tier Lookup'!$A:$B,2,FALSE)</f>
        <v/>
      </c>
      <c r="F691" s="0">
        <f>VLOOKUP(E691,'Tier Params'!$A:$B,2,FALSE)</f>
        <v/>
      </c>
      <c r="G691" s="0">
        <f>VLOOKUP(E691,'Tier Params'!$A:$C,3,FALSE)</f>
        <v/>
      </c>
      <c r="H691" s="0">
        <f>CEILING(D691/G691,1)</f>
        <v/>
      </c>
      <c r="I691" s="0">
        <f>H691*F691</f>
        <v/>
      </c>
    </row>
    <row r="692">
      <c r="A692" s="0" t="inlineStr">
        <is>
          <t>'Reference sheet'!N694</t>
        </is>
      </c>
      <c r="B692" s="0" t="inlineStr">
        <is>
          <t>Structure Repair Facility</t>
        </is>
      </c>
      <c r="C692" s="0" t="inlineStr">
        <is>
          <t>Carbon Compounds</t>
        </is>
      </c>
      <c r="D692" s="0" t="n">
        <v>120000</v>
      </c>
      <c r="E692" s="0">
        <f>VLOOKUP(C692,'Item Tier Lookup'!$A:$B,2,FALSE)</f>
        <v/>
      </c>
      <c r="F692" s="0">
        <f>VLOOKUP(E692,'Tier Params'!$A:$B,2,FALSE)</f>
        <v/>
      </c>
      <c r="G692" s="0">
        <f>VLOOKUP(E692,'Tier Params'!$A:$C,3,FALSE)</f>
        <v/>
      </c>
      <c r="H692" s="0">
        <f>CEILING(D692/G692,1)</f>
        <v/>
      </c>
      <c r="I692" s="0">
        <f>H692*F692</f>
        <v/>
      </c>
    </row>
    <row r="693">
      <c r="A693" s="0" t="inlineStr">
        <is>
          <t>'Reference sheet'!N695</t>
        </is>
      </c>
      <c r="B693" s="0" t="inlineStr">
        <is>
          <t>Structure Repair Facility</t>
        </is>
      </c>
      <c r="C693" s="0" t="inlineStr">
        <is>
          <t>Industrial Fibers</t>
        </is>
      </c>
      <c r="D693" s="0" t="n">
        <v>800</v>
      </c>
      <c r="E693" s="0">
        <f>VLOOKUP(C693,'Item Tier Lookup'!$A:$B,2,FALSE)</f>
        <v/>
      </c>
      <c r="F693" s="0">
        <f>VLOOKUP(E693,'Tier Params'!$A:$B,2,FALSE)</f>
        <v/>
      </c>
      <c r="G693" s="0">
        <f>VLOOKUP(E693,'Tier Params'!$A:$C,3,FALSE)</f>
        <v/>
      </c>
      <c r="H693" s="0">
        <f>CEILING(D693/G693,1)</f>
        <v/>
      </c>
      <c r="I693" s="0">
        <f>H693*F693</f>
        <v/>
      </c>
    </row>
    <row r="694">
      <c r="A694" s="0" t="inlineStr">
        <is>
          <t>'Reference sheet'!N696</t>
        </is>
      </c>
      <c r="B694" s="0" t="inlineStr">
        <is>
          <t>Structure Repair Facility</t>
        </is>
      </c>
      <c r="C694" s="0" t="inlineStr">
        <is>
          <t>Autotrophs</t>
        </is>
      </c>
      <c r="D694" s="0" t="n">
        <v>120000</v>
      </c>
      <c r="E694" s="0">
        <f>VLOOKUP(C694,'Item Tier Lookup'!$A:$B,2,FALSE)</f>
        <v/>
      </c>
      <c r="F694" s="0">
        <f>VLOOKUP(E694,'Tier Params'!$A:$B,2,FALSE)</f>
        <v/>
      </c>
      <c r="G694" s="0">
        <f>VLOOKUP(E694,'Tier Params'!$A:$C,3,FALSE)</f>
        <v/>
      </c>
      <c r="H694" s="0">
        <f>CEILING(D694/G694,1)</f>
        <v/>
      </c>
      <c r="I694" s="0">
        <f>H694*F694</f>
        <v/>
      </c>
    </row>
    <row r="695">
      <c r="A695" s="0" t="inlineStr">
        <is>
          <t>'Reference sheet'!N697</t>
        </is>
      </c>
      <c r="B695" s="0" t="inlineStr">
        <is>
          <t>Structure Repair Facility</t>
        </is>
      </c>
      <c r="C695" s="0" t="inlineStr">
        <is>
          <t>Ukomi Superconductors</t>
        </is>
      </c>
      <c r="D695" s="0" t="n">
        <v>30</v>
      </c>
      <c r="E695" s="0">
        <f>VLOOKUP(C695,'Item Tier Lookup'!$A:$B,2,FALSE)</f>
        <v/>
      </c>
      <c r="F695" s="0">
        <f>VLOOKUP(E695,'Tier Params'!$A:$B,2,FALSE)</f>
        <v/>
      </c>
      <c r="G695" s="0">
        <f>VLOOKUP(E695,'Tier Params'!$A:$C,3,FALSE)</f>
        <v/>
      </c>
      <c r="H695" s="0">
        <f>CEILING(D695/G695,1)</f>
        <v/>
      </c>
      <c r="I695" s="0">
        <f>H695*F695</f>
        <v/>
      </c>
    </row>
    <row r="696">
      <c r="A696" s="0" t="inlineStr">
        <is>
          <t>'Reference sheet'!N698</t>
        </is>
      </c>
      <c r="B696" s="0" t="inlineStr">
        <is>
          <t>Structure Repair Facility</t>
        </is>
      </c>
      <c r="C696" s="0" t="inlineStr">
        <is>
          <t>Synthetic Oil</t>
        </is>
      </c>
      <c r="D696" s="0" t="n">
        <v>100</v>
      </c>
      <c r="E696" s="0">
        <f>VLOOKUP(C696,'Item Tier Lookup'!$A:$B,2,FALSE)</f>
        <v/>
      </c>
      <c r="F696" s="0">
        <f>VLOOKUP(E696,'Tier Params'!$A:$B,2,FALSE)</f>
        <v/>
      </c>
      <c r="G696" s="0">
        <f>VLOOKUP(E696,'Tier Params'!$A:$C,3,FALSE)</f>
        <v/>
      </c>
      <c r="H696" s="0">
        <f>CEILING(D696/G696,1)</f>
        <v/>
      </c>
      <c r="I696" s="0">
        <f>H696*F696</f>
        <v/>
      </c>
    </row>
    <row r="697">
      <c r="A697" s="0" t="inlineStr">
        <is>
          <t>'Reference sheet'!N699</t>
        </is>
      </c>
      <c r="B697" s="0" t="inlineStr">
        <is>
          <t>Structure Repair Facility</t>
        </is>
      </c>
      <c r="C697" s="0" t="inlineStr">
        <is>
          <t>Oxygen</t>
        </is>
      </c>
      <c r="D697" s="0" t="n">
        <v>800</v>
      </c>
      <c r="E697" s="0">
        <f>VLOOKUP(C697,'Item Tier Lookup'!$A:$B,2,FALSE)</f>
        <v/>
      </c>
      <c r="F697" s="0">
        <f>VLOOKUP(E697,'Tier Params'!$A:$B,2,FALSE)</f>
        <v/>
      </c>
      <c r="G697" s="0">
        <f>VLOOKUP(E697,'Tier Params'!$A:$C,3,FALSE)</f>
        <v/>
      </c>
      <c r="H697" s="0">
        <f>CEILING(D697/G697,1)</f>
        <v/>
      </c>
      <c r="I697" s="0">
        <f>H697*F697</f>
        <v/>
      </c>
    </row>
    <row r="698">
      <c r="A698" s="0" t="inlineStr">
        <is>
          <t>'Reference sheet'!N700</t>
        </is>
      </c>
      <c r="B698" s="0" t="inlineStr">
        <is>
          <t>Structure Repair Facility</t>
        </is>
      </c>
      <c r="C698" s="0" t="inlineStr">
        <is>
          <t>Noble Gas</t>
        </is>
      </c>
      <c r="D698" s="0" t="n">
        <v>120000</v>
      </c>
      <c r="E698" s="0">
        <f>VLOOKUP(C698,'Item Tier Lookup'!$A:$B,2,FALSE)</f>
        <v/>
      </c>
      <c r="F698" s="0">
        <f>VLOOKUP(E698,'Tier Params'!$A:$B,2,FALSE)</f>
        <v/>
      </c>
      <c r="G698" s="0">
        <f>VLOOKUP(E698,'Tier Params'!$A:$C,3,FALSE)</f>
        <v/>
      </c>
      <c r="H698" s="0">
        <f>CEILING(D698/G698,1)</f>
        <v/>
      </c>
      <c r="I698" s="0">
        <f>H698*F698</f>
        <v/>
      </c>
    </row>
    <row r="699">
      <c r="A699" s="0" t="inlineStr">
        <is>
          <t>'Reference sheet'!N701</t>
        </is>
      </c>
      <c r="B699" s="0" t="inlineStr">
        <is>
          <t>Structure Repair Facility</t>
        </is>
      </c>
      <c r="C699" s="0" t="inlineStr">
        <is>
          <t>Electrolytes</t>
        </is>
      </c>
      <c r="D699" s="0" t="n">
        <v>800</v>
      </c>
      <c r="E699" s="0">
        <f>VLOOKUP(C699,'Item Tier Lookup'!$A:$B,2,FALSE)</f>
        <v/>
      </c>
      <c r="F699" s="0">
        <f>VLOOKUP(E699,'Tier Params'!$A:$B,2,FALSE)</f>
        <v/>
      </c>
      <c r="G699" s="0">
        <f>VLOOKUP(E699,'Tier Params'!$A:$C,3,FALSE)</f>
        <v/>
      </c>
      <c r="H699" s="0">
        <f>CEILING(D699/G699,1)</f>
        <v/>
      </c>
      <c r="I699" s="0">
        <f>H699*F699</f>
        <v/>
      </c>
    </row>
    <row r="700">
      <c r="A700" s="0" t="inlineStr">
        <is>
          <t>'Reference sheet'!N702</t>
        </is>
      </c>
      <c r="B700" s="0" t="inlineStr">
        <is>
          <t>Structure Repair Facility</t>
        </is>
      </c>
      <c r="C700" s="0" t="inlineStr">
        <is>
          <t>Ionic Solutions</t>
        </is>
      </c>
      <c r="D700" s="0" t="n">
        <v>120000</v>
      </c>
      <c r="E700" s="0">
        <f>VLOOKUP(C700,'Item Tier Lookup'!$A:$B,2,FALSE)</f>
        <v/>
      </c>
      <c r="F700" s="0">
        <f>VLOOKUP(E700,'Tier Params'!$A:$B,2,FALSE)</f>
        <v/>
      </c>
      <c r="G700" s="0">
        <f>VLOOKUP(E700,'Tier Params'!$A:$C,3,FALSE)</f>
        <v/>
      </c>
      <c r="H700" s="0">
        <f>CEILING(D700/G700,1)</f>
        <v/>
      </c>
      <c r="I700" s="0">
        <f>H700*F700</f>
        <v/>
      </c>
    </row>
    <row r="701">
      <c r="A701" s="0" t="inlineStr">
        <is>
          <t>'Reference sheet'!N703</t>
        </is>
      </c>
      <c r="B701" s="0" t="inlineStr">
        <is>
          <t>Structure Repair Facility</t>
        </is>
      </c>
      <c r="C701" s="0" t="inlineStr">
        <is>
          <t>Superconductors</t>
        </is>
      </c>
      <c r="D701" s="0" t="n">
        <v>100</v>
      </c>
      <c r="E701" s="0">
        <f>VLOOKUP(C701,'Item Tier Lookup'!$A:$B,2,FALSE)</f>
        <v/>
      </c>
      <c r="F701" s="0">
        <f>VLOOKUP(E701,'Tier Params'!$A:$B,2,FALSE)</f>
        <v/>
      </c>
      <c r="G701" s="0">
        <f>VLOOKUP(E701,'Tier Params'!$A:$C,3,FALSE)</f>
        <v/>
      </c>
      <c r="H701" s="0">
        <f>CEILING(D701/G701,1)</f>
        <v/>
      </c>
      <c r="I701" s="0">
        <f>H701*F701</f>
        <v/>
      </c>
    </row>
    <row r="702">
      <c r="A702" s="0" t="inlineStr">
        <is>
          <t>'Reference sheet'!N704</t>
        </is>
      </c>
      <c r="B702" s="0" t="inlineStr">
        <is>
          <t>Structure Repair Facility</t>
        </is>
      </c>
      <c r="C702" s="0" t="inlineStr">
        <is>
          <t>Plasmoids</t>
        </is>
      </c>
      <c r="D702" s="0" t="n">
        <v>800</v>
      </c>
      <c r="E702" s="0">
        <f>VLOOKUP(C702,'Item Tier Lookup'!$A:$B,2,FALSE)</f>
        <v/>
      </c>
      <c r="F702" s="0">
        <f>VLOOKUP(E702,'Tier Params'!$A:$B,2,FALSE)</f>
        <v/>
      </c>
      <c r="G702" s="0">
        <f>VLOOKUP(E702,'Tier Params'!$A:$C,3,FALSE)</f>
        <v/>
      </c>
      <c r="H702" s="0">
        <f>CEILING(D702/G702,1)</f>
        <v/>
      </c>
      <c r="I702" s="0">
        <f>H702*F702</f>
        <v/>
      </c>
    </row>
    <row r="703">
      <c r="A703" s="0" t="inlineStr">
        <is>
          <t>'Reference sheet'!N705</t>
        </is>
      </c>
      <c r="B703" s="0" t="inlineStr">
        <is>
          <t>Structure Repair Facility</t>
        </is>
      </c>
      <c r="C703" s="0" t="inlineStr">
        <is>
          <t>Suspended Plasma</t>
        </is>
      </c>
      <c r="D703" s="0" t="n">
        <v>120000</v>
      </c>
      <c r="E703" s="0">
        <f>VLOOKUP(C703,'Item Tier Lookup'!$A:$B,2,FALSE)</f>
        <v/>
      </c>
      <c r="F703" s="0">
        <f>VLOOKUP(E703,'Tier Params'!$A:$B,2,FALSE)</f>
        <v/>
      </c>
      <c r="G703" s="0">
        <f>VLOOKUP(E703,'Tier Params'!$A:$C,3,FALSE)</f>
        <v/>
      </c>
      <c r="H703" s="0">
        <f>CEILING(D703/G703,1)</f>
        <v/>
      </c>
      <c r="I703" s="0">
        <f>H703*F703</f>
        <v/>
      </c>
    </row>
    <row r="704">
      <c r="A704" s="0" t="inlineStr">
        <is>
          <t>'Reference sheet'!N706</t>
        </is>
      </c>
      <c r="B704" s="0" t="inlineStr">
        <is>
          <t>Structure Repair Facility</t>
        </is>
      </c>
      <c r="C704" s="0" t="inlineStr">
        <is>
          <t>Water</t>
        </is>
      </c>
      <c r="D704" s="0" t="n">
        <v>800</v>
      </c>
      <c r="E704" s="0">
        <f>VLOOKUP(C704,'Item Tier Lookup'!$A:$B,2,FALSE)</f>
        <v/>
      </c>
      <c r="F704" s="0">
        <f>VLOOKUP(E704,'Tier Params'!$A:$B,2,FALSE)</f>
        <v/>
      </c>
      <c r="G704" s="0">
        <f>VLOOKUP(E704,'Tier Params'!$A:$C,3,FALSE)</f>
        <v/>
      </c>
      <c r="H704" s="0">
        <f>CEILING(D704/G704,1)</f>
        <v/>
      </c>
      <c r="I704" s="0">
        <f>H704*F704</f>
        <v/>
      </c>
    </row>
    <row r="705">
      <c r="A705" s="0" t="inlineStr">
        <is>
          <t>'Reference sheet'!N707</t>
        </is>
      </c>
      <c r="B705" s="0" t="inlineStr">
        <is>
          <t>Structure Repair Facility</t>
        </is>
      </c>
      <c r="C705" s="0" t="inlineStr">
        <is>
          <t>Aqueous Liquids</t>
        </is>
      </c>
      <c r="D705" s="0" t="n">
        <v>120000</v>
      </c>
      <c r="E705" s="0">
        <f>VLOOKUP(C705,'Item Tier Lookup'!$A:$B,2,FALSE)</f>
        <v/>
      </c>
      <c r="F705" s="0">
        <f>VLOOKUP(E705,'Tier Params'!$A:$B,2,FALSE)</f>
        <v/>
      </c>
      <c r="G705" s="0">
        <f>VLOOKUP(E705,'Tier Params'!$A:$C,3,FALSE)</f>
        <v/>
      </c>
      <c r="H705" s="0">
        <f>CEILING(D705/G705,1)</f>
        <v/>
      </c>
      <c r="I705" s="0">
        <f>H705*F705</f>
        <v/>
      </c>
    </row>
    <row r="706">
      <c r="A706" s="0" t="inlineStr">
        <is>
          <t>'Reference sheet'!N708</t>
        </is>
      </c>
      <c r="B706" s="0" t="inlineStr">
        <is>
          <t>Structure Repair Facility</t>
        </is>
      </c>
      <c r="C706" s="0" t="inlineStr">
        <is>
          <t>Reactive Metals</t>
        </is>
      </c>
      <c r="D706" s="0" t="n">
        <v>200</v>
      </c>
      <c r="E706" s="0">
        <f>VLOOKUP(C706,'Item Tier Lookup'!$A:$B,2,FALSE)</f>
        <v/>
      </c>
      <c r="F706" s="0">
        <f>VLOOKUP(E706,'Tier Params'!$A:$B,2,FALSE)</f>
        <v/>
      </c>
      <c r="G706" s="0">
        <f>VLOOKUP(E706,'Tier Params'!$A:$C,3,FALSE)</f>
        <v/>
      </c>
      <c r="H706" s="0">
        <f>CEILING(D706/G706,1)</f>
        <v/>
      </c>
      <c r="I706" s="0">
        <f>H706*F706</f>
        <v/>
      </c>
    </row>
    <row r="707">
      <c r="A707" s="0" t="inlineStr">
        <is>
          <t>'Reference sheet'!N709</t>
        </is>
      </c>
      <c r="B707" s="0" t="inlineStr">
        <is>
          <t>Structure Repair Facility</t>
        </is>
      </c>
      <c r="C707" s="0" t="inlineStr">
        <is>
          <t>Base Metals</t>
        </is>
      </c>
      <c r="D707" s="0" t="n">
        <v>30000</v>
      </c>
      <c r="E707" s="0">
        <f>VLOOKUP(C707,'Item Tier Lookup'!$A:$B,2,FALSE)</f>
        <v/>
      </c>
      <c r="F707" s="0">
        <f>VLOOKUP(E707,'Tier Params'!$A:$B,2,FALSE)</f>
        <v/>
      </c>
      <c r="G707" s="0">
        <f>VLOOKUP(E707,'Tier Params'!$A:$C,3,FALSE)</f>
        <v/>
      </c>
      <c r="H707" s="0">
        <f>CEILING(D707/G707,1)</f>
        <v/>
      </c>
      <c r="I707" s="0">
        <f>H707*F707</f>
        <v/>
      </c>
    </row>
    <row r="708">
      <c r="A708" s="0" t="inlineStr">
        <is>
          <t>'Reference sheet'!N710</t>
        </is>
      </c>
      <c r="B708" s="0" t="inlineStr">
        <is>
          <t>Structure Repair Facility</t>
        </is>
      </c>
      <c r="C708" s="0" t="inlineStr">
        <is>
          <t>Organic Mortar Applicators</t>
        </is>
      </c>
      <c r="D708" s="0" t="n">
        <v>3</v>
      </c>
      <c r="E708" s="0">
        <f>VLOOKUP(C708,'Item Tier Lookup'!$A:$B,2,FALSE)</f>
        <v/>
      </c>
      <c r="F708" s="0">
        <f>VLOOKUP(E708,'Tier Params'!$A:$B,2,FALSE)</f>
        <v/>
      </c>
      <c r="G708" s="0">
        <f>VLOOKUP(E708,'Tier Params'!$A:$C,3,FALSE)</f>
        <v/>
      </c>
      <c r="H708" s="0">
        <f>CEILING(D708/G708,1)</f>
        <v/>
      </c>
      <c r="I708" s="0">
        <f>H708*F708</f>
        <v/>
      </c>
    </row>
    <row r="709">
      <c r="A709" s="0" t="inlineStr">
        <is>
          <t>'Reference sheet'!N711</t>
        </is>
      </c>
      <c r="B709" s="0" t="inlineStr">
        <is>
          <t>Structure Repair Facility</t>
        </is>
      </c>
      <c r="C709" s="0" t="inlineStr">
        <is>
          <t>Condensates</t>
        </is>
      </c>
      <c r="D709" s="0" t="n">
        <v>18</v>
      </c>
      <c r="E709" s="0">
        <f>VLOOKUP(C709,'Item Tier Lookup'!$A:$B,2,FALSE)</f>
        <v/>
      </c>
      <c r="F709" s="0">
        <f>VLOOKUP(E709,'Tier Params'!$A:$B,2,FALSE)</f>
        <v/>
      </c>
      <c r="G709" s="0">
        <f>VLOOKUP(E709,'Tier Params'!$A:$C,3,FALSE)</f>
        <v/>
      </c>
      <c r="H709" s="0">
        <f>CEILING(D709/G709,1)</f>
        <v/>
      </c>
      <c r="I709" s="0">
        <f>H709*F709</f>
        <v/>
      </c>
    </row>
    <row r="710">
      <c r="A710" s="0" t="inlineStr">
        <is>
          <t>'Reference sheet'!N712</t>
        </is>
      </c>
      <c r="B710" s="0" t="inlineStr">
        <is>
          <t>Structure Repair Facility</t>
        </is>
      </c>
      <c r="C710" s="0" t="inlineStr">
        <is>
          <t>Coolant</t>
        </is>
      </c>
      <c r="D710" s="0" t="n">
        <v>60</v>
      </c>
      <c r="E710" s="0">
        <f>VLOOKUP(C710,'Item Tier Lookup'!$A:$B,2,FALSE)</f>
        <v/>
      </c>
      <c r="F710" s="0">
        <f>VLOOKUP(E710,'Tier Params'!$A:$B,2,FALSE)</f>
        <v/>
      </c>
      <c r="G710" s="0">
        <f>VLOOKUP(E710,'Tier Params'!$A:$C,3,FALSE)</f>
        <v/>
      </c>
      <c r="H710" s="0">
        <f>CEILING(D710/G710,1)</f>
        <v/>
      </c>
      <c r="I710" s="0">
        <f>H710*F710</f>
        <v/>
      </c>
    </row>
    <row r="711">
      <c r="A711" s="0" t="inlineStr">
        <is>
          <t>'Reference sheet'!N713</t>
        </is>
      </c>
      <c r="B711" s="0" t="inlineStr">
        <is>
          <t>Structure Repair Facility</t>
        </is>
      </c>
      <c r="C711" s="0" t="inlineStr">
        <is>
          <t>Water</t>
        </is>
      </c>
      <c r="D711" s="0" t="n">
        <v>480</v>
      </c>
      <c r="E711" s="0">
        <f>VLOOKUP(C711,'Item Tier Lookup'!$A:$B,2,FALSE)</f>
        <v/>
      </c>
      <c r="F711" s="0">
        <f>VLOOKUP(E711,'Tier Params'!$A:$B,2,FALSE)</f>
        <v/>
      </c>
      <c r="G711" s="0">
        <f>VLOOKUP(E711,'Tier Params'!$A:$C,3,FALSE)</f>
        <v/>
      </c>
      <c r="H711" s="0">
        <f>CEILING(D711/G711,1)</f>
        <v/>
      </c>
      <c r="I711" s="0">
        <f>H711*F711</f>
        <v/>
      </c>
    </row>
    <row r="712">
      <c r="A712" s="0" t="inlineStr">
        <is>
          <t>'Reference sheet'!N714</t>
        </is>
      </c>
      <c r="B712" s="0" t="inlineStr">
        <is>
          <t>Structure Repair Facility</t>
        </is>
      </c>
      <c r="C712" s="0" t="inlineStr">
        <is>
          <t>Aqueous Liquids</t>
        </is>
      </c>
      <c r="D712" s="0" t="n">
        <v>72000</v>
      </c>
      <c r="E712" s="0">
        <f>VLOOKUP(C712,'Item Tier Lookup'!$A:$B,2,FALSE)</f>
        <v/>
      </c>
      <c r="F712" s="0">
        <f>VLOOKUP(E712,'Tier Params'!$A:$B,2,FALSE)</f>
        <v/>
      </c>
      <c r="G712" s="0">
        <f>VLOOKUP(E712,'Tier Params'!$A:$C,3,FALSE)</f>
        <v/>
      </c>
      <c r="H712" s="0">
        <f>CEILING(D712/G712,1)</f>
        <v/>
      </c>
      <c r="I712" s="0">
        <f>H712*F712</f>
        <v/>
      </c>
    </row>
    <row r="713">
      <c r="A713" s="0" t="inlineStr">
        <is>
          <t>'Reference sheet'!N715</t>
        </is>
      </c>
      <c r="B713" s="0" t="inlineStr">
        <is>
          <t>Structure Repair Facility</t>
        </is>
      </c>
      <c r="C713" s="0" t="inlineStr">
        <is>
          <t>Electrolytes</t>
        </is>
      </c>
      <c r="D713" s="0" t="n">
        <v>480</v>
      </c>
      <c r="E713" s="0">
        <f>VLOOKUP(C713,'Item Tier Lookup'!$A:$B,2,FALSE)</f>
        <v/>
      </c>
      <c r="F713" s="0">
        <f>VLOOKUP(E713,'Tier Params'!$A:$B,2,FALSE)</f>
        <v/>
      </c>
      <c r="G713" s="0">
        <f>VLOOKUP(E713,'Tier Params'!$A:$C,3,FALSE)</f>
        <v/>
      </c>
      <c r="H713" s="0">
        <f>CEILING(D713/G713,1)</f>
        <v/>
      </c>
      <c r="I713" s="0">
        <f>H713*F713</f>
        <v/>
      </c>
    </row>
    <row r="714">
      <c r="A714" s="0" t="inlineStr">
        <is>
          <t>'Reference sheet'!N716</t>
        </is>
      </c>
      <c r="B714" s="0" t="inlineStr">
        <is>
          <t>Structure Repair Facility</t>
        </is>
      </c>
      <c r="C714" s="0" t="inlineStr">
        <is>
          <t>Ionic Solutions</t>
        </is>
      </c>
      <c r="D714" s="0" t="n">
        <v>72000</v>
      </c>
      <c r="E714" s="0">
        <f>VLOOKUP(C714,'Item Tier Lookup'!$A:$B,2,FALSE)</f>
        <v/>
      </c>
      <c r="F714" s="0">
        <f>VLOOKUP(E714,'Tier Params'!$A:$B,2,FALSE)</f>
        <v/>
      </c>
      <c r="G714" s="0">
        <f>VLOOKUP(E714,'Tier Params'!$A:$C,3,FALSE)</f>
        <v/>
      </c>
      <c r="H714" s="0">
        <f>CEILING(D714/G714,1)</f>
        <v/>
      </c>
      <c r="I714" s="0">
        <f>H714*F714</f>
        <v/>
      </c>
    </row>
    <row r="715">
      <c r="A715" s="0" t="inlineStr">
        <is>
          <t>'Reference sheet'!N717</t>
        </is>
      </c>
      <c r="B715" s="0" t="inlineStr">
        <is>
          <t>Structure Repair Facility</t>
        </is>
      </c>
      <c r="C715" s="0" t="inlineStr">
        <is>
          <t>Oxides</t>
        </is>
      </c>
      <c r="D715" s="0" t="n">
        <v>60</v>
      </c>
      <c r="E715" s="0">
        <f>VLOOKUP(C715,'Item Tier Lookup'!$A:$B,2,FALSE)</f>
        <v/>
      </c>
      <c r="F715" s="0">
        <f>VLOOKUP(E715,'Tier Params'!$A:$B,2,FALSE)</f>
        <v/>
      </c>
      <c r="G715" s="0">
        <f>VLOOKUP(E715,'Tier Params'!$A:$C,3,FALSE)</f>
        <v/>
      </c>
      <c r="H715" s="0">
        <f>CEILING(D715/G715,1)</f>
        <v/>
      </c>
      <c r="I715" s="0">
        <f>H715*F715</f>
        <v/>
      </c>
    </row>
    <row r="716">
      <c r="A716" s="0" t="inlineStr">
        <is>
          <t>'Reference sheet'!N718</t>
        </is>
      </c>
      <c r="B716" s="0" t="inlineStr">
        <is>
          <t>Structure Repair Facility</t>
        </is>
      </c>
      <c r="C716" s="0" t="inlineStr">
        <is>
          <t>Oxidizing Compound</t>
        </is>
      </c>
      <c r="D716" s="0" t="n">
        <v>480</v>
      </c>
      <c r="E716" s="0">
        <f>VLOOKUP(C716,'Item Tier Lookup'!$A:$B,2,FALSE)</f>
        <v/>
      </c>
      <c r="F716" s="0">
        <f>VLOOKUP(E716,'Tier Params'!$A:$B,2,FALSE)</f>
        <v/>
      </c>
      <c r="G716" s="0">
        <f>VLOOKUP(E716,'Tier Params'!$A:$C,3,FALSE)</f>
        <v/>
      </c>
      <c r="H716" s="0">
        <f>CEILING(D716/G716,1)</f>
        <v/>
      </c>
      <c r="I716" s="0">
        <f>H716*F716</f>
        <v/>
      </c>
    </row>
    <row r="717">
      <c r="A717" s="0" t="inlineStr">
        <is>
          <t>'Reference sheet'!N719</t>
        </is>
      </c>
      <c r="B717" s="0" t="inlineStr">
        <is>
          <t>Structure Repair Facility</t>
        </is>
      </c>
      <c r="C717" s="0" t="inlineStr">
        <is>
          <t>Reactive Gas</t>
        </is>
      </c>
      <c r="D717" s="0" t="n">
        <v>72000</v>
      </c>
      <c r="E717" s="0">
        <f>VLOOKUP(C717,'Item Tier Lookup'!$A:$B,2,FALSE)</f>
        <v/>
      </c>
      <c r="F717" s="0">
        <f>VLOOKUP(E717,'Tier Params'!$A:$B,2,FALSE)</f>
        <v/>
      </c>
      <c r="G717" s="0">
        <f>VLOOKUP(E717,'Tier Params'!$A:$C,3,FALSE)</f>
        <v/>
      </c>
      <c r="H717" s="0">
        <f>CEILING(D717/G717,1)</f>
        <v/>
      </c>
      <c r="I717" s="0">
        <f>H717*F717</f>
        <v/>
      </c>
    </row>
    <row r="718">
      <c r="A718" s="0" t="inlineStr">
        <is>
          <t>'Reference sheet'!N720</t>
        </is>
      </c>
      <c r="B718" s="0" t="inlineStr">
        <is>
          <t>Structure Repair Facility</t>
        </is>
      </c>
      <c r="C718" s="0" t="inlineStr">
        <is>
          <t>Oxygen</t>
        </is>
      </c>
      <c r="D718" s="0" t="n">
        <v>480</v>
      </c>
      <c r="E718" s="0">
        <f>VLOOKUP(C718,'Item Tier Lookup'!$A:$B,2,FALSE)</f>
        <v/>
      </c>
      <c r="F718" s="0">
        <f>VLOOKUP(E718,'Tier Params'!$A:$B,2,FALSE)</f>
        <v/>
      </c>
      <c r="G718" s="0">
        <f>VLOOKUP(E718,'Tier Params'!$A:$C,3,FALSE)</f>
        <v/>
      </c>
      <c r="H718" s="0">
        <f>CEILING(D718/G718,1)</f>
        <v/>
      </c>
      <c r="I718" s="0">
        <f>H718*F718</f>
        <v/>
      </c>
    </row>
    <row r="719">
      <c r="A719" s="0" t="inlineStr">
        <is>
          <t>'Reference sheet'!N721</t>
        </is>
      </c>
      <c r="B719" s="0" t="inlineStr">
        <is>
          <t>Structure Repair Facility</t>
        </is>
      </c>
      <c r="C719" s="0" t="inlineStr">
        <is>
          <t>Noble Gas</t>
        </is>
      </c>
      <c r="D719" s="0" t="n">
        <v>72000</v>
      </c>
      <c r="E719" s="0">
        <f>VLOOKUP(C719,'Item Tier Lookup'!$A:$B,2,FALSE)</f>
        <v/>
      </c>
      <c r="F719" s="0">
        <f>VLOOKUP(E719,'Tier Params'!$A:$B,2,FALSE)</f>
        <v/>
      </c>
      <c r="G719" s="0">
        <f>VLOOKUP(E719,'Tier Params'!$A:$C,3,FALSE)</f>
        <v/>
      </c>
      <c r="H719" s="0">
        <f>CEILING(D719/G719,1)</f>
        <v/>
      </c>
      <c r="I719" s="0">
        <f>H719*F719</f>
        <v/>
      </c>
    </row>
    <row r="720">
      <c r="A720" s="0" t="inlineStr">
        <is>
          <t>'Reference sheet'!N722</t>
        </is>
      </c>
      <c r="B720" s="0" t="inlineStr">
        <is>
          <t>Structure Repair Facility</t>
        </is>
      </c>
      <c r="C720" s="0" t="inlineStr">
        <is>
          <t>Bacteria</t>
        </is>
      </c>
      <c r="D720" s="0" t="n">
        <v>120</v>
      </c>
      <c r="E720" s="0">
        <f>VLOOKUP(C720,'Item Tier Lookup'!$A:$B,2,FALSE)</f>
        <v/>
      </c>
      <c r="F720" s="0">
        <f>VLOOKUP(E720,'Tier Params'!$A:$B,2,FALSE)</f>
        <v/>
      </c>
      <c r="G720" s="0">
        <f>VLOOKUP(E720,'Tier Params'!$A:$C,3,FALSE)</f>
        <v/>
      </c>
      <c r="H720" s="0">
        <f>CEILING(D720/G720,1)</f>
        <v/>
      </c>
      <c r="I720" s="0">
        <f>H720*F720</f>
        <v/>
      </c>
    </row>
    <row r="721">
      <c r="A721" s="0" t="inlineStr">
        <is>
          <t>'Reference sheet'!N723</t>
        </is>
      </c>
      <c r="B721" s="0" t="inlineStr">
        <is>
          <t>Structure Repair Facility</t>
        </is>
      </c>
      <c r="C721" s="0" t="inlineStr">
        <is>
          <t>Microorganisms</t>
        </is>
      </c>
      <c r="D721" s="0" t="n">
        <v>18000</v>
      </c>
      <c r="E721" s="0">
        <f>VLOOKUP(C721,'Item Tier Lookup'!$A:$B,2,FALSE)</f>
        <v/>
      </c>
      <c r="F721" s="0">
        <f>VLOOKUP(E721,'Tier Params'!$A:$B,2,FALSE)</f>
        <v/>
      </c>
      <c r="G721" s="0">
        <f>VLOOKUP(E721,'Tier Params'!$A:$C,3,FALSE)</f>
        <v/>
      </c>
      <c r="H721" s="0">
        <f>CEILING(D721/G721,1)</f>
        <v/>
      </c>
      <c r="I721" s="0">
        <f>H721*F721</f>
        <v/>
      </c>
    </row>
    <row r="722">
      <c r="A722" s="0" t="inlineStr">
        <is>
          <t>'Reference sheet'!N724</t>
        </is>
      </c>
      <c r="B722" s="0" t="inlineStr">
        <is>
          <t>Structure Repair Facility</t>
        </is>
      </c>
      <c r="C722" s="0" t="inlineStr">
        <is>
          <t>Robotics</t>
        </is>
      </c>
      <c r="D722" s="0" t="n">
        <v>18</v>
      </c>
      <c r="E722" s="0">
        <f>VLOOKUP(C722,'Item Tier Lookup'!$A:$B,2,FALSE)</f>
        <v/>
      </c>
      <c r="F722" s="0">
        <f>VLOOKUP(E722,'Tier Params'!$A:$B,2,FALSE)</f>
        <v/>
      </c>
      <c r="G722" s="0">
        <f>VLOOKUP(E722,'Tier Params'!$A:$C,3,FALSE)</f>
        <v/>
      </c>
      <c r="H722" s="0">
        <f>CEILING(D722/G722,1)</f>
        <v/>
      </c>
      <c r="I722" s="0">
        <f>H722*F722</f>
        <v/>
      </c>
    </row>
    <row r="723">
      <c r="A723" s="0" t="inlineStr">
        <is>
          <t>'Reference sheet'!N725</t>
        </is>
      </c>
      <c r="B723" s="0" t="inlineStr">
        <is>
          <t>Structure Repair Facility</t>
        </is>
      </c>
      <c r="C723" s="0" t="inlineStr">
        <is>
          <t>Mechanical Parts</t>
        </is>
      </c>
      <c r="D723" s="0" t="n">
        <v>60</v>
      </c>
      <c r="E723" s="0">
        <f>VLOOKUP(C723,'Item Tier Lookup'!$A:$B,2,FALSE)</f>
        <v/>
      </c>
      <c r="F723" s="0">
        <f>VLOOKUP(E723,'Tier Params'!$A:$B,2,FALSE)</f>
        <v/>
      </c>
      <c r="G723" s="0">
        <f>VLOOKUP(E723,'Tier Params'!$A:$C,3,FALSE)</f>
        <v/>
      </c>
      <c r="H723" s="0">
        <f>CEILING(D723/G723,1)</f>
        <v/>
      </c>
      <c r="I723" s="0">
        <f>H723*F723</f>
        <v/>
      </c>
    </row>
    <row r="724">
      <c r="A724" s="0" t="inlineStr">
        <is>
          <t>'Reference sheet'!N726</t>
        </is>
      </c>
      <c r="B724" s="0" t="inlineStr">
        <is>
          <t>Structure Repair Facility</t>
        </is>
      </c>
      <c r="C724" s="0" t="inlineStr">
        <is>
          <t>Reactive Metals</t>
        </is>
      </c>
      <c r="D724" s="0" t="n">
        <v>480</v>
      </c>
      <c r="E724" s="0">
        <f>VLOOKUP(C724,'Item Tier Lookup'!$A:$B,2,FALSE)</f>
        <v/>
      </c>
      <c r="F724" s="0">
        <f>VLOOKUP(E724,'Tier Params'!$A:$B,2,FALSE)</f>
        <v/>
      </c>
      <c r="G724" s="0">
        <f>VLOOKUP(E724,'Tier Params'!$A:$C,3,FALSE)</f>
        <v/>
      </c>
      <c r="H724" s="0">
        <f>CEILING(D724/G724,1)</f>
        <v/>
      </c>
      <c r="I724" s="0">
        <f>H724*F724</f>
        <v/>
      </c>
    </row>
    <row r="725">
      <c r="A725" s="0" t="inlineStr">
        <is>
          <t>'Reference sheet'!N727</t>
        </is>
      </c>
      <c r="B725" s="0" t="inlineStr">
        <is>
          <t>Structure Repair Facility</t>
        </is>
      </c>
      <c r="C725" s="0" t="inlineStr">
        <is>
          <t>Base Metals</t>
        </is>
      </c>
      <c r="D725" s="0" t="n">
        <v>72000</v>
      </c>
      <c r="E725" s="0">
        <f>VLOOKUP(C725,'Item Tier Lookup'!$A:$B,2,FALSE)</f>
        <v/>
      </c>
      <c r="F725" s="0">
        <f>VLOOKUP(E725,'Tier Params'!$A:$B,2,FALSE)</f>
        <v/>
      </c>
      <c r="G725" s="0">
        <f>VLOOKUP(E725,'Tier Params'!$A:$C,3,FALSE)</f>
        <v/>
      </c>
      <c r="H725" s="0">
        <f>CEILING(D725/G725,1)</f>
        <v/>
      </c>
      <c r="I725" s="0">
        <f>H725*F725</f>
        <v/>
      </c>
    </row>
    <row r="726">
      <c r="A726" s="0" t="inlineStr">
        <is>
          <t>'Reference sheet'!N728</t>
        </is>
      </c>
      <c r="B726" s="0" t="inlineStr">
        <is>
          <t>Structure Repair Facility</t>
        </is>
      </c>
      <c r="C726" s="0" t="inlineStr">
        <is>
          <t>Precious Metals</t>
        </is>
      </c>
      <c r="D726" s="0" t="n">
        <v>480</v>
      </c>
      <c r="E726" s="0">
        <f>VLOOKUP(C726,'Item Tier Lookup'!$A:$B,2,FALSE)</f>
        <v/>
      </c>
      <c r="F726" s="0">
        <f>VLOOKUP(E726,'Tier Params'!$A:$B,2,FALSE)</f>
        <v/>
      </c>
      <c r="G726" s="0">
        <f>VLOOKUP(E726,'Tier Params'!$A:$C,3,FALSE)</f>
        <v/>
      </c>
      <c r="H726" s="0">
        <f>CEILING(D726/G726,1)</f>
        <v/>
      </c>
      <c r="I726" s="0">
        <f>H726*F726</f>
        <v/>
      </c>
    </row>
    <row r="727">
      <c r="A727" s="0" t="inlineStr">
        <is>
          <t>'Reference sheet'!N729</t>
        </is>
      </c>
      <c r="B727" s="0" t="inlineStr">
        <is>
          <t>Structure Repair Facility</t>
        </is>
      </c>
      <c r="C727" s="0" t="inlineStr">
        <is>
          <t>Noble Metals</t>
        </is>
      </c>
      <c r="D727" s="0" t="n">
        <v>72000</v>
      </c>
      <c r="E727" s="0">
        <f>VLOOKUP(C727,'Item Tier Lookup'!$A:$B,2,FALSE)</f>
        <v/>
      </c>
      <c r="F727" s="0">
        <f>VLOOKUP(E727,'Tier Params'!$A:$B,2,FALSE)</f>
        <v/>
      </c>
      <c r="G727" s="0">
        <f>VLOOKUP(E727,'Tier Params'!$A:$C,3,FALSE)</f>
        <v/>
      </c>
      <c r="H727" s="0">
        <f>CEILING(D727/G727,1)</f>
        <v/>
      </c>
      <c r="I727" s="0">
        <f>H727*F727</f>
        <v/>
      </c>
    </row>
    <row r="728">
      <c r="A728" s="0" t="inlineStr">
        <is>
          <t>'Reference sheet'!N730</t>
        </is>
      </c>
      <c r="B728" s="0" t="inlineStr">
        <is>
          <t>Structure Repair Facility</t>
        </is>
      </c>
      <c r="C728" s="0" t="inlineStr">
        <is>
          <t>Consumer Electronics</t>
        </is>
      </c>
      <c r="D728" s="0" t="n">
        <v>60</v>
      </c>
      <c r="E728" s="0">
        <f>VLOOKUP(C728,'Item Tier Lookup'!$A:$B,2,FALSE)</f>
        <v/>
      </c>
      <c r="F728" s="0">
        <f>VLOOKUP(E728,'Tier Params'!$A:$B,2,FALSE)</f>
        <v/>
      </c>
      <c r="G728" s="0">
        <f>VLOOKUP(E728,'Tier Params'!$A:$C,3,FALSE)</f>
        <v/>
      </c>
      <c r="H728" s="0">
        <f>CEILING(D728/G728,1)</f>
        <v/>
      </c>
      <c r="I728" s="0">
        <f>H728*F728</f>
        <v/>
      </c>
    </row>
    <row r="729">
      <c r="A729" s="0" t="inlineStr">
        <is>
          <t>'Reference sheet'!N731</t>
        </is>
      </c>
      <c r="B729" s="0" t="inlineStr">
        <is>
          <t>Structure Repair Facility</t>
        </is>
      </c>
      <c r="C729" s="0" t="inlineStr">
        <is>
          <t>Toxic Metals</t>
        </is>
      </c>
      <c r="D729" s="0" t="n">
        <v>480</v>
      </c>
      <c r="E729" s="0">
        <f>VLOOKUP(C729,'Item Tier Lookup'!$A:$B,2,FALSE)</f>
        <v/>
      </c>
      <c r="F729" s="0">
        <f>VLOOKUP(E729,'Tier Params'!$A:$B,2,FALSE)</f>
        <v/>
      </c>
      <c r="G729" s="0">
        <f>VLOOKUP(E729,'Tier Params'!$A:$C,3,FALSE)</f>
        <v/>
      </c>
      <c r="H729" s="0">
        <f>CEILING(D729/G729,1)</f>
        <v/>
      </c>
      <c r="I729" s="0">
        <f>H729*F729</f>
        <v/>
      </c>
    </row>
    <row r="730">
      <c r="A730" s="0" t="inlineStr">
        <is>
          <t>'Reference sheet'!N732</t>
        </is>
      </c>
      <c r="B730" s="0" t="inlineStr">
        <is>
          <t>Structure Repair Facility</t>
        </is>
      </c>
      <c r="C730" s="0" t="inlineStr">
        <is>
          <t>Heavy Metals</t>
        </is>
      </c>
      <c r="D730" s="0" t="n">
        <v>72000</v>
      </c>
      <c r="E730" s="0">
        <f>VLOOKUP(C730,'Item Tier Lookup'!$A:$B,2,FALSE)</f>
        <v/>
      </c>
      <c r="F730" s="0">
        <f>VLOOKUP(E730,'Tier Params'!$A:$B,2,FALSE)</f>
        <v/>
      </c>
      <c r="G730" s="0">
        <f>VLOOKUP(E730,'Tier Params'!$A:$C,3,FALSE)</f>
        <v/>
      </c>
      <c r="H730" s="0">
        <f>CEILING(D730/G730,1)</f>
        <v/>
      </c>
      <c r="I730" s="0">
        <f>H730*F730</f>
        <v/>
      </c>
    </row>
    <row r="731">
      <c r="A731" s="0" t="inlineStr">
        <is>
          <t>'Reference sheet'!N733</t>
        </is>
      </c>
      <c r="B731" s="0" t="inlineStr">
        <is>
          <t>Structure Repair Facility</t>
        </is>
      </c>
      <c r="C731" s="0" t="inlineStr">
        <is>
          <t>Chiral Structures</t>
        </is>
      </c>
      <c r="D731" s="0" t="n">
        <v>480</v>
      </c>
      <c r="E731" s="0">
        <f>VLOOKUP(C731,'Item Tier Lookup'!$A:$B,2,FALSE)</f>
        <v/>
      </c>
      <c r="F731" s="0">
        <f>VLOOKUP(E731,'Tier Params'!$A:$B,2,FALSE)</f>
        <v/>
      </c>
      <c r="G731" s="0">
        <f>VLOOKUP(E731,'Tier Params'!$A:$C,3,FALSE)</f>
        <v/>
      </c>
      <c r="H731" s="0">
        <f>CEILING(D731/G731,1)</f>
        <v/>
      </c>
      <c r="I731" s="0">
        <f>H731*F731</f>
        <v/>
      </c>
    </row>
    <row r="732">
      <c r="A732" s="0" t="inlineStr">
        <is>
          <t>'Reference sheet'!N734</t>
        </is>
      </c>
      <c r="B732" s="0" t="inlineStr">
        <is>
          <t>Structure Repair Facility</t>
        </is>
      </c>
      <c r="C732" s="0" t="inlineStr">
        <is>
          <t>Non-CS Crystals</t>
        </is>
      </c>
      <c r="D732" s="0" t="n">
        <v>72000</v>
      </c>
      <c r="E732" s="0">
        <f>VLOOKUP(C732,'Item Tier Lookup'!$A:$B,2,FALSE)</f>
        <v/>
      </c>
      <c r="F732" s="0">
        <f>VLOOKUP(E732,'Tier Params'!$A:$B,2,FALSE)</f>
        <v/>
      </c>
      <c r="G732" s="0">
        <f>VLOOKUP(E732,'Tier Params'!$A:$C,3,FALSE)</f>
        <v/>
      </c>
      <c r="H732" s="0">
        <f>CEILING(D732/G732,1)</f>
        <v/>
      </c>
      <c r="I732" s="0">
        <f>H732*F732</f>
        <v/>
      </c>
    </row>
    <row r="733">
      <c r="A733" s="0" t="inlineStr">
        <is>
          <t>'Reference sheet'!N735</t>
        </is>
      </c>
      <c r="B733" s="0" t="inlineStr">
        <is>
          <t>Structure Repair Facility</t>
        </is>
      </c>
      <c r="C733" s="0" t="inlineStr">
        <is>
          <t>Recursive Computing Module</t>
        </is>
      </c>
      <c r="D733" s="0" t="n">
        <v>3</v>
      </c>
      <c r="E733" s="0">
        <f>VLOOKUP(C733,'Item Tier Lookup'!$A:$B,2,FALSE)</f>
        <v/>
      </c>
      <c r="F733" s="0">
        <f>VLOOKUP(E733,'Tier Params'!$A:$B,2,FALSE)</f>
        <v/>
      </c>
      <c r="G733" s="0">
        <f>VLOOKUP(E733,'Tier Params'!$A:$C,3,FALSE)</f>
        <v/>
      </c>
      <c r="H733" s="0">
        <f>CEILING(D733/G733,1)</f>
        <v/>
      </c>
      <c r="I733" s="0">
        <f>H733*F733</f>
        <v/>
      </c>
    </row>
    <row r="734">
      <c r="A734" s="0" t="inlineStr">
        <is>
          <t>'Reference sheet'!N736</t>
        </is>
      </c>
      <c r="B734" s="0" t="inlineStr">
        <is>
          <t>Structure Repair Facility</t>
        </is>
      </c>
      <c r="C734" s="0" t="inlineStr">
        <is>
          <t>Synthetic Synapses</t>
        </is>
      </c>
      <c r="D734" s="0" t="n">
        <v>18</v>
      </c>
      <c r="E734" s="0">
        <f>VLOOKUP(C734,'Item Tier Lookup'!$A:$B,2,FALSE)</f>
        <v/>
      </c>
      <c r="F734" s="0">
        <f>VLOOKUP(E734,'Tier Params'!$A:$B,2,FALSE)</f>
        <v/>
      </c>
      <c r="G734" s="0">
        <f>VLOOKUP(E734,'Tier Params'!$A:$C,3,FALSE)</f>
        <v/>
      </c>
      <c r="H734" s="0">
        <f>CEILING(D734/G734,1)</f>
        <v/>
      </c>
      <c r="I734" s="0">
        <f>H734*F734</f>
        <v/>
      </c>
    </row>
    <row r="735">
      <c r="A735" s="0" t="inlineStr">
        <is>
          <t>'Reference sheet'!N737</t>
        </is>
      </c>
      <c r="B735" s="0" t="inlineStr">
        <is>
          <t>Structure Repair Facility</t>
        </is>
      </c>
      <c r="C735" s="0" t="inlineStr">
        <is>
          <t>Supertensile Plastics</t>
        </is>
      </c>
      <c r="D735" s="0" t="n">
        <v>60</v>
      </c>
      <c r="E735" s="0">
        <f>VLOOKUP(C735,'Item Tier Lookup'!$A:$B,2,FALSE)</f>
        <v/>
      </c>
      <c r="F735" s="0">
        <f>VLOOKUP(E735,'Tier Params'!$A:$B,2,FALSE)</f>
        <v/>
      </c>
      <c r="G735" s="0">
        <f>VLOOKUP(E735,'Tier Params'!$A:$C,3,FALSE)</f>
        <v/>
      </c>
      <c r="H735" s="0">
        <f>CEILING(D735/G735,1)</f>
        <v/>
      </c>
      <c r="I735" s="0">
        <f>H735*F735</f>
        <v/>
      </c>
    </row>
    <row r="736">
      <c r="A736" s="0" t="inlineStr">
        <is>
          <t>'Reference sheet'!N738</t>
        </is>
      </c>
      <c r="B736" s="0" t="inlineStr">
        <is>
          <t>Structure Repair Facility</t>
        </is>
      </c>
      <c r="C736" s="0" t="inlineStr">
        <is>
          <t>Oxygen</t>
        </is>
      </c>
      <c r="D736" s="0" t="n">
        <v>480</v>
      </c>
      <c r="E736" s="0">
        <f>VLOOKUP(C736,'Item Tier Lookup'!$A:$B,2,FALSE)</f>
        <v/>
      </c>
      <c r="F736" s="0">
        <f>VLOOKUP(E736,'Tier Params'!$A:$B,2,FALSE)</f>
        <v/>
      </c>
      <c r="G736" s="0">
        <f>VLOOKUP(E736,'Tier Params'!$A:$C,3,FALSE)</f>
        <v/>
      </c>
      <c r="H736" s="0">
        <f>CEILING(D736/G736,1)</f>
        <v/>
      </c>
      <c r="I736" s="0">
        <f>H736*F736</f>
        <v/>
      </c>
    </row>
    <row r="737">
      <c r="A737" s="0" t="inlineStr">
        <is>
          <t>'Reference sheet'!N739</t>
        </is>
      </c>
      <c r="B737" s="0" t="inlineStr">
        <is>
          <t>Structure Repair Facility</t>
        </is>
      </c>
      <c r="C737" s="0" t="inlineStr">
        <is>
          <t>Noble Gas</t>
        </is>
      </c>
      <c r="D737" s="0" t="n">
        <v>72000</v>
      </c>
      <c r="E737" s="0">
        <f>VLOOKUP(C737,'Item Tier Lookup'!$A:$B,2,FALSE)</f>
        <v/>
      </c>
      <c r="F737" s="0">
        <f>VLOOKUP(E737,'Tier Params'!$A:$B,2,FALSE)</f>
        <v/>
      </c>
      <c r="G737" s="0">
        <f>VLOOKUP(E737,'Tier Params'!$A:$C,3,FALSE)</f>
        <v/>
      </c>
      <c r="H737" s="0">
        <f>CEILING(D737/G737,1)</f>
        <v/>
      </c>
      <c r="I737" s="0">
        <f>H737*F737</f>
        <v/>
      </c>
    </row>
    <row r="738">
      <c r="A738" s="0" t="inlineStr">
        <is>
          <t>'Reference sheet'!N740</t>
        </is>
      </c>
      <c r="B738" s="0" t="inlineStr">
        <is>
          <t>Structure Repair Facility</t>
        </is>
      </c>
      <c r="C738" s="0" t="inlineStr">
        <is>
          <t>Biomass</t>
        </is>
      </c>
      <c r="D738" s="0" t="n">
        <v>480</v>
      </c>
      <c r="E738" s="0">
        <f>VLOOKUP(C738,'Item Tier Lookup'!$A:$B,2,FALSE)</f>
        <v/>
      </c>
      <c r="F738" s="0">
        <f>VLOOKUP(E738,'Tier Params'!$A:$B,2,FALSE)</f>
        <v/>
      </c>
      <c r="G738" s="0">
        <f>VLOOKUP(E738,'Tier Params'!$A:$C,3,FALSE)</f>
        <v/>
      </c>
      <c r="H738" s="0">
        <f>CEILING(D738/G738,1)</f>
        <v/>
      </c>
      <c r="I738" s="0">
        <f>H738*F738</f>
        <v/>
      </c>
    </row>
    <row r="739">
      <c r="A739" s="0" t="inlineStr">
        <is>
          <t>'Reference sheet'!N741</t>
        </is>
      </c>
      <c r="B739" s="0" t="inlineStr">
        <is>
          <t>Structure Repair Facility</t>
        </is>
      </c>
      <c r="C739" s="0" t="inlineStr">
        <is>
          <t>Planktic Colonies</t>
        </is>
      </c>
      <c r="D739" s="0" t="n">
        <v>72000</v>
      </c>
      <c r="E739" s="0">
        <f>VLOOKUP(C739,'Item Tier Lookup'!$A:$B,2,FALSE)</f>
        <v/>
      </c>
      <c r="F739" s="0">
        <f>VLOOKUP(E739,'Tier Params'!$A:$B,2,FALSE)</f>
        <v/>
      </c>
      <c r="G739" s="0">
        <f>VLOOKUP(E739,'Tier Params'!$A:$C,3,FALSE)</f>
        <v/>
      </c>
      <c r="H739" s="0">
        <f>CEILING(D739/G739,1)</f>
        <v/>
      </c>
      <c r="I739" s="0">
        <f>H739*F739</f>
        <v/>
      </c>
    </row>
    <row r="740">
      <c r="A740" s="0" t="inlineStr">
        <is>
          <t>'Reference sheet'!N742</t>
        </is>
      </c>
      <c r="B740" s="0" t="inlineStr">
        <is>
          <t>Structure Repair Facility</t>
        </is>
      </c>
      <c r="C740" s="0" t="inlineStr">
        <is>
          <t>Test Cultures</t>
        </is>
      </c>
      <c r="D740" s="0" t="n">
        <v>60</v>
      </c>
      <c r="E740" s="0">
        <f>VLOOKUP(C740,'Item Tier Lookup'!$A:$B,2,FALSE)</f>
        <v/>
      </c>
      <c r="F740" s="0">
        <f>VLOOKUP(E740,'Tier Params'!$A:$B,2,FALSE)</f>
        <v/>
      </c>
      <c r="G740" s="0">
        <f>VLOOKUP(E740,'Tier Params'!$A:$C,3,FALSE)</f>
        <v/>
      </c>
      <c r="H740" s="0">
        <f>CEILING(D740/G740,1)</f>
        <v/>
      </c>
      <c r="I740" s="0">
        <f>H740*F740</f>
        <v/>
      </c>
    </row>
    <row r="741">
      <c r="A741" s="0" t="inlineStr">
        <is>
          <t>'Reference sheet'!N743</t>
        </is>
      </c>
      <c r="B741" s="0" t="inlineStr">
        <is>
          <t>Structure Repair Facility</t>
        </is>
      </c>
      <c r="C741" s="0" t="inlineStr">
        <is>
          <t>Bacteria</t>
        </is>
      </c>
      <c r="D741" s="0" t="n">
        <v>480</v>
      </c>
      <c r="E741" s="0">
        <f>VLOOKUP(C741,'Item Tier Lookup'!$A:$B,2,FALSE)</f>
        <v/>
      </c>
      <c r="F741" s="0">
        <f>VLOOKUP(E741,'Tier Params'!$A:$B,2,FALSE)</f>
        <v/>
      </c>
      <c r="G741" s="0">
        <f>VLOOKUP(E741,'Tier Params'!$A:$C,3,FALSE)</f>
        <v/>
      </c>
      <c r="H741" s="0">
        <f>CEILING(D741/G741,1)</f>
        <v/>
      </c>
      <c r="I741" s="0">
        <f>H741*F741</f>
        <v/>
      </c>
    </row>
    <row r="742">
      <c r="A742" s="0" t="inlineStr">
        <is>
          <t>'Reference sheet'!N744</t>
        </is>
      </c>
      <c r="B742" s="0" t="inlineStr">
        <is>
          <t>Structure Repair Facility</t>
        </is>
      </c>
      <c r="C742" s="0" t="inlineStr">
        <is>
          <t>Microorganisms</t>
        </is>
      </c>
      <c r="D742" s="0" t="n">
        <v>72000</v>
      </c>
      <c r="E742" s="0">
        <f>VLOOKUP(C742,'Item Tier Lookup'!$A:$B,2,FALSE)</f>
        <v/>
      </c>
      <c r="F742" s="0">
        <f>VLOOKUP(E742,'Tier Params'!$A:$B,2,FALSE)</f>
        <v/>
      </c>
      <c r="G742" s="0">
        <f>VLOOKUP(E742,'Tier Params'!$A:$C,3,FALSE)</f>
        <v/>
      </c>
      <c r="H742" s="0">
        <f>CEILING(D742/G742,1)</f>
        <v/>
      </c>
      <c r="I742" s="0">
        <f>H742*F742</f>
        <v/>
      </c>
    </row>
    <row r="743">
      <c r="A743" s="0" t="inlineStr">
        <is>
          <t>'Reference sheet'!N745</t>
        </is>
      </c>
      <c r="B743" s="0" t="inlineStr">
        <is>
          <t>Structure Repair Facility</t>
        </is>
      </c>
      <c r="C743" s="0" t="inlineStr">
        <is>
          <t>Water</t>
        </is>
      </c>
      <c r="D743" s="0" t="n">
        <v>480</v>
      </c>
      <c r="E743" s="0">
        <f>VLOOKUP(C743,'Item Tier Lookup'!$A:$B,2,FALSE)</f>
        <v/>
      </c>
      <c r="F743" s="0">
        <f>VLOOKUP(E743,'Tier Params'!$A:$B,2,FALSE)</f>
        <v/>
      </c>
      <c r="G743" s="0">
        <f>VLOOKUP(E743,'Tier Params'!$A:$C,3,FALSE)</f>
        <v/>
      </c>
      <c r="H743" s="0">
        <f>CEILING(D743/G743,1)</f>
        <v/>
      </c>
      <c r="I743" s="0">
        <f>H743*F743</f>
        <v/>
      </c>
    </row>
    <row r="744">
      <c r="A744" s="0" t="inlineStr">
        <is>
          <t>'Reference sheet'!N746</t>
        </is>
      </c>
      <c r="B744" s="0" t="inlineStr">
        <is>
          <t>Structure Repair Facility</t>
        </is>
      </c>
      <c r="C744" s="0" t="inlineStr">
        <is>
          <t>Aqueous Liquids</t>
        </is>
      </c>
      <c r="D744" s="0" t="n">
        <v>72000</v>
      </c>
      <c r="E744" s="0">
        <f>VLOOKUP(C744,'Item Tier Lookup'!$A:$B,2,FALSE)</f>
        <v/>
      </c>
      <c r="F744" s="0">
        <f>VLOOKUP(E744,'Tier Params'!$A:$B,2,FALSE)</f>
        <v/>
      </c>
      <c r="G744" s="0">
        <f>VLOOKUP(E744,'Tier Params'!$A:$C,3,FALSE)</f>
        <v/>
      </c>
      <c r="H744" s="0">
        <f>CEILING(D744/G744,1)</f>
        <v/>
      </c>
      <c r="I744" s="0">
        <f>H744*F744</f>
        <v/>
      </c>
    </row>
    <row r="745">
      <c r="A745" s="0" t="inlineStr">
        <is>
          <t>'Reference sheet'!N747</t>
        </is>
      </c>
      <c r="B745" s="0" t="inlineStr">
        <is>
          <t>Structure Repair Facility</t>
        </is>
      </c>
      <c r="C745" s="0" t="inlineStr">
        <is>
          <t>Transcranial Microcontrollers</t>
        </is>
      </c>
      <c r="D745" s="0" t="n">
        <v>18</v>
      </c>
      <c r="E745" s="0">
        <f>VLOOKUP(C745,'Item Tier Lookup'!$A:$B,2,FALSE)</f>
        <v/>
      </c>
      <c r="F745" s="0">
        <f>VLOOKUP(E745,'Tier Params'!$A:$B,2,FALSE)</f>
        <v/>
      </c>
      <c r="G745" s="0">
        <f>VLOOKUP(E745,'Tier Params'!$A:$C,3,FALSE)</f>
        <v/>
      </c>
      <c r="H745" s="0">
        <f>CEILING(D745/G745,1)</f>
        <v/>
      </c>
      <c r="I745" s="0">
        <f>H745*F745</f>
        <v/>
      </c>
    </row>
    <row r="746">
      <c r="A746" s="0" t="inlineStr">
        <is>
          <t>'Reference sheet'!N748</t>
        </is>
      </c>
      <c r="B746" s="0" t="inlineStr">
        <is>
          <t>Structure Repair Facility</t>
        </is>
      </c>
      <c r="C746" s="0" t="inlineStr">
        <is>
          <t>Biocells</t>
        </is>
      </c>
      <c r="D746" s="0" t="n">
        <v>60</v>
      </c>
      <c r="E746" s="0">
        <f>VLOOKUP(C746,'Item Tier Lookup'!$A:$B,2,FALSE)</f>
        <v/>
      </c>
      <c r="F746" s="0">
        <f>VLOOKUP(E746,'Tier Params'!$A:$B,2,FALSE)</f>
        <v/>
      </c>
      <c r="G746" s="0">
        <f>VLOOKUP(E746,'Tier Params'!$A:$C,3,FALSE)</f>
        <v/>
      </c>
      <c r="H746" s="0">
        <f>CEILING(D746/G746,1)</f>
        <v/>
      </c>
      <c r="I746" s="0">
        <f>H746*F746</f>
        <v/>
      </c>
    </row>
    <row r="747">
      <c r="A747" s="0" t="inlineStr">
        <is>
          <t>'Reference sheet'!N749</t>
        </is>
      </c>
      <c r="B747" s="0" t="inlineStr">
        <is>
          <t>Structure Repair Facility</t>
        </is>
      </c>
      <c r="C747" s="0" t="inlineStr">
        <is>
          <t>Biofuels</t>
        </is>
      </c>
      <c r="D747" s="0" t="n">
        <v>480</v>
      </c>
      <c r="E747" s="0">
        <f>VLOOKUP(C747,'Item Tier Lookup'!$A:$B,2,FALSE)</f>
        <v/>
      </c>
      <c r="F747" s="0">
        <f>VLOOKUP(E747,'Tier Params'!$A:$B,2,FALSE)</f>
        <v/>
      </c>
      <c r="G747" s="0">
        <f>VLOOKUP(E747,'Tier Params'!$A:$C,3,FALSE)</f>
        <v/>
      </c>
      <c r="H747" s="0">
        <f>CEILING(D747/G747,1)</f>
        <v/>
      </c>
      <c r="I747" s="0">
        <f>H747*F747</f>
        <v/>
      </c>
    </row>
    <row r="748">
      <c r="A748" s="0" t="inlineStr">
        <is>
          <t>'Reference sheet'!N750</t>
        </is>
      </c>
      <c r="B748" s="0" t="inlineStr">
        <is>
          <t>Structure Repair Facility</t>
        </is>
      </c>
      <c r="C748" s="0" t="inlineStr">
        <is>
          <t>Carbon Compounds</t>
        </is>
      </c>
      <c r="D748" s="0" t="n">
        <v>72000</v>
      </c>
      <c r="E748" s="0">
        <f>VLOOKUP(C748,'Item Tier Lookup'!$A:$B,2,FALSE)</f>
        <v/>
      </c>
      <c r="F748" s="0">
        <f>VLOOKUP(E748,'Tier Params'!$A:$B,2,FALSE)</f>
        <v/>
      </c>
      <c r="G748" s="0">
        <f>VLOOKUP(E748,'Tier Params'!$A:$C,3,FALSE)</f>
        <v/>
      </c>
      <c r="H748" s="0">
        <f>CEILING(D748/G748,1)</f>
        <v/>
      </c>
      <c r="I748" s="0">
        <f>H748*F748</f>
        <v/>
      </c>
    </row>
    <row r="749">
      <c r="A749" s="0" t="inlineStr">
        <is>
          <t>'Reference sheet'!N751</t>
        </is>
      </c>
      <c r="B749" s="0" t="inlineStr">
        <is>
          <t>Structure Repair Facility</t>
        </is>
      </c>
      <c r="C749" s="0" t="inlineStr">
        <is>
          <t>Precious Metals</t>
        </is>
      </c>
      <c r="D749" s="0" t="n">
        <v>480</v>
      </c>
      <c r="E749" s="0">
        <f>VLOOKUP(C749,'Item Tier Lookup'!$A:$B,2,FALSE)</f>
        <v/>
      </c>
      <c r="F749" s="0">
        <f>VLOOKUP(E749,'Tier Params'!$A:$B,2,FALSE)</f>
        <v/>
      </c>
      <c r="G749" s="0">
        <f>VLOOKUP(E749,'Tier Params'!$A:$C,3,FALSE)</f>
        <v/>
      </c>
      <c r="H749" s="0">
        <f>CEILING(D749/G749,1)</f>
        <v/>
      </c>
      <c r="I749" s="0">
        <f>H749*F749</f>
        <v/>
      </c>
    </row>
    <row r="750">
      <c r="A750" s="0" t="inlineStr">
        <is>
          <t>'Reference sheet'!N752</t>
        </is>
      </c>
      <c r="B750" s="0" t="inlineStr">
        <is>
          <t>Structure Repair Facility</t>
        </is>
      </c>
      <c r="C750" s="0" t="inlineStr">
        <is>
          <t>Noble Metals</t>
        </is>
      </c>
      <c r="D750" s="0" t="n">
        <v>72000</v>
      </c>
      <c r="E750" s="0">
        <f>VLOOKUP(C750,'Item Tier Lookup'!$A:$B,2,FALSE)</f>
        <v/>
      </c>
      <c r="F750" s="0">
        <f>VLOOKUP(E750,'Tier Params'!$A:$B,2,FALSE)</f>
        <v/>
      </c>
      <c r="G750" s="0">
        <f>VLOOKUP(E750,'Tier Params'!$A:$C,3,FALSE)</f>
        <v/>
      </c>
      <c r="H750" s="0">
        <f>CEILING(D750/G750,1)</f>
        <v/>
      </c>
      <c r="I750" s="0">
        <f>H750*F750</f>
        <v/>
      </c>
    </row>
    <row r="751">
      <c r="A751" s="0" t="inlineStr">
        <is>
          <t>'Reference sheet'!N753</t>
        </is>
      </c>
      <c r="B751" s="0" t="inlineStr">
        <is>
          <t>Structure Repair Facility</t>
        </is>
      </c>
      <c r="C751" s="0" t="inlineStr">
        <is>
          <t>Nanites</t>
        </is>
      </c>
      <c r="D751" s="0" t="n">
        <v>60</v>
      </c>
      <c r="E751" s="0">
        <f>VLOOKUP(C751,'Item Tier Lookup'!$A:$B,2,FALSE)</f>
        <v/>
      </c>
      <c r="F751" s="0">
        <f>VLOOKUP(E751,'Tier Params'!$A:$B,2,FALSE)</f>
        <v/>
      </c>
      <c r="G751" s="0">
        <f>VLOOKUP(E751,'Tier Params'!$A:$C,3,FALSE)</f>
        <v/>
      </c>
      <c r="H751" s="0">
        <f>CEILING(D751/G751,1)</f>
        <v/>
      </c>
      <c r="I751" s="0">
        <f>H751*F751</f>
        <v/>
      </c>
    </row>
    <row r="752">
      <c r="A752" s="0" t="inlineStr">
        <is>
          <t>'Reference sheet'!N754</t>
        </is>
      </c>
      <c r="B752" s="0" t="inlineStr">
        <is>
          <t>Structure Repair Facility</t>
        </is>
      </c>
      <c r="C752" s="0" t="inlineStr">
        <is>
          <t>Bacteria</t>
        </is>
      </c>
      <c r="D752" s="0" t="n">
        <v>480</v>
      </c>
      <c r="E752" s="0">
        <f>VLOOKUP(C752,'Item Tier Lookup'!$A:$B,2,FALSE)</f>
        <v/>
      </c>
      <c r="F752" s="0">
        <f>VLOOKUP(E752,'Tier Params'!$A:$B,2,FALSE)</f>
        <v/>
      </c>
      <c r="G752" s="0">
        <f>VLOOKUP(E752,'Tier Params'!$A:$C,3,FALSE)</f>
        <v/>
      </c>
      <c r="H752" s="0">
        <f>CEILING(D752/G752,1)</f>
        <v/>
      </c>
      <c r="I752" s="0">
        <f>H752*F752</f>
        <v/>
      </c>
    </row>
    <row r="753">
      <c r="A753" s="0" t="inlineStr">
        <is>
          <t>'Reference sheet'!N755</t>
        </is>
      </c>
      <c r="B753" s="0" t="inlineStr">
        <is>
          <t>Structure Repair Facility</t>
        </is>
      </c>
      <c r="C753" s="0" t="inlineStr">
        <is>
          <t>Microorganisms</t>
        </is>
      </c>
      <c r="D753" s="0" t="n">
        <v>72000</v>
      </c>
      <c r="E753" s="0">
        <f>VLOOKUP(C753,'Item Tier Lookup'!$A:$B,2,FALSE)</f>
        <v/>
      </c>
      <c r="F753" s="0">
        <f>VLOOKUP(E753,'Tier Params'!$A:$B,2,FALSE)</f>
        <v/>
      </c>
      <c r="G753" s="0">
        <f>VLOOKUP(E753,'Tier Params'!$A:$C,3,FALSE)</f>
        <v/>
      </c>
      <c r="H753" s="0">
        <f>CEILING(D753/G753,1)</f>
        <v/>
      </c>
      <c r="I753" s="0">
        <f>H753*F753</f>
        <v/>
      </c>
    </row>
    <row r="754">
      <c r="A754" s="0" t="inlineStr">
        <is>
          <t>'Reference sheet'!N756</t>
        </is>
      </c>
      <c r="B754" s="0" t="inlineStr">
        <is>
          <t>Structure Repair Facility</t>
        </is>
      </c>
      <c r="C754" s="0" t="inlineStr">
        <is>
          <t>Reactive Metals</t>
        </is>
      </c>
      <c r="D754" s="0" t="n">
        <v>480</v>
      </c>
      <c r="E754" s="0">
        <f>VLOOKUP(C754,'Item Tier Lookup'!$A:$B,2,FALSE)</f>
        <v/>
      </c>
      <c r="F754" s="0">
        <f>VLOOKUP(E754,'Tier Params'!$A:$B,2,FALSE)</f>
        <v/>
      </c>
      <c r="G754" s="0">
        <f>VLOOKUP(E754,'Tier Params'!$A:$C,3,FALSE)</f>
        <v/>
      </c>
      <c r="H754" s="0">
        <f>CEILING(D754/G754,1)</f>
        <v/>
      </c>
      <c r="I754" s="0">
        <f>H754*F754</f>
        <v/>
      </c>
    </row>
    <row r="755">
      <c r="A755" s="0" t="inlineStr">
        <is>
          <t>'Reference sheet'!N757</t>
        </is>
      </c>
      <c r="B755" s="0" t="inlineStr">
        <is>
          <t>Structure Repair Facility</t>
        </is>
      </c>
      <c r="C755" s="0" t="inlineStr">
        <is>
          <t>Base Metals</t>
        </is>
      </c>
      <c r="D755" s="0" t="n">
        <v>72000</v>
      </c>
      <c r="E755" s="0">
        <f>VLOOKUP(C755,'Item Tier Lookup'!$A:$B,2,FALSE)</f>
        <v/>
      </c>
      <c r="F755" s="0">
        <f>VLOOKUP(E755,'Tier Params'!$A:$B,2,FALSE)</f>
        <v/>
      </c>
      <c r="G755" s="0">
        <f>VLOOKUP(E755,'Tier Params'!$A:$C,3,FALSE)</f>
        <v/>
      </c>
      <c r="H755" s="0">
        <f>CEILING(D755/G755,1)</f>
        <v/>
      </c>
      <c r="I755" s="0">
        <f>H755*F755</f>
        <v/>
      </c>
    </row>
    <row r="756">
      <c r="A756" s="0" t="inlineStr">
        <is>
          <t>'Reference sheet'!N758</t>
        </is>
      </c>
      <c r="B756" s="0" t="inlineStr">
        <is>
          <t>Structure Repair Facility</t>
        </is>
      </c>
      <c r="C756" s="0" t="inlineStr">
        <is>
          <t>Guidance Systems</t>
        </is>
      </c>
      <c r="D756" s="0" t="n">
        <v>18</v>
      </c>
      <c r="E756" s="0">
        <f>VLOOKUP(C756,'Item Tier Lookup'!$A:$B,2,FALSE)</f>
        <v/>
      </c>
      <c r="F756" s="0">
        <f>VLOOKUP(E756,'Tier Params'!$A:$B,2,FALSE)</f>
        <v/>
      </c>
      <c r="G756" s="0">
        <f>VLOOKUP(E756,'Tier Params'!$A:$C,3,FALSE)</f>
        <v/>
      </c>
      <c r="H756" s="0">
        <f>CEILING(D756/G756,1)</f>
        <v/>
      </c>
      <c r="I756" s="0">
        <f>H756*F756</f>
        <v/>
      </c>
    </row>
    <row r="757">
      <c r="A757" s="0" t="inlineStr">
        <is>
          <t>'Reference sheet'!N759</t>
        </is>
      </c>
      <c r="B757" s="0" t="inlineStr">
        <is>
          <t>Structure Repair Facility</t>
        </is>
      </c>
      <c r="C757" s="0" t="inlineStr">
        <is>
          <t>Water-Cooled CPU</t>
        </is>
      </c>
      <c r="D757" s="0" t="n">
        <v>60</v>
      </c>
      <c r="E757" s="0">
        <f>VLOOKUP(C757,'Item Tier Lookup'!$A:$B,2,FALSE)</f>
        <v/>
      </c>
      <c r="F757" s="0">
        <f>VLOOKUP(E757,'Tier Params'!$A:$B,2,FALSE)</f>
        <v/>
      </c>
      <c r="G757" s="0">
        <f>VLOOKUP(E757,'Tier Params'!$A:$C,3,FALSE)</f>
        <v/>
      </c>
      <c r="H757" s="0">
        <f>CEILING(D757/G757,1)</f>
        <v/>
      </c>
      <c r="I757" s="0">
        <f>H757*F757</f>
        <v/>
      </c>
    </row>
    <row r="758">
      <c r="A758" s="0" t="inlineStr">
        <is>
          <t>'Reference sheet'!N760</t>
        </is>
      </c>
      <c r="B758" s="0" t="inlineStr">
        <is>
          <t>Structure Repair Facility</t>
        </is>
      </c>
      <c r="C758" s="0" t="inlineStr">
        <is>
          <t>Water</t>
        </is>
      </c>
      <c r="D758" s="0" t="n">
        <v>480</v>
      </c>
      <c r="E758" s="0">
        <f>VLOOKUP(C758,'Item Tier Lookup'!$A:$B,2,FALSE)</f>
        <v/>
      </c>
      <c r="F758" s="0">
        <f>VLOOKUP(E758,'Tier Params'!$A:$B,2,FALSE)</f>
        <v/>
      </c>
      <c r="G758" s="0">
        <f>VLOOKUP(E758,'Tier Params'!$A:$C,3,FALSE)</f>
        <v/>
      </c>
      <c r="H758" s="0">
        <f>CEILING(D758/G758,1)</f>
        <v/>
      </c>
      <c r="I758" s="0">
        <f>H758*F758</f>
        <v/>
      </c>
    </row>
    <row r="759">
      <c r="A759" s="0" t="inlineStr">
        <is>
          <t>'Reference sheet'!N761</t>
        </is>
      </c>
      <c r="B759" s="0" t="inlineStr">
        <is>
          <t>Structure Repair Facility</t>
        </is>
      </c>
      <c r="C759" s="0" t="inlineStr">
        <is>
          <t>Aqueous Liquids</t>
        </is>
      </c>
      <c r="D759" s="0" t="n">
        <v>72000</v>
      </c>
      <c r="E759" s="0">
        <f>VLOOKUP(C759,'Item Tier Lookup'!$A:$B,2,FALSE)</f>
        <v/>
      </c>
      <c r="F759" s="0">
        <f>VLOOKUP(E759,'Tier Params'!$A:$B,2,FALSE)</f>
        <v/>
      </c>
      <c r="G759" s="0">
        <f>VLOOKUP(E759,'Tier Params'!$A:$C,3,FALSE)</f>
        <v/>
      </c>
      <c r="H759" s="0">
        <f>CEILING(D759/G759,1)</f>
        <v/>
      </c>
      <c r="I759" s="0">
        <f>H759*F759</f>
        <v/>
      </c>
    </row>
    <row r="760">
      <c r="A760" s="0" t="inlineStr">
        <is>
          <t>'Reference sheet'!N762</t>
        </is>
      </c>
      <c r="B760" s="0" t="inlineStr">
        <is>
          <t>Structure Repair Facility</t>
        </is>
      </c>
      <c r="C760" s="0" t="inlineStr">
        <is>
          <t>Reactive Metals</t>
        </is>
      </c>
      <c r="D760" s="0" t="n">
        <v>480</v>
      </c>
      <c r="E760" s="0">
        <f>VLOOKUP(C760,'Item Tier Lookup'!$A:$B,2,FALSE)</f>
        <v/>
      </c>
      <c r="F760" s="0">
        <f>VLOOKUP(E760,'Tier Params'!$A:$B,2,FALSE)</f>
        <v/>
      </c>
      <c r="G760" s="0">
        <f>VLOOKUP(E760,'Tier Params'!$A:$C,3,FALSE)</f>
        <v/>
      </c>
      <c r="H760" s="0">
        <f>CEILING(D760/G760,1)</f>
        <v/>
      </c>
      <c r="I760" s="0">
        <f>H760*F760</f>
        <v/>
      </c>
    </row>
    <row r="761">
      <c r="A761" s="0" t="inlineStr">
        <is>
          <t>'Reference sheet'!N763</t>
        </is>
      </c>
      <c r="B761" s="0" t="inlineStr">
        <is>
          <t>Structure Repair Facility</t>
        </is>
      </c>
      <c r="C761" s="0" t="inlineStr">
        <is>
          <t>Base Metals</t>
        </is>
      </c>
      <c r="D761" s="0" t="n">
        <v>72000</v>
      </c>
      <c r="E761" s="0">
        <f>VLOOKUP(C761,'Item Tier Lookup'!$A:$B,2,FALSE)</f>
        <v/>
      </c>
      <c r="F761" s="0">
        <f>VLOOKUP(E761,'Tier Params'!$A:$B,2,FALSE)</f>
        <v/>
      </c>
      <c r="G761" s="0">
        <f>VLOOKUP(E761,'Tier Params'!$A:$C,3,FALSE)</f>
        <v/>
      </c>
      <c r="H761" s="0">
        <f>CEILING(D761/G761,1)</f>
        <v/>
      </c>
      <c r="I761" s="0">
        <f>H761*F761</f>
        <v/>
      </c>
    </row>
    <row r="762">
      <c r="A762" s="0" t="inlineStr">
        <is>
          <t>'Reference sheet'!N764</t>
        </is>
      </c>
      <c r="B762" s="0" t="inlineStr">
        <is>
          <t>Structure Repair Facility</t>
        </is>
      </c>
      <c r="C762" s="0" t="inlineStr">
        <is>
          <t>Transmitter</t>
        </is>
      </c>
      <c r="D762" s="0" t="n">
        <v>60</v>
      </c>
      <c r="E762" s="0">
        <f>VLOOKUP(C762,'Item Tier Lookup'!$A:$B,2,FALSE)</f>
        <v/>
      </c>
      <c r="F762" s="0">
        <f>VLOOKUP(E762,'Tier Params'!$A:$B,2,FALSE)</f>
        <v/>
      </c>
      <c r="G762" s="0">
        <f>VLOOKUP(E762,'Tier Params'!$A:$C,3,FALSE)</f>
        <v/>
      </c>
      <c r="H762" s="0">
        <f>CEILING(D762/G762,1)</f>
        <v/>
      </c>
      <c r="I762" s="0">
        <f>H762*F762</f>
        <v/>
      </c>
    </row>
    <row r="763">
      <c r="A763" s="0" t="inlineStr">
        <is>
          <t>'Reference sheet'!N765</t>
        </is>
      </c>
      <c r="B763" s="0" t="inlineStr">
        <is>
          <t>Structure Repair Facility</t>
        </is>
      </c>
      <c r="C763" s="0" t="inlineStr">
        <is>
          <t>Chiral Structures</t>
        </is>
      </c>
      <c r="D763" s="0" t="n">
        <v>480</v>
      </c>
      <c r="E763" s="0">
        <f>VLOOKUP(C763,'Item Tier Lookup'!$A:$B,2,FALSE)</f>
        <v/>
      </c>
      <c r="F763" s="0">
        <f>VLOOKUP(E763,'Tier Params'!$A:$B,2,FALSE)</f>
        <v/>
      </c>
      <c r="G763" s="0">
        <f>VLOOKUP(E763,'Tier Params'!$A:$C,3,FALSE)</f>
        <v/>
      </c>
      <c r="H763" s="0">
        <f>CEILING(D763/G763,1)</f>
        <v/>
      </c>
      <c r="I763" s="0">
        <f>H763*F763</f>
        <v/>
      </c>
    </row>
    <row r="764">
      <c r="A764" s="0" t="inlineStr">
        <is>
          <t>'Reference sheet'!N766</t>
        </is>
      </c>
      <c r="B764" s="0" t="inlineStr">
        <is>
          <t>Structure Repair Facility</t>
        </is>
      </c>
      <c r="C764" s="0" t="inlineStr">
        <is>
          <t>Non-CS Crystals</t>
        </is>
      </c>
      <c r="D764" s="0" t="n">
        <v>72000</v>
      </c>
      <c r="E764" s="0">
        <f>VLOOKUP(C764,'Item Tier Lookup'!$A:$B,2,FALSE)</f>
        <v/>
      </c>
      <c r="F764" s="0">
        <f>VLOOKUP(E764,'Tier Params'!$A:$B,2,FALSE)</f>
        <v/>
      </c>
      <c r="G764" s="0">
        <f>VLOOKUP(E764,'Tier Params'!$A:$C,3,FALSE)</f>
        <v/>
      </c>
      <c r="H764" s="0">
        <f>CEILING(D764/G764,1)</f>
        <v/>
      </c>
      <c r="I764" s="0">
        <f>H764*F764</f>
        <v/>
      </c>
    </row>
    <row r="765">
      <c r="A765" s="0" t="inlineStr">
        <is>
          <t>'Reference sheet'!N767</t>
        </is>
      </c>
      <c r="B765" s="0" t="inlineStr">
        <is>
          <t>Structure Repair Facility</t>
        </is>
      </c>
      <c r="C765" s="0" t="inlineStr">
        <is>
          <t>Plasmoids</t>
        </is>
      </c>
      <c r="D765" s="0" t="n">
        <v>480</v>
      </c>
      <c r="E765" s="0">
        <f>VLOOKUP(C765,'Item Tier Lookup'!$A:$B,2,FALSE)</f>
        <v/>
      </c>
      <c r="F765" s="0">
        <f>VLOOKUP(E765,'Tier Params'!$A:$B,2,FALSE)</f>
        <v/>
      </c>
      <c r="G765" s="0">
        <f>VLOOKUP(E765,'Tier Params'!$A:$C,3,FALSE)</f>
        <v/>
      </c>
      <c r="H765" s="0">
        <f>CEILING(D765/G765,1)</f>
        <v/>
      </c>
      <c r="I765" s="0">
        <f>H765*F765</f>
        <v/>
      </c>
    </row>
    <row r="766">
      <c r="A766" s="0" t="inlineStr">
        <is>
          <t>'Reference sheet'!N768</t>
        </is>
      </c>
      <c r="B766" s="0" t="inlineStr">
        <is>
          <t>Structure Repair Facility</t>
        </is>
      </c>
      <c r="C766" s="0" t="inlineStr">
        <is>
          <t>Suspended Plasma</t>
        </is>
      </c>
      <c r="D766" s="0" t="n">
        <v>72000</v>
      </c>
      <c r="E766" s="0">
        <f>VLOOKUP(C766,'Item Tier Lookup'!$A:$B,2,FALSE)</f>
        <v/>
      </c>
      <c r="F766" s="0">
        <f>VLOOKUP(E766,'Tier Params'!$A:$B,2,FALSE)</f>
        <v/>
      </c>
      <c r="G766" s="0">
        <f>VLOOKUP(E766,'Tier Params'!$A:$C,3,FALSE)</f>
        <v/>
      </c>
      <c r="H766" s="0">
        <f>CEILING(D766/G766,1)</f>
        <v/>
      </c>
      <c r="I766" s="0">
        <f>H766*F766</f>
        <v/>
      </c>
    </row>
    <row r="767">
      <c r="A767" s="0" t="inlineStr">
        <is>
          <t>'Reference sheet'!N769</t>
        </is>
      </c>
      <c r="B767" s="0" t="inlineStr">
        <is>
          <t>Structure Repair Facility</t>
        </is>
      </c>
      <c r="C767" s="0" t="inlineStr">
        <is>
          <t>Self-Harmonizing Power Core</t>
        </is>
      </c>
      <c r="D767" s="0" t="n">
        <v>3</v>
      </c>
      <c r="E767" s="0">
        <f>VLOOKUP(C767,'Item Tier Lookup'!$A:$B,2,FALSE)</f>
        <v/>
      </c>
      <c r="F767" s="0">
        <f>VLOOKUP(E767,'Tier Params'!$A:$B,2,FALSE)</f>
        <v/>
      </c>
      <c r="G767" s="0">
        <f>VLOOKUP(E767,'Tier Params'!$A:$C,3,FALSE)</f>
        <v/>
      </c>
      <c r="H767" s="0">
        <f>CEILING(D767/G767,1)</f>
        <v/>
      </c>
      <c r="I767" s="0">
        <f>H767*F767</f>
        <v/>
      </c>
    </row>
    <row r="768">
      <c r="A768" s="0" t="inlineStr">
        <is>
          <t>'Reference sheet'!N770</t>
        </is>
      </c>
      <c r="B768" s="0" t="inlineStr">
        <is>
          <t>Structure Repair Facility</t>
        </is>
      </c>
      <c r="C768" s="0" t="inlineStr">
        <is>
          <t>Nuclear Reactors</t>
        </is>
      </c>
      <c r="D768" s="0" t="n">
        <v>18</v>
      </c>
      <c r="E768" s="0">
        <f>VLOOKUP(C768,'Item Tier Lookup'!$A:$B,2,FALSE)</f>
        <v/>
      </c>
      <c r="F768" s="0">
        <f>VLOOKUP(E768,'Tier Params'!$A:$B,2,FALSE)</f>
        <v/>
      </c>
      <c r="G768" s="0">
        <f>VLOOKUP(E768,'Tier Params'!$A:$C,3,FALSE)</f>
        <v/>
      </c>
      <c r="H768" s="0">
        <f>CEILING(D768/G768,1)</f>
        <v/>
      </c>
      <c r="I768" s="0">
        <f>H768*F768</f>
        <v/>
      </c>
    </row>
    <row r="769">
      <c r="A769" s="0" t="inlineStr">
        <is>
          <t>'Reference sheet'!N771</t>
        </is>
      </c>
      <c r="B769" s="0" t="inlineStr">
        <is>
          <t>Structure Repair Facility</t>
        </is>
      </c>
      <c r="C769" s="0" t="inlineStr">
        <is>
          <t>Enriched Uranium</t>
        </is>
      </c>
      <c r="D769" s="0" t="n">
        <v>60</v>
      </c>
      <c r="E769" s="0">
        <f>VLOOKUP(C769,'Item Tier Lookup'!$A:$B,2,FALSE)</f>
        <v/>
      </c>
      <c r="F769" s="0">
        <f>VLOOKUP(E769,'Tier Params'!$A:$B,2,FALSE)</f>
        <v/>
      </c>
      <c r="G769" s="0">
        <f>VLOOKUP(E769,'Tier Params'!$A:$C,3,FALSE)</f>
        <v/>
      </c>
      <c r="H769" s="0">
        <f>CEILING(D769/G769,1)</f>
        <v/>
      </c>
      <c r="I769" s="0">
        <f>H769*F769</f>
        <v/>
      </c>
    </row>
    <row r="770">
      <c r="A770" s="0" t="inlineStr">
        <is>
          <t>'Reference sheet'!N772</t>
        </is>
      </c>
      <c r="B770" s="0" t="inlineStr">
        <is>
          <t>Structure Repair Facility</t>
        </is>
      </c>
      <c r="C770" s="0" t="inlineStr">
        <is>
          <t>Toxic Metals</t>
        </is>
      </c>
      <c r="D770" s="0" t="n">
        <v>480</v>
      </c>
      <c r="E770" s="0">
        <f>VLOOKUP(C770,'Item Tier Lookup'!$A:$B,2,FALSE)</f>
        <v/>
      </c>
      <c r="F770" s="0">
        <f>VLOOKUP(E770,'Tier Params'!$A:$B,2,FALSE)</f>
        <v/>
      </c>
      <c r="G770" s="0">
        <f>VLOOKUP(E770,'Tier Params'!$A:$C,3,FALSE)</f>
        <v/>
      </c>
      <c r="H770" s="0">
        <f>CEILING(D770/G770,1)</f>
        <v/>
      </c>
      <c r="I770" s="0">
        <f>H770*F770</f>
        <v/>
      </c>
    </row>
    <row r="771">
      <c r="A771" s="0" t="inlineStr">
        <is>
          <t>'Reference sheet'!N773</t>
        </is>
      </c>
      <c r="B771" s="0" t="inlineStr">
        <is>
          <t>Structure Repair Facility</t>
        </is>
      </c>
      <c r="C771" s="0" t="inlineStr">
        <is>
          <t>Heavy Metals</t>
        </is>
      </c>
      <c r="D771" s="0" t="n">
        <v>72000</v>
      </c>
      <c r="E771" s="0">
        <f>VLOOKUP(C771,'Item Tier Lookup'!$A:$B,2,FALSE)</f>
        <v/>
      </c>
      <c r="F771" s="0">
        <f>VLOOKUP(E771,'Tier Params'!$A:$B,2,FALSE)</f>
        <v/>
      </c>
      <c r="G771" s="0">
        <f>VLOOKUP(E771,'Tier Params'!$A:$C,3,FALSE)</f>
        <v/>
      </c>
      <c r="H771" s="0">
        <f>CEILING(D771/G771,1)</f>
        <v/>
      </c>
      <c r="I771" s="0">
        <f>H771*F771</f>
        <v/>
      </c>
    </row>
    <row r="772">
      <c r="A772" s="0" t="inlineStr">
        <is>
          <t>'Reference sheet'!N774</t>
        </is>
      </c>
      <c r="B772" s="0" t="inlineStr">
        <is>
          <t>Structure Repair Facility</t>
        </is>
      </c>
      <c r="C772" s="0" t="inlineStr">
        <is>
          <t>Precious Metals</t>
        </is>
      </c>
      <c r="D772" s="0" t="n">
        <v>480</v>
      </c>
      <c r="E772" s="0">
        <f>VLOOKUP(C772,'Item Tier Lookup'!$A:$B,2,FALSE)</f>
        <v/>
      </c>
      <c r="F772" s="0">
        <f>VLOOKUP(E772,'Tier Params'!$A:$B,2,FALSE)</f>
        <v/>
      </c>
      <c r="G772" s="0">
        <f>VLOOKUP(E772,'Tier Params'!$A:$C,3,FALSE)</f>
        <v/>
      </c>
      <c r="H772" s="0">
        <f>CEILING(D772/G772,1)</f>
        <v/>
      </c>
      <c r="I772" s="0">
        <f>H772*F772</f>
        <v/>
      </c>
    </row>
    <row r="773">
      <c r="A773" s="0" t="inlineStr">
        <is>
          <t>'Reference sheet'!N775</t>
        </is>
      </c>
      <c r="B773" s="0" t="inlineStr">
        <is>
          <t>Structure Repair Facility</t>
        </is>
      </c>
      <c r="C773" s="0" t="inlineStr">
        <is>
          <t>Noble Metals</t>
        </is>
      </c>
      <c r="D773" s="0" t="n">
        <v>72000</v>
      </c>
      <c r="E773" s="0">
        <f>VLOOKUP(C773,'Item Tier Lookup'!$A:$B,2,FALSE)</f>
        <v/>
      </c>
      <c r="F773" s="0">
        <f>VLOOKUP(E773,'Tier Params'!$A:$B,2,FALSE)</f>
        <v/>
      </c>
      <c r="G773" s="0">
        <f>VLOOKUP(E773,'Tier Params'!$A:$C,3,FALSE)</f>
        <v/>
      </c>
      <c r="H773" s="0">
        <f>CEILING(D773/G773,1)</f>
        <v/>
      </c>
      <c r="I773" s="0">
        <f>H773*F773</f>
        <v/>
      </c>
    </row>
    <row r="774">
      <c r="A774" s="0" t="inlineStr">
        <is>
          <t>'Reference sheet'!N776</t>
        </is>
      </c>
      <c r="B774" s="0" t="inlineStr">
        <is>
          <t>Structure Repair Facility</t>
        </is>
      </c>
      <c r="C774" s="0" t="inlineStr">
        <is>
          <t>Microfiber Shielding</t>
        </is>
      </c>
      <c r="D774" s="0" t="n">
        <v>60</v>
      </c>
      <c r="E774" s="0">
        <f>VLOOKUP(C774,'Item Tier Lookup'!$A:$B,2,FALSE)</f>
        <v/>
      </c>
      <c r="F774" s="0">
        <f>VLOOKUP(E774,'Tier Params'!$A:$B,2,FALSE)</f>
        <v/>
      </c>
      <c r="G774" s="0">
        <f>VLOOKUP(E774,'Tier Params'!$A:$C,3,FALSE)</f>
        <v/>
      </c>
      <c r="H774" s="0">
        <f>CEILING(D774/G774,1)</f>
        <v/>
      </c>
      <c r="I774" s="0">
        <f>H774*F774</f>
        <v/>
      </c>
    </row>
    <row r="775">
      <c r="A775" s="0" t="inlineStr">
        <is>
          <t>'Reference sheet'!N777</t>
        </is>
      </c>
      <c r="B775" s="0" t="inlineStr">
        <is>
          <t>Structure Repair Facility</t>
        </is>
      </c>
      <c r="C775" s="0" t="inlineStr">
        <is>
          <t>Silicon</t>
        </is>
      </c>
      <c r="D775" s="0" t="n">
        <v>480</v>
      </c>
      <c r="E775" s="0">
        <f>VLOOKUP(C775,'Item Tier Lookup'!$A:$B,2,FALSE)</f>
        <v/>
      </c>
      <c r="F775" s="0">
        <f>VLOOKUP(E775,'Tier Params'!$A:$B,2,FALSE)</f>
        <v/>
      </c>
      <c r="G775" s="0">
        <f>VLOOKUP(E775,'Tier Params'!$A:$C,3,FALSE)</f>
        <v/>
      </c>
      <c r="H775" s="0">
        <f>CEILING(D775/G775,1)</f>
        <v/>
      </c>
      <c r="I775" s="0">
        <f>H775*F775</f>
        <v/>
      </c>
    </row>
    <row r="776">
      <c r="A776" s="0" t="inlineStr">
        <is>
          <t>'Reference sheet'!N778</t>
        </is>
      </c>
      <c r="B776" s="0" t="inlineStr">
        <is>
          <t>Structure Repair Facility</t>
        </is>
      </c>
      <c r="C776" s="0" t="inlineStr">
        <is>
          <t>Felsic Magma</t>
        </is>
      </c>
      <c r="D776" s="0" t="n">
        <v>72000</v>
      </c>
      <c r="E776" s="0">
        <f>VLOOKUP(C776,'Item Tier Lookup'!$A:$B,2,FALSE)</f>
        <v/>
      </c>
      <c r="F776" s="0">
        <f>VLOOKUP(E776,'Tier Params'!$A:$B,2,FALSE)</f>
        <v/>
      </c>
      <c r="G776" s="0">
        <f>VLOOKUP(E776,'Tier Params'!$A:$C,3,FALSE)</f>
        <v/>
      </c>
      <c r="H776" s="0">
        <f>CEILING(D776/G776,1)</f>
        <v/>
      </c>
      <c r="I776" s="0">
        <f>H776*F776</f>
        <v/>
      </c>
    </row>
    <row r="777">
      <c r="A777" s="0" t="inlineStr">
        <is>
          <t>'Reference sheet'!N779</t>
        </is>
      </c>
      <c r="B777" s="0" t="inlineStr">
        <is>
          <t>Structure Repair Facility</t>
        </is>
      </c>
      <c r="C777" s="0" t="inlineStr">
        <is>
          <t>Industrial Fibers</t>
        </is>
      </c>
      <c r="D777" s="0" t="n">
        <v>480</v>
      </c>
      <c r="E777" s="0">
        <f>VLOOKUP(C777,'Item Tier Lookup'!$A:$B,2,FALSE)</f>
        <v/>
      </c>
      <c r="F777" s="0">
        <f>VLOOKUP(E777,'Tier Params'!$A:$B,2,FALSE)</f>
        <v/>
      </c>
      <c r="G777" s="0">
        <f>VLOOKUP(E777,'Tier Params'!$A:$C,3,FALSE)</f>
        <v/>
      </c>
      <c r="H777" s="0">
        <f>CEILING(D777/G777,1)</f>
        <v/>
      </c>
      <c r="I777" s="0">
        <f>H777*F777</f>
        <v/>
      </c>
    </row>
    <row r="778">
      <c r="A778" s="0" t="inlineStr">
        <is>
          <t>'Reference sheet'!N780</t>
        </is>
      </c>
      <c r="B778" s="0" t="inlineStr">
        <is>
          <t>Structure Repair Facility</t>
        </is>
      </c>
      <c r="C778" s="0" t="inlineStr">
        <is>
          <t>Autotrophs</t>
        </is>
      </c>
      <c r="D778" s="0" t="n">
        <v>72000</v>
      </c>
      <c r="E778" s="0">
        <f>VLOOKUP(C778,'Item Tier Lookup'!$A:$B,2,FALSE)</f>
        <v/>
      </c>
      <c r="F778" s="0">
        <f>VLOOKUP(E778,'Tier Params'!$A:$B,2,FALSE)</f>
        <v/>
      </c>
      <c r="G778" s="0">
        <f>VLOOKUP(E778,'Tier Params'!$A:$C,3,FALSE)</f>
        <v/>
      </c>
      <c r="H778" s="0">
        <f>CEILING(D778/G778,1)</f>
        <v/>
      </c>
      <c r="I778" s="0">
        <f>H778*F778</f>
        <v/>
      </c>
    </row>
    <row r="779">
      <c r="A779" s="0" t="inlineStr">
        <is>
          <t>'Reference sheet'!N781</t>
        </is>
      </c>
      <c r="B779" s="0" t="inlineStr">
        <is>
          <t>Structure Repair Facility</t>
        </is>
      </c>
      <c r="C779" s="0" t="inlineStr">
        <is>
          <t>Camera Drones</t>
        </is>
      </c>
      <c r="D779" s="0" t="n">
        <v>18</v>
      </c>
      <c r="E779" s="0">
        <f>VLOOKUP(C779,'Item Tier Lookup'!$A:$B,2,FALSE)</f>
        <v/>
      </c>
      <c r="F779" s="0">
        <f>VLOOKUP(E779,'Tier Params'!$A:$B,2,FALSE)</f>
        <v/>
      </c>
      <c r="G779" s="0">
        <f>VLOOKUP(E779,'Tier Params'!$A:$C,3,FALSE)</f>
        <v/>
      </c>
      <c r="H779" s="0">
        <f>CEILING(D779/G779,1)</f>
        <v/>
      </c>
      <c r="I779" s="0">
        <f>H779*F779</f>
        <v/>
      </c>
    </row>
    <row r="780">
      <c r="A780" s="0" t="inlineStr">
        <is>
          <t>'Reference sheet'!N782</t>
        </is>
      </c>
      <c r="B780" s="0" t="inlineStr">
        <is>
          <t>Structure Repair Facility</t>
        </is>
      </c>
      <c r="C780" s="0" t="inlineStr">
        <is>
          <t>Rocket Fuel</t>
        </is>
      </c>
      <c r="D780" s="0" t="n">
        <v>60</v>
      </c>
      <c r="E780" s="0">
        <f>VLOOKUP(C780,'Item Tier Lookup'!$A:$B,2,FALSE)</f>
        <v/>
      </c>
      <c r="F780" s="0">
        <f>VLOOKUP(E780,'Tier Params'!$A:$B,2,FALSE)</f>
        <v/>
      </c>
      <c r="G780" s="0">
        <f>VLOOKUP(E780,'Tier Params'!$A:$C,3,FALSE)</f>
        <v/>
      </c>
      <c r="H780" s="0">
        <f>CEILING(D780/G780,1)</f>
        <v/>
      </c>
      <c r="I780" s="0">
        <f>H780*F780</f>
        <v/>
      </c>
    </row>
    <row r="781">
      <c r="A781" s="0" t="inlineStr">
        <is>
          <t>'Reference sheet'!N783</t>
        </is>
      </c>
      <c r="B781" s="0" t="inlineStr">
        <is>
          <t>Structure Repair Facility</t>
        </is>
      </c>
      <c r="C781" s="0" t="inlineStr">
        <is>
          <t>Electrolytes</t>
        </is>
      </c>
      <c r="D781" s="0" t="n">
        <v>480</v>
      </c>
      <c r="E781" s="0">
        <f>VLOOKUP(C781,'Item Tier Lookup'!$A:$B,2,FALSE)</f>
        <v/>
      </c>
      <c r="F781" s="0">
        <f>VLOOKUP(E781,'Tier Params'!$A:$B,2,FALSE)</f>
        <v/>
      </c>
      <c r="G781" s="0">
        <f>VLOOKUP(E781,'Tier Params'!$A:$C,3,FALSE)</f>
        <v/>
      </c>
      <c r="H781" s="0">
        <f>CEILING(D781/G781,1)</f>
        <v/>
      </c>
      <c r="I781" s="0">
        <f>H781*F781</f>
        <v/>
      </c>
    </row>
    <row r="782">
      <c r="A782" s="0" t="inlineStr">
        <is>
          <t>'Reference sheet'!N784</t>
        </is>
      </c>
      <c r="B782" s="0" t="inlineStr">
        <is>
          <t>Structure Repair Facility</t>
        </is>
      </c>
      <c r="C782" s="0" t="inlineStr">
        <is>
          <t>Ionic Solutions</t>
        </is>
      </c>
      <c r="D782" s="0" t="n">
        <v>72000</v>
      </c>
      <c r="E782" s="0">
        <f>VLOOKUP(C782,'Item Tier Lookup'!$A:$B,2,FALSE)</f>
        <v/>
      </c>
      <c r="F782" s="0">
        <f>VLOOKUP(E782,'Tier Params'!$A:$B,2,FALSE)</f>
        <v/>
      </c>
      <c r="G782" s="0">
        <f>VLOOKUP(E782,'Tier Params'!$A:$C,3,FALSE)</f>
        <v/>
      </c>
      <c r="H782" s="0">
        <f>CEILING(D782/G782,1)</f>
        <v/>
      </c>
      <c r="I782" s="0">
        <f>H782*F782</f>
        <v/>
      </c>
    </row>
    <row r="783">
      <c r="A783" s="0" t="inlineStr">
        <is>
          <t>'Reference sheet'!N785</t>
        </is>
      </c>
      <c r="B783" s="0" t="inlineStr">
        <is>
          <t>Structure Repair Facility</t>
        </is>
      </c>
      <c r="C783" s="0" t="inlineStr">
        <is>
          <t>Plasmoids</t>
        </is>
      </c>
      <c r="D783" s="0" t="n">
        <v>480</v>
      </c>
      <c r="E783" s="0">
        <f>VLOOKUP(C783,'Item Tier Lookup'!$A:$B,2,FALSE)</f>
        <v/>
      </c>
      <c r="F783" s="0">
        <f>VLOOKUP(E783,'Tier Params'!$A:$B,2,FALSE)</f>
        <v/>
      </c>
      <c r="G783" s="0">
        <f>VLOOKUP(E783,'Tier Params'!$A:$C,3,FALSE)</f>
        <v/>
      </c>
      <c r="H783" s="0">
        <f>CEILING(D783/G783,1)</f>
        <v/>
      </c>
      <c r="I783" s="0">
        <f>H783*F783</f>
        <v/>
      </c>
    </row>
    <row r="784">
      <c r="A784" s="0" t="inlineStr">
        <is>
          <t>'Reference sheet'!N786</t>
        </is>
      </c>
      <c r="B784" s="0" t="inlineStr">
        <is>
          <t>Structure Repair Facility</t>
        </is>
      </c>
      <c r="C784" s="0" t="inlineStr">
        <is>
          <t>Suspended Plasma</t>
        </is>
      </c>
      <c r="D784" s="0" t="n">
        <v>72000</v>
      </c>
      <c r="E784" s="0">
        <f>VLOOKUP(C784,'Item Tier Lookup'!$A:$B,2,FALSE)</f>
        <v/>
      </c>
      <c r="F784" s="0">
        <f>VLOOKUP(E784,'Tier Params'!$A:$B,2,FALSE)</f>
        <v/>
      </c>
      <c r="G784" s="0">
        <f>VLOOKUP(E784,'Tier Params'!$A:$C,3,FALSE)</f>
        <v/>
      </c>
      <c r="H784" s="0">
        <f>CEILING(D784/G784,1)</f>
        <v/>
      </c>
      <c r="I784" s="0">
        <f>H784*F784</f>
        <v/>
      </c>
    </row>
    <row r="785">
      <c r="A785" s="0" t="inlineStr">
        <is>
          <t>'Reference sheet'!N787</t>
        </is>
      </c>
      <c r="B785" s="0" t="inlineStr">
        <is>
          <t>Structure Repair Facility</t>
        </is>
      </c>
      <c r="C785" s="0" t="inlineStr">
        <is>
          <t>Silicate Glass</t>
        </is>
      </c>
      <c r="D785" s="0" t="n">
        <v>60</v>
      </c>
      <c r="E785" s="0">
        <f>VLOOKUP(C785,'Item Tier Lookup'!$A:$B,2,FALSE)</f>
        <v/>
      </c>
      <c r="F785" s="0">
        <f>VLOOKUP(E785,'Tier Params'!$A:$B,2,FALSE)</f>
        <v/>
      </c>
      <c r="G785" s="0">
        <f>VLOOKUP(E785,'Tier Params'!$A:$C,3,FALSE)</f>
        <v/>
      </c>
      <c r="H785" s="0">
        <f>CEILING(D785/G785,1)</f>
        <v/>
      </c>
      <c r="I785" s="0">
        <f>H785*F785</f>
        <v/>
      </c>
    </row>
    <row r="786">
      <c r="A786" s="0" t="inlineStr">
        <is>
          <t>'Reference sheet'!N788</t>
        </is>
      </c>
      <c r="B786" s="0" t="inlineStr">
        <is>
          <t>Structure Repair Facility</t>
        </is>
      </c>
      <c r="C786" s="0" t="inlineStr">
        <is>
          <t>Oxidizing Compound</t>
        </is>
      </c>
      <c r="D786" s="0" t="n">
        <v>480</v>
      </c>
      <c r="E786" s="0">
        <f>VLOOKUP(C786,'Item Tier Lookup'!$A:$B,2,FALSE)</f>
        <v/>
      </c>
      <c r="F786" s="0">
        <f>VLOOKUP(E786,'Tier Params'!$A:$B,2,FALSE)</f>
        <v/>
      </c>
      <c r="G786" s="0">
        <f>VLOOKUP(E786,'Tier Params'!$A:$C,3,FALSE)</f>
        <v/>
      </c>
      <c r="H786" s="0">
        <f>CEILING(D786/G786,1)</f>
        <v/>
      </c>
      <c r="I786" s="0">
        <f>H786*F786</f>
        <v/>
      </c>
    </row>
    <row r="787">
      <c r="A787" s="0" t="inlineStr">
        <is>
          <t>'Reference sheet'!N789</t>
        </is>
      </c>
      <c r="B787" s="0" t="inlineStr">
        <is>
          <t>Structure Repair Facility</t>
        </is>
      </c>
      <c r="C787" s="0" t="inlineStr">
        <is>
          <t>Reactive Gas</t>
        </is>
      </c>
      <c r="D787" s="0" t="n">
        <v>72000</v>
      </c>
      <c r="E787" s="0">
        <f>VLOOKUP(C787,'Item Tier Lookup'!$A:$B,2,FALSE)</f>
        <v/>
      </c>
      <c r="F787" s="0">
        <f>VLOOKUP(E787,'Tier Params'!$A:$B,2,FALSE)</f>
        <v/>
      </c>
      <c r="G787" s="0">
        <f>VLOOKUP(E787,'Tier Params'!$A:$C,3,FALSE)</f>
        <v/>
      </c>
      <c r="H787" s="0">
        <f>CEILING(D787/G787,1)</f>
        <v/>
      </c>
      <c r="I787" s="0">
        <f>H787*F787</f>
        <v/>
      </c>
    </row>
    <row r="788">
      <c r="A788" s="0" t="inlineStr">
        <is>
          <t>'Reference sheet'!N790</t>
        </is>
      </c>
      <c r="B788" s="0" t="inlineStr">
        <is>
          <t>Structure Repair Facility</t>
        </is>
      </c>
      <c r="C788" s="0" t="inlineStr">
        <is>
          <t>Silicon</t>
        </is>
      </c>
      <c r="D788" s="0" t="n">
        <v>480</v>
      </c>
      <c r="E788" s="0">
        <f>VLOOKUP(C788,'Item Tier Lookup'!$A:$B,2,FALSE)</f>
        <v/>
      </c>
      <c r="F788" s="0">
        <f>VLOOKUP(E788,'Tier Params'!$A:$B,2,FALSE)</f>
        <v/>
      </c>
      <c r="G788" s="0">
        <f>VLOOKUP(E788,'Tier Params'!$A:$C,3,FALSE)</f>
        <v/>
      </c>
      <c r="H788" s="0">
        <f>CEILING(D788/G788,1)</f>
        <v/>
      </c>
      <c r="I788" s="0">
        <f>H788*F788</f>
        <v/>
      </c>
    </row>
    <row r="789">
      <c r="A789" s="0" t="inlineStr">
        <is>
          <t>'Reference sheet'!N791</t>
        </is>
      </c>
      <c r="B789" s="0" t="inlineStr">
        <is>
          <t>Structure Repair Facility</t>
        </is>
      </c>
      <c r="C789" s="0" t="inlineStr">
        <is>
          <t>Felsic Magma</t>
        </is>
      </c>
      <c r="D789" s="0" t="n">
        <v>72000</v>
      </c>
      <c r="E789" s="0">
        <f>VLOOKUP(C789,'Item Tier Lookup'!$A:$B,2,FALSE)</f>
        <v/>
      </c>
      <c r="F789" s="0">
        <f>VLOOKUP(E789,'Tier Params'!$A:$B,2,FALSE)</f>
        <v/>
      </c>
      <c r="G789" s="0">
        <f>VLOOKUP(E789,'Tier Params'!$A:$C,3,FALSE)</f>
        <v/>
      </c>
      <c r="H789" s="0">
        <f>CEILING(D789/G789,1)</f>
        <v/>
      </c>
      <c r="I789" s="0">
        <f>H789*F789</f>
        <v/>
      </c>
    </row>
    <row r="790">
      <c r="A790" s="0" t="inlineStr">
        <is>
          <t>'Reference sheet'!N792</t>
        </is>
      </c>
      <c r="B790" s="0" t="inlineStr">
        <is>
          <t>Structure Repair Facility</t>
        </is>
      </c>
      <c r="C790" s="0" t="inlineStr">
        <is>
          <t>Hermetic Membranes</t>
        </is>
      </c>
      <c r="D790" s="0" t="n">
        <v>18</v>
      </c>
      <c r="E790" s="0">
        <f>VLOOKUP(C790,'Item Tier Lookup'!$A:$B,2,FALSE)</f>
        <v/>
      </c>
      <c r="F790" s="0">
        <f>VLOOKUP(E790,'Tier Params'!$A:$B,2,FALSE)</f>
        <v/>
      </c>
      <c r="G790" s="0">
        <f>VLOOKUP(E790,'Tier Params'!$A:$C,3,FALSE)</f>
        <v/>
      </c>
      <c r="H790" s="0">
        <f>CEILING(D790/G790,1)</f>
        <v/>
      </c>
      <c r="I790" s="0">
        <f>H790*F790</f>
        <v/>
      </c>
    </row>
    <row r="791">
      <c r="A791" s="0" t="inlineStr">
        <is>
          <t>'Reference sheet'!N793</t>
        </is>
      </c>
      <c r="B791" s="0" t="inlineStr">
        <is>
          <t>Structure Repair Facility</t>
        </is>
      </c>
      <c r="C791" s="0" t="inlineStr">
        <is>
          <t>Polyaramids</t>
        </is>
      </c>
      <c r="D791" s="0" t="n">
        <v>60</v>
      </c>
      <c r="E791" s="0">
        <f>VLOOKUP(C791,'Item Tier Lookup'!$A:$B,2,FALSE)</f>
        <v/>
      </c>
      <c r="F791" s="0">
        <f>VLOOKUP(E791,'Tier Params'!$A:$B,2,FALSE)</f>
        <v/>
      </c>
      <c r="G791" s="0">
        <f>VLOOKUP(E791,'Tier Params'!$A:$C,3,FALSE)</f>
        <v/>
      </c>
      <c r="H791" s="0">
        <f>CEILING(D791/G791,1)</f>
        <v/>
      </c>
      <c r="I791" s="0">
        <f>H791*F791</f>
        <v/>
      </c>
    </row>
    <row r="792">
      <c r="A792" s="0" t="inlineStr">
        <is>
          <t>'Reference sheet'!N794</t>
        </is>
      </c>
      <c r="B792" s="0" t="inlineStr">
        <is>
          <t>Structure Repair Facility</t>
        </is>
      </c>
      <c r="C792" s="0" t="inlineStr">
        <is>
          <t>Oxidizing Compound</t>
        </is>
      </c>
      <c r="D792" s="0" t="n">
        <v>480</v>
      </c>
      <c r="E792" s="0">
        <f>VLOOKUP(C792,'Item Tier Lookup'!$A:$B,2,FALSE)</f>
        <v/>
      </c>
      <c r="F792" s="0">
        <f>VLOOKUP(E792,'Tier Params'!$A:$B,2,FALSE)</f>
        <v/>
      </c>
      <c r="G792" s="0">
        <f>VLOOKUP(E792,'Tier Params'!$A:$C,3,FALSE)</f>
        <v/>
      </c>
      <c r="H792" s="0">
        <f>CEILING(D792/G792,1)</f>
        <v/>
      </c>
      <c r="I792" s="0">
        <f>H792*F792</f>
        <v/>
      </c>
    </row>
    <row r="793">
      <c r="A793" s="0" t="inlineStr">
        <is>
          <t>'Reference sheet'!N795</t>
        </is>
      </c>
      <c r="B793" s="0" t="inlineStr">
        <is>
          <t>Structure Repair Facility</t>
        </is>
      </c>
      <c r="C793" s="0" t="inlineStr">
        <is>
          <t>Reactive Gas</t>
        </is>
      </c>
      <c r="D793" s="0" t="n">
        <v>72000</v>
      </c>
      <c r="E793" s="0">
        <f>VLOOKUP(C793,'Item Tier Lookup'!$A:$B,2,FALSE)</f>
        <v/>
      </c>
      <c r="F793" s="0">
        <f>VLOOKUP(E793,'Tier Params'!$A:$B,2,FALSE)</f>
        <v/>
      </c>
      <c r="G793" s="0">
        <f>VLOOKUP(E793,'Tier Params'!$A:$C,3,FALSE)</f>
        <v/>
      </c>
      <c r="H793" s="0">
        <f>CEILING(D793/G793,1)</f>
        <v/>
      </c>
      <c r="I793" s="0">
        <f>H793*F793</f>
        <v/>
      </c>
    </row>
    <row r="794">
      <c r="A794" s="0" t="inlineStr">
        <is>
          <t>'Reference sheet'!N796</t>
        </is>
      </c>
      <c r="B794" s="0" t="inlineStr">
        <is>
          <t>Structure Repair Facility</t>
        </is>
      </c>
      <c r="C794" s="0" t="inlineStr">
        <is>
          <t>Industrial Fibers</t>
        </is>
      </c>
      <c r="D794" s="0" t="n">
        <v>480</v>
      </c>
      <c r="E794" s="0">
        <f>VLOOKUP(C794,'Item Tier Lookup'!$A:$B,2,FALSE)</f>
        <v/>
      </c>
      <c r="F794" s="0">
        <f>VLOOKUP(E794,'Tier Params'!$A:$B,2,FALSE)</f>
        <v/>
      </c>
      <c r="G794" s="0">
        <f>VLOOKUP(E794,'Tier Params'!$A:$C,3,FALSE)</f>
        <v/>
      </c>
      <c r="H794" s="0">
        <f>CEILING(D794/G794,1)</f>
        <v/>
      </c>
      <c r="I794" s="0">
        <f>H794*F794</f>
        <v/>
      </c>
    </row>
    <row r="795">
      <c r="A795" s="0" t="inlineStr">
        <is>
          <t>'Reference sheet'!N797</t>
        </is>
      </c>
      <c r="B795" s="0" t="inlineStr">
        <is>
          <t>Structure Repair Facility</t>
        </is>
      </c>
      <c r="C795" s="0" t="inlineStr">
        <is>
          <t>Autotrophs</t>
        </is>
      </c>
      <c r="D795" s="0" t="n">
        <v>72000</v>
      </c>
      <c r="E795" s="0">
        <f>VLOOKUP(C795,'Item Tier Lookup'!$A:$B,2,FALSE)</f>
        <v/>
      </c>
      <c r="F795" s="0">
        <f>VLOOKUP(E795,'Tier Params'!$A:$B,2,FALSE)</f>
        <v/>
      </c>
      <c r="G795" s="0">
        <f>VLOOKUP(E795,'Tier Params'!$A:$C,3,FALSE)</f>
        <v/>
      </c>
      <c r="H795" s="0">
        <f>CEILING(D795/G795,1)</f>
        <v/>
      </c>
      <c r="I795" s="0">
        <f>H795*F795</f>
        <v/>
      </c>
    </row>
    <row r="796">
      <c r="A796" s="0" t="inlineStr">
        <is>
          <t>'Reference sheet'!N798</t>
        </is>
      </c>
      <c r="B796" s="0" t="inlineStr">
        <is>
          <t>Structure Repair Facility</t>
        </is>
      </c>
      <c r="C796" s="0" t="inlineStr">
        <is>
          <t>Genetically Enhanced Livestock</t>
        </is>
      </c>
      <c r="D796" s="0" t="n">
        <v>60</v>
      </c>
      <c r="E796" s="0">
        <f>VLOOKUP(C796,'Item Tier Lookup'!$A:$B,2,FALSE)</f>
        <v/>
      </c>
      <c r="F796" s="0">
        <f>VLOOKUP(E796,'Tier Params'!$A:$B,2,FALSE)</f>
        <v/>
      </c>
      <c r="G796" s="0">
        <f>VLOOKUP(E796,'Tier Params'!$A:$C,3,FALSE)</f>
        <v/>
      </c>
      <c r="H796" s="0">
        <f>CEILING(D796/G796,1)</f>
        <v/>
      </c>
      <c r="I796" s="0">
        <f>H796*F796</f>
        <v/>
      </c>
    </row>
    <row r="797">
      <c r="A797" s="0" t="inlineStr">
        <is>
          <t>'Reference sheet'!N799</t>
        </is>
      </c>
      <c r="B797" s="0" t="inlineStr">
        <is>
          <t>Structure Repair Facility</t>
        </is>
      </c>
      <c r="C797" s="0" t="inlineStr">
        <is>
          <t>Proteins</t>
        </is>
      </c>
      <c r="D797" s="0" t="n">
        <v>480</v>
      </c>
      <c r="E797" s="0">
        <f>VLOOKUP(C797,'Item Tier Lookup'!$A:$B,2,FALSE)</f>
        <v/>
      </c>
      <c r="F797" s="0">
        <f>VLOOKUP(E797,'Tier Params'!$A:$B,2,FALSE)</f>
        <v/>
      </c>
      <c r="G797" s="0">
        <f>VLOOKUP(E797,'Tier Params'!$A:$C,3,FALSE)</f>
        <v/>
      </c>
      <c r="H797" s="0">
        <f>CEILING(D797/G797,1)</f>
        <v/>
      </c>
      <c r="I797" s="0">
        <f>H797*F797</f>
        <v/>
      </c>
    </row>
    <row r="798">
      <c r="A798" s="0" t="inlineStr">
        <is>
          <t>'Reference sheet'!N800</t>
        </is>
      </c>
      <c r="B798" s="0" t="inlineStr">
        <is>
          <t>Structure Repair Facility</t>
        </is>
      </c>
      <c r="C798" s="0" t="inlineStr">
        <is>
          <t>Complex Organisms</t>
        </is>
      </c>
      <c r="D798" s="0" t="n">
        <v>72000</v>
      </c>
      <c r="E798" s="0">
        <f>VLOOKUP(C798,'Item Tier Lookup'!$A:$B,2,FALSE)</f>
        <v/>
      </c>
      <c r="F798" s="0">
        <f>VLOOKUP(E798,'Tier Params'!$A:$B,2,FALSE)</f>
        <v/>
      </c>
      <c r="G798" s="0">
        <f>VLOOKUP(E798,'Tier Params'!$A:$C,3,FALSE)</f>
        <v/>
      </c>
      <c r="H798" s="0">
        <f>CEILING(D798/G798,1)</f>
        <v/>
      </c>
      <c r="I798" s="0">
        <f>H798*F798</f>
        <v/>
      </c>
    </row>
    <row r="799">
      <c r="A799" s="0" t="inlineStr">
        <is>
          <t>'Reference sheet'!N801</t>
        </is>
      </c>
      <c r="B799" s="0" t="inlineStr">
        <is>
          <t>Structure Repair Facility</t>
        </is>
      </c>
      <c r="C799" s="0" t="inlineStr">
        <is>
          <t>Biomass</t>
        </is>
      </c>
      <c r="D799" s="0" t="n">
        <v>480</v>
      </c>
      <c r="E799" s="0">
        <f>VLOOKUP(C799,'Item Tier Lookup'!$A:$B,2,FALSE)</f>
        <v/>
      </c>
      <c r="F799" s="0">
        <f>VLOOKUP(E799,'Tier Params'!$A:$B,2,FALSE)</f>
        <v/>
      </c>
      <c r="G799" s="0">
        <f>VLOOKUP(E799,'Tier Params'!$A:$C,3,FALSE)</f>
        <v/>
      </c>
      <c r="H799" s="0">
        <f>CEILING(D799/G799,1)</f>
        <v/>
      </c>
      <c r="I799" s="0">
        <f>H799*F799</f>
        <v/>
      </c>
    </row>
    <row r="800">
      <c r="A800" s="0" t="inlineStr">
        <is>
          <t>'Reference sheet'!N802</t>
        </is>
      </c>
      <c r="B800" s="0" t="inlineStr">
        <is>
          <t>Structure Repair Facility</t>
        </is>
      </c>
      <c r="C800" s="0" t="inlineStr">
        <is>
          <t>Planktic Colonies</t>
        </is>
      </c>
      <c r="D800" s="0" t="n">
        <v>72000</v>
      </c>
      <c r="E800" s="0">
        <f>VLOOKUP(C800,'Item Tier Lookup'!$A:$B,2,FALSE)</f>
        <v/>
      </c>
      <c r="F800" s="0">
        <f>VLOOKUP(E800,'Tier Params'!$A:$B,2,FALSE)</f>
        <v/>
      </c>
      <c r="G800" s="0">
        <f>VLOOKUP(E800,'Tier Params'!$A:$C,3,FALSE)</f>
        <v/>
      </c>
      <c r="H800" s="0">
        <f>CEILING(D800/G800,1)</f>
        <v/>
      </c>
      <c r="I800" s="0">
        <f>H800*F800</f>
        <v/>
      </c>
    </row>
    <row r="801">
      <c r="A801" s="0" t="inlineStr">
        <is>
          <t>'Reference sheet'!N803</t>
        </is>
      </c>
      <c r="B801" s="0" t="inlineStr">
        <is>
          <t>Structure Repair Facility</t>
        </is>
      </c>
      <c r="C801" s="0" t="inlineStr">
        <is>
          <t>Sterile Conduits</t>
        </is>
      </c>
      <c r="D801" s="0" t="n">
        <v>5</v>
      </c>
      <c r="E801" s="0">
        <f>VLOOKUP(C801,'Item Tier Lookup'!$A:$B,2,FALSE)</f>
        <v/>
      </c>
      <c r="F801" s="0">
        <f>VLOOKUP(E801,'Tier Params'!$A:$B,2,FALSE)</f>
        <v/>
      </c>
      <c r="G801" s="0">
        <f>VLOOKUP(E801,'Tier Params'!$A:$C,3,FALSE)</f>
        <v/>
      </c>
      <c r="H801" s="0">
        <f>CEILING(D801/G801,1)</f>
        <v/>
      </c>
      <c r="I801" s="0">
        <f>H801*F801</f>
        <v/>
      </c>
    </row>
    <row r="802">
      <c r="A802" s="0" t="inlineStr">
        <is>
          <t>'Reference sheet'!N804</t>
        </is>
      </c>
      <c r="B802" s="0" t="inlineStr">
        <is>
          <t>Structure Repair Facility</t>
        </is>
      </c>
      <c r="C802" s="0" t="inlineStr">
        <is>
          <t>Water</t>
        </is>
      </c>
      <c r="D802" s="0" t="n">
        <v>200</v>
      </c>
      <c r="E802" s="0">
        <f>VLOOKUP(C802,'Item Tier Lookup'!$A:$B,2,FALSE)</f>
        <v/>
      </c>
      <c r="F802" s="0">
        <f>VLOOKUP(E802,'Tier Params'!$A:$B,2,FALSE)</f>
        <v/>
      </c>
      <c r="G802" s="0">
        <f>VLOOKUP(E802,'Tier Params'!$A:$C,3,FALSE)</f>
        <v/>
      </c>
      <c r="H802" s="0">
        <f>CEILING(D802/G802,1)</f>
        <v/>
      </c>
      <c r="I802" s="0">
        <f>H802*F802</f>
        <v/>
      </c>
    </row>
    <row r="803">
      <c r="A803" s="0" t="inlineStr">
        <is>
          <t>'Reference sheet'!N805</t>
        </is>
      </c>
      <c r="B803" s="0" t="inlineStr">
        <is>
          <t>Structure Repair Facility</t>
        </is>
      </c>
      <c r="C803" s="0" t="inlineStr">
        <is>
          <t>Aqueous Liquids</t>
        </is>
      </c>
      <c r="D803" s="0" t="n">
        <v>30000</v>
      </c>
      <c r="E803" s="0">
        <f>VLOOKUP(C803,'Item Tier Lookup'!$A:$B,2,FALSE)</f>
        <v/>
      </c>
      <c r="F803" s="0">
        <f>VLOOKUP(E803,'Tier Params'!$A:$B,2,FALSE)</f>
        <v/>
      </c>
      <c r="G803" s="0">
        <f>VLOOKUP(E803,'Tier Params'!$A:$C,3,FALSE)</f>
        <v/>
      </c>
      <c r="H803" s="0">
        <f>CEILING(D803/G803,1)</f>
        <v/>
      </c>
      <c r="I803" s="0">
        <f>H803*F803</f>
        <v/>
      </c>
    </row>
    <row r="804">
      <c r="A804" s="0" t="inlineStr">
        <is>
          <t>'Reference sheet'!N806</t>
        </is>
      </c>
      <c r="B804" s="0" t="inlineStr">
        <is>
          <t>Structure Repair Facility</t>
        </is>
      </c>
      <c r="C804" s="0" t="inlineStr">
        <is>
          <t>Vaccines</t>
        </is>
      </c>
      <c r="D804" s="0" t="n">
        <v>30</v>
      </c>
      <c r="E804" s="0">
        <f>VLOOKUP(C804,'Item Tier Lookup'!$A:$B,2,FALSE)</f>
        <v/>
      </c>
      <c r="F804" s="0">
        <f>VLOOKUP(E804,'Tier Params'!$A:$B,2,FALSE)</f>
        <v/>
      </c>
      <c r="G804" s="0">
        <f>VLOOKUP(E804,'Tier Params'!$A:$C,3,FALSE)</f>
        <v/>
      </c>
      <c r="H804" s="0">
        <f>CEILING(D804/G804,1)</f>
        <v/>
      </c>
      <c r="I804" s="0">
        <f>H804*F804</f>
        <v/>
      </c>
    </row>
    <row r="805">
      <c r="A805" s="0" t="inlineStr">
        <is>
          <t>'Reference sheet'!N807</t>
        </is>
      </c>
      <c r="B805" s="0" t="inlineStr">
        <is>
          <t>Structure Repair Facility</t>
        </is>
      </c>
      <c r="C805" s="0" t="inlineStr">
        <is>
          <t>Livestock</t>
        </is>
      </c>
      <c r="D805" s="0" t="n">
        <v>100</v>
      </c>
      <c r="E805" s="0">
        <f>VLOOKUP(C805,'Item Tier Lookup'!$A:$B,2,FALSE)</f>
        <v/>
      </c>
      <c r="F805" s="0">
        <f>VLOOKUP(E805,'Tier Params'!$A:$B,2,FALSE)</f>
        <v/>
      </c>
      <c r="G805" s="0">
        <f>VLOOKUP(E805,'Tier Params'!$A:$C,3,FALSE)</f>
        <v/>
      </c>
      <c r="H805" s="0">
        <f>CEILING(D805/G805,1)</f>
        <v/>
      </c>
      <c r="I805" s="0">
        <f>H805*F805</f>
        <v/>
      </c>
    </row>
    <row r="806">
      <c r="A806" s="0" t="inlineStr">
        <is>
          <t>'Reference sheet'!N808</t>
        </is>
      </c>
      <c r="B806" s="0" t="inlineStr">
        <is>
          <t>Structure Repair Facility</t>
        </is>
      </c>
      <c r="C806" s="0" t="inlineStr">
        <is>
          <t>Proteins</t>
        </is>
      </c>
      <c r="D806" s="0" t="n">
        <v>800</v>
      </c>
      <c r="E806" s="0">
        <f>VLOOKUP(C806,'Item Tier Lookup'!$A:$B,2,FALSE)</f>
        <v/>
      </c>
      <c r="F806" s="0">
        <f>VLOOKUP(E806,'Tier Params'!$A:$B,2,FALSE)</f>
        <v/>
      </c>
      <c r="G806" s="0">
        <f>VLOOKUP(E806,'Tier Params'!$A:$C,3,FALSE)</f>
        <v/>
      </c>
      <c r="H806" s="0">
        <f>CEILING(D806/G806,1)</f>
        <v/>
      </c>
      <c r="I806" s="0">
        <f>H806*F806</f>
        <v/>
      </c>
    </row>
    <row r="807">
      <c r="A807" s="0" t="inlineStr">
        <is>
          <t>'Reference sheet'!N809</t>
        </is>
      </c>
      <c r="B807" s="0" t="inlineStr">
        <is>
          <t>Structure Repair Facility</t>
        </is>
      </c>
      <c r="C807" s="0" t="inlineStr">
        <is>
          <t>Complex Organisms</t>
        </is>
      </c>
      <c r="D807" s="0" t="n">
        <v>120000</v>
      </c>
      <c r="E807" s="0">
        <f>VLOOKUP(C807,'Item Tier Lookup'!$A:$B,2,FALSE)</f>
        <v/>
      </c>
      <c r="F807" s="0">
        <f>VLOOKUP(E807,'Tier Params'!$A:$B,2,FALSE)</f>
        <v/>
      </c>
      <c r="G807" s="0">
        <f>VLOOKUP(E807,'Tier Params'!$A:$C,3,FALSE)</f>
        <v/>
      </c>
      <c r="H807" s="0">
        <f>CEILING(D807/G807,1)</f>
        <v/>
      </c>
      <c r="I807" s="0">
        <f>H807*F807</f>
        <v/>
      </c>
    </row>
    <row r="808">
      <c r="A808" s="0" t="inlineStr">
        <is>
          <t>'Reference sheet'!N810</t>
        </is>
      </c>
      <c r="B808" s="0" t="inlineStr">
        <is>
          <t>Structure Repair Facility</t>
        </is>
      </c>
      <c r="C808" s="0" t="inlineStr">
        <is>
          <t>Biofuels</t>
        </is>
      </c>
      <c r="D808" s="0" t="n">
        <v>800</v>
      </c>
      <c r="E808" s="0">
        <f>VLOOKUP(C808,'Item Tier Lookup'!$A:$B,2,FALSE)</f>
        <v/>
      </c>
      <c r="F808" s="0">
        <f>VLOOKUP(E808,'Tier Params'!$A:$B,2,FALSE)</f>
        <v/>
      </c>
      <c r="G808" s="0">
        <f>VLOOKUP(E808,'Tier Params'!$A:$C,3,FALSE)</f>
        <v/>
      </c>
      <c r="H808" s="0">
        <f>CEILING(D808/G808,1)</f>
        <v/>
      </c>
      <c r="I808" s="0">
        <f>H808*F808</f>
        <v/>
      </c>
    </row>
    <row r="809">
      <c r="A809" s="0" t="inlineStr">
        <is>
          <t>'Reference sheet'!N811</t>
        </is>
      </c>
      <c r="B809" s="0" t="inlineStr">
        <is>
          <t>Structure Repair Facility</t>
        </is>
      </c>
      <c r="C809" s="0" t="inlineStr">
        <is>
          <t>Carbon Compounds</t>
        </is>
      </c>
      <c r="D809" s="0" t="n">
        <v>120000</v>
      </c>
      <c r="E809" s="0">
        <f>VLOOKUP(C809,'Item Tier Lookup'!$A:$B,2,FALSE)</f>
        <v/>
      </c>
      <c r="F809" s="0">
        <f>VLOOKUP(E809,'Tier Params'!$A:$B,2,FALSE)</f>
        <v/>
      </c>
      <c r="G809" s="0">
        <f>VLOOKUP(E809,'Tier Params'!$A:$C,3,FALSE)</f>
        <v/>
      </c>
      <c r="H809" s="0">
        <f>CEILING(D809/G809,1)</f>
        <v/>
      </c>
      <c r="I809" s="0">
        <f>H809*F809</f>
        <v/>
      </c>
    </row>
    <row r="810">
      <c r="A810" s="0" t="inlineStr">
        <is>
          <t>'Reference sheet'!N812</t>
        </is>
      </c>
      <c r="B810" s="0" t="inlineStr">
        <is>
          <t>Structure Repair Facility</t>
        </is>
      </c>
      <c r="C810" s="0" t="inlineStr">
        <is>
          <t>Viral Agent</t>
        </is>
      </c>
      <c r="D810" s="0" t="n">
        <v>100</v>
      </c>
      <c r="E810" s="0">
        <f>VLOOKUP(C810,'Item Tier Lookup'!$A:$B,2,FALSE)</f>
        <v/>
      </c>
      <c r="F810" s="0">
        <f>VLOOKUP(E810,'Tier Params'!$A:$B,2,FALSE)</f>
        <v/>
      </c>
      <c r="G810" s="0">
        <f>VLOOKUP(E810,'Tier Params'!$A:$C,3,FALSE)</f>
        <v/>
      </c>
      <c r="H810" s="0">
        <f>CEILING(D810/G810,1)</f>
        <v/>
      </c>
      <c r="I810" s="0">
        <f>H810*F810</f>
        <v/>
      </c>
    </row>
    <row r="811">
      <c r="A811" s="0" t="inlineStr">
        <is>
          <t>'Reference sheet'!N813</t>
        </is>
      </c>
      <c r="B811" s="0" t="inlineStr">
        <is>
          <t>Structure Repair Facility</t>
        </is>
      </c>
      <c r="C811" s="0" t="inlineStr">
        <is>
          <t>Bacteria</t>
        </is>
      </c>
      <c r="D811" s="0" t="n">
        <v>800</v>
      </c>
      <c r="E811" s="0">
        <f>VLOOKUP(C811,'Item Tier Lookup'!$A:$B,2,FALSE)</f>
        <v/>
      </c>
      <c r="F811" s="0">
        <f>VLOOKUP(E811,'Tier Params'!$A:$B,2,FALSE)</f>
        <v/>
      </c>
      <c r="G811" s="0">
        <f>VLOOKUP(E811,'Tier Params'!$A:$C,3,FALSE)</f>
        <v/>
      </c>
      <c r="H811" s="0">
        <f>CEILING(D811/G811,1)</f>
        <v/>
      </c>
      <c r="I811" s="0">
        <f>H811*F811</f>
        <v/>
      </c>
    </row>
    <row r="812">
      <c r="A812" s="0" t="inlineStr">
        <is>
          <t>'Reference sheet'!N814</t>
        </is>
      </c>
      <c r="B812" s="0" t="inlineStr">
        <is>
          <t>Structure Repair Facility</t>
        </is>
      </c>
      <c r="C812" s="0" t="inlineStr">
        <is>
          <t>Microorganisms</t>
        </is>
      </c>
      <c r="D812" s="0" t="n">
        <v>120000</v>
      </c>
      <c r="E812" s="0">
        <f>VLOOKUP(C812,'Item Tier Lookup'!$A:$B,2,FALSE)</f>
        <v/>
      </c>
      <c r="F812" s="0">
        <f>VLOOKUP(E812,'Tier Params'!$A:$B,2,FALSE)</f>
        <v/>
      </c>
      <c r="G812" s="0">
        <f>VLOOKUP(E812,'Tier Params'!$A:$C,3,FALSE)</f>
        <v/>
      </c>
      <c r="H812" s="0">
        <f>CEILING(D812/G812,1)</f>
        <v/>
      </c>
      <c r="I812" s="0">
        <f>H812*F812</f>
        <v/>
      </c>
    </row>
    <row r="813">
      <c r="A813" s="0" t="inlineStr">
        <is>
          <t>'Reference sheet'!N815</t>
        </is>
      </c>
      <c r="B813" s="0" t="inlineStr">
        <is>
          <t>Structure Repair Facility</t>
        </is>
      </c>
      <c r="C813" s="0" t="inlineStr">
        <is>
          <t>Biomass</t>
        </is>
      </c>
      <c r="D813" s="0" t="n">
        <v>800</v>
      </c>
      <c r="E813" s="0">
        <f>VLOOKUP(C813,'Item Tier Lookup'!$A:$B,2,FALSE)</f>
        <v/>
      </c>
      <c r="F813" s="0">
        <f>VLOOKUP(E813,'Tier Params'!$A:$B,2,FALSE)</f>
        <v/>
      </c>
      <c r="G813" s="0">
        <f>VLOOKUP(E813,'Tier Params'!$A:$C,3,FALSE)</f>
        <v/>
      </c>
      <c r="H813" s="0">
        <f>CEILING(D813/G813,1)</f>
        <v/>
      </c>
      <c r="I813" s="0">
        <f>H813*F813</f>
        <v/>
      </c>
    </row>
    <row r="814">
      <c r="A814" s="0" t="inlineStr">
        <is>
          <t>'Reference sheet'!N816</t>
        </is>
      </c>
      <c r="B814" s="0" t="inlineStr">
        <is>
          <t>Structure Repair Facility</t>
        </is>
      </c>
      <c r="C814" s="0" t="inlineStr">
        <is>
          <t>Planktic Colonies</t>
        </is>
      </c>
      <c r="D814" s="0" t="n">
        <v>120000</v>
      </c>
      <c r="E814" s="0">
        <f>VLOOKUP(C814,'Item Tier Lookup'!$A:$B,2,FALSE)</f>
        <v/>
      </c>
      <c r="F814" s="0">
        <f>VLOOKUP(E814,'Tier Params'!$A:$B,2,FALSE)</f>
        <v/>
      </c>
      <c r="G814" s="0">
        <f>VLOOKUP(E814,'Tier Params'!$A:$C,3,FALSE)</f>
        <v/>
      </c>
      <c r="H814" s="0">
        <f>CEILING(D814/G814,1)</f>
        <v/>
      </c>
      <c r="I814" s="0">
        <f>H814*F814</f>
        <v/>
      </c>
    </row>
    <row r="815">
      <c r="A815" s="0" t="inlineStr">
        <is>
          <t>'Reference sheet'!N817</t>
        </is>
      </c>
      <c r="B815" s="0" t="inlineStr">
        <is>
          <t>Structure Repair Facility</t>
        </is>
      </c>
      <c r="C815" s="0" t="inlineStr">
        <is>
          <t>Smartfab Units</t>
        </is>
      </c>
      <c r="D815" s="0" t="n">
        <v>30</v>
      </c>
      <c r="E815" s="0">
        <f>VLOOKUP(C815,'Item Tier Lookup'!$A:$B,2,FALSE)</f>
        <v/>
      </c>
      <c r="F815" s="0">
        <f>VLOOKUP(E815,'Tier Params'!$A:$B,2,FALSE)</f>
        <v/>
      </c>
      <c r="G815" s="0">
        <f>VLOOKUP(E815,'Tier Params'!$A:$C,3,FALSE)</f>
        <v/>
      </c>
      <c r="H815" s="0">
        <f>CEILING(D815/G815,1)</f>
        <v/>
      </c>
      <c r="I815" s="0">
        <f>H815*F815</f>
        <v/>
      </c>
    </row>
    <row r="816">
      <c r="A816" s="0" t="inlineStr">
        <is>
          <t>'Reference sheet'!N818</t>
        </is>
      </c>
      <c r="B816" s="0" t="inlineStr">
        <is>
          <t>Structure Repair Facility</t>
        </is>
      </c>
      <c r="C816" s="0" t="inlineStr">
        <is>
          <t>Miniature Electronics</t>
        </is>
      </c>
      <c r="D816" s="0" t="n">
        <v>100</v>
      </c>
      <c r="E816" s="0">
        <f>VLOOKUP(C816,'Item Tier Lookup'!$A:$B,2,FALSE)</f>
        <v/>
      </c>
      <c r="F816" s="0">
        <f>VLOOKUP(E816,'Tier Params'!$A:$B,2,FALSE)</f>
        <v/>
      </c>
      <c r="G816" s="0">
        <f>VLOOKUP(E816,'Tier Params'!$A:$C,3,FALSE)</f>
        <v/>
      </c>
      <c r="H816" s="0">
        <f>CEILING(D816/G816,1)</f>
        <v/>
      </c>
      <c r="I816" s="0">
        <f>H816*F816</f>
        <v/>
      </c>
    </row>
    <row r="817">
      <c r="A817" s="0" t="inlineStr">
        <is>
          <t>'Reference sheet'!N819</t>
        </is>
      </c>
      <c r="B817" s="0" t="inlineStr">
        <is>
          <t>Structure Repair Facility</t>
        </is>
      </c>
      <c r="C817" s="0" t="inlineStr">
        <is>
          <t>Chiral Structures</t>
        </is>
      </c>
      <c r="D817" s="0" t="n">
        <v>800</v>
      </c>
      <c r="E817" s="0">
        <f>VLOOKUP(C817,'Item Tier Lookup'!$A:$B,2,FALSE)</f>
        <v/>
      </c>
      <c r="F817" s="0">
        <f>VLOOKUP(E817,'Tier Params'!$A:$B,2,FALSE)</f>
        <v/>
      </c>
      <c r="G817" s="0">
        <f>VLOOKUP(E817,'Tier Params'!$A:$C,3,FALSE)</f>
        <v/>
      </c>
      <c r="H817" s="0">
        <f>CEILING(D817/G817,1)</f>
        <v/>
      </c>
      <c r="I817" s="0">
        <f>H817*F817</f>
        <v/>
      </c>
    </row>
    <row r="818">
      <c r="A818" s="0" t="inlineStr">
        <is>
          <t>'Reference sheet'!N820</t>
        </is>
      </c>
      <c r="B818" s="0" t="inlineStr">
        <is>
          <t>Structure Repair Facility</t>
        </is>
      </c>
      <c r="C818" s="0" t="inlineStr">
        <is>
          <t>Non-CS Crystals</t>
        </is>
      </c>
      <c r="D818" s="0" t="n">
        <v>120000</v>
      </c>
      <c r="E818" s="0">
        <f>VLOOKUP(C818,'Item Tier Lookup'!$A:$B,2,FALSE)</f>
        <v/>
      </c>
      <c r="F818" s="0">
        <f>VLOOKUP(E818,'Tier Params'!$A:$B,2,FALSE)</f>
        <v/>
      </c>
      <c r="G818" s="0">
        <f>VLOOKUP(E818,'Tier Params'!$A:$C,3,FALSE)</f>
        <v/>
      </c>
      <c r="H818" s="0">
        <f>CEILING(D818/G818,1)</f>
        <v/>
      </c>
      <c r="I818" s="0">
        <f>H818*F818</f>
        <v/>
      </c>
    </row>
    <row r="819">
      <c r="A819" s="0" t="inlineStr">
        <is>
          <t>'Reference sheet'!N821</t>
        </is>
      </c>
      <c r="B819" s="0" t="inlineStr">
        <is>
          <t>Structure Repair Facility</t>
        </is>
      </c>
      <c r="C819" s="0" t="inlineStr">
        <is>
          <t>Silicon</t>
        </is>
      </c>
      <c r="D819" s="0" t="n">
        <v>800</v>
      </c>
      <c r="E819" s="0">
        <f>VLOOKUP(C819,'Item Tier Lookup'!$A:$B,2,FALSE)</f>
        <v/>
      </c>
      <c r="F819" s="0">
        <f>VLOOKUP(E819,'Tier Params'!$A:$B,2,FALSE)</f>
        <v/>
      </c>
      <c r="G819" s="0">
        <f>VLOOKUP(E819,'Tier Params'!$A:$C,3,FALSE)</f>
        <v/>
      </c>
      <c r="H819" s="0">
        <f>CEILING(D819/G819,1)</f>
        <v/>
      </c>
      <c r="I819" s="0">
        <f>H819*F819</f>
        <v/>
      </c>
    </row>
    <row r="820">
      <c r="A820" s="0" t="inlineStr">
        <is>
          <t>'Reference sheet'!N822</t>
        </is>
      </c>
      <c r="B820" s="0" t="inlineStr">
        <is>
          <t>Structure Repair Facility</t>
        </is>
      </c>
      <c r="C820" s="0" t="inlineStr">
        <is>
          <t>Felsic Magma</t>
        </is>
      </c>
      <c r="D820" s="0" t="n">
        <v>120000</v>
      </c>
      <c r="E820" s="0">
        <f>VLOOKUP(C820,'Item Tier Lookup'!$A:$B,2,FALSE)</f>
        <v/>
      </c>
      <c r="F820" s="0">
        <f>VLOOKUP(E820,'Tier Params'!$A:$B,2,FALSE)</f>
        <v/>
      </c>
      <c r="G820" s="0">
        <f>VLOOKUP(E820,'Tier Params'!$A:$C,3,FALSE)</f>
        <v/>
      </c>
      <c r="H820" s="0">
        <f>CEILING(D820/G820,1)</f>
        <v/>
      </c>
      <c r="I820" s="0">
        <f>H820*F820</f>
        <v/>
      </c>
    </row>
    <row r="821">
      <c r="A821" s="0" t="inlineStr">
        <is>
          <t>'Reference sheet'!N823</t>
        </is>
      </c>
      <c r="B821" s="0" t="inlineStr">
        <is>
          <t>Structure Repair Facility</t>
        </is>
      </c>
      <c r="C821" s="0" t="inlineStr">
        <is>
          <t>Construction Blocks</t>
        </is>
      </c>
      <c r="D821" s="0" t="n">
        <v>100</v>
      </c>
      <c r="E821" s="0">
        <f>VLOOKUP(C821,'Item Tier Lookup'!$A:$B,2,FALSE)</f>
        <v/>
      </c>
      <c r="F821" s="0">
        <f>VLOOKUP(E821,'Tier Params'!$A:$B,2,FALSE)</f>
        <v/>
      </c>
      <c r="G821" s="0">
        <f>VLOOKUP(E821,'Tier Params'!$A:$C,3,FALSE)</f>
        <v/>
      </c>
      <c r="H821" s="0">
        <f>CEILING(D821/G821,1)</f>
        <v/>
      </c>
      <c r="I821" s="0">
        <f>H821*F821</f>
        <v/>
      </c>
    </row>
    <row r="822">
      <c r="A822" s="0" t="inlineStr">
        <is>
          <t>'Reference sheet'!N824</t>
        </is>
      </c>
      <c r="B822" s="0" t="inlineStr">
        <is>
          <t>Structure Repair Facility</t>
        </is>
      </c>
      <c r="C822" s="0" t="inlineStr">
        <is>
          <t>Toxic Metals</t>
        </is>
      </c>
      <c r="D822" s="0" t="n">
        <v>800</v>
      </c>
      <c r="E822" s="0">
        <f>VLOOKUP(C822,'Item Tier Lookup'!$A:$B,2,FALSE)</f>
        <v/>
      </c>
      <c r="F822" s="0">
        <f>VLOOKUP(E822,'Tier Params'!$A:$B,2,FALSE)</f>
        <v/>
      </c>
      <c r="G822" s="0">
        <f>VLOOKUP(E822,'Tier Params'!$A:$C,3,FALSE)</f>
        <v/>
      </c>
      <c r="H822" s="0">
        <f>CEILING(D822/G822,1)</f>
        <v/>
      </c>
      <c r="I822" s="0">
        <f>H822*F822</f>
        <v/>
      </c>
    </row>
    <row r="823">
      <c r="A823" s="0" t="inlineStr">
        <is>
          <t>'Reference sheet'!N825</t>
        </is>
      </c>
      <c r="B823" s="0" t="inlineStr">
        <is>
          <t>Structure Repair Facility</t>
        </is>
      </c>
      <c r="C823" s="0" t="inlineStr">
        <is>
          <t>Heavy Metals</t>
        </is>
      </c>
      <c r="D823" s="0" t="n">
        <v>120000</v>
      </c>
      <c r="E823" s="0">
        <f>VLOOKUP(C823,'Item Tier Lookup'!$A:$B,2,FALSE)</f>
        <v/>
      </c>
      <c r="F823" s="0">
        <f>VLOOKUP(E823,'Tier Params'!$A:$B,2,FALSE)</f>
        <v/>
      </c>
      <c r="G823" s="0">
        <f>VLOOKUP(E823,'Tier Params'!$A:$C,3,FALSE)</f>
        <v/>
      </c>
      <c r="H823" s="0">
        <f>CEILING(D823/G823,1)</f>
        <v/>
      </c>
      <c r="I823" s="0">
        <f>H823*F823</f>
        <v/>
      </c>
    </row>
    <row r="824">
      <c r="A824" s="0" t="inlineStr">
        <is>
          <t>'Reference sheet'!N826</t>
        </is>
      </c>
      <c r="B824" s="0" t="inlineStr">
        <is>
          <t>Structure Repair Facility</t>
        </is>
      </c>
      <c r="C824" s="0" t="inlineStr">
        <is>
          <t>Reactive Metals</t>
        </is>
      </c>
      <c r="D824" s="0" t="n">
        <v>800</v>
      </c>
      <c r="E824" s="0">
        <f>VLOOKUP(C824,'Item Tier Lookup'!$A:$B,2,FALSE)</f>
        <v/>
      </c>
      <c r="F824" s="0">
        <f>VLOOKUP(E824,'Tier Params'!$A:$B,2,FALSE)</f>
        <v/>
      </c>
      <c r="G824" s="0">
        <f>VLOOKUP(E824,'Tier Params'!$A:$C,3,FALSE)</f>
        <v/>
      </c>
      <c r="H824" s="0">
        <f>CEILING(D824/G824,1)</f>
        <v/>
      </c>
      <c r="I824" s="0">
        <f>H824*F824</f>
        <v/>
      </c>
    </row>
    <row r="825">
      <c r="A825" s="0" t="inlineStr">
        <is>
          <t>'Reference sheet'!N827</t>
        </is>
      </c>
      <c r="B825" s="0" t="inlineStr">
        <is>
          <t>Structure Repair Facility</t>
        </is>
      </c>
      <c r="C825" s="0" t="inlineStr">
        <is>
          <t>Base Metals</t>
        </is>
      </c>
      <c r="D825" s="0" t="n">
        <v>120000</v>
      </c>
      <c r="E825" s="0">
        <f>VLOOKUP(C825,'Item Tier Lookup'!$A:$B,2,FALSE)</f>
        <v/>
      </c>
      <c r="F825" s="0">
        <f>VLOOKUP(E825,'Tier Params'!$A:$B,2,FALSE)</f>
        <v/>
      </c>
      <c r="G825" s="0">
        <f>VLOOKUP(E825,'Tier Params'!$A:$C,3,FALSE)</f>
        <v/>
      </c>
      <c r="H825" s="0">
        <f>CEILING(D825/G825,1)</f>
        <v/>
      </c>
      <c r="I825" s="0">
        <f>H825*F825</f>
        <v/>
      </c>
    </row>
    <row r="826">
      <c r="A826" s="0" t="inlineStr">
        <is>
          <t>'Reference sheet'!N828</t>
        </is>
      </c>
      <c r="B826" s="0" t="inlineStr">
        <is>
          <t>Structure Docking Bay</t>
        </is>
      </c>
      <c r="C826" s="0" t="inlineStr">
        <is>
          <t>Structure Docking Bay</t>
        </is>
      </c>
      <c r="D826" s="0" t="n">
        <v>1</v>
      </c>
      <c r="E826" s="0">
        <f>VLOOKUP(C826,'Item Tier Lookup'!$A:$B,2,FALSE)</f>
        <v/>
      </c>
      <c r="F826" s="0">
        <f>VLOOKUP(E826,'Tier Params'!$A:$B,2,FALSE)</f>
        <v/>
      </c>
      <c r="G826" s="0">
        <f>VLOOKUP(E826,'Tier Params'!$A:$C,3,FALSE)</f>
        <v/>
      </c>
      <c r="H826" s="0">
        <f>CEILING(D826/G826,1)</f>
        <v/>
      </c>
      <c r="I826" s="0">
        <f>H826*F826</f>
        <v/>
      </c>
    </row>
    <row r="827">
      <c r="A827" s="0" t="inlineStr">
        <is>
          <t>'Reference sheet'!N829</t>
        </is>
      </c>
      <c r="B827" s="0" t="inlineStr">
        <is>
          <t>Structure Docking Bay</t>
        </is>
      </c>
      <c r="C827" s="0" t="inlineStr">
        <is>
          <t>Tritanium</t>
        </is>
      </c>
      <c r="D827" s="0" t="n">
        <v>450000</v>
      </c>
      <c r="E827" s="0">
        <f>VLOOKUP(C827,'Item Tier Lookup'!$A:$B,2,FALSE)</f>
        <v/>
      </c>
      <c r="F827" s="0">
        <f>VLOOKUP(E827,'Tier Params'!$A:$B,2,FALSE)</f>
        <v/>
      </c>
      <c r="G827" s="0">
        <f>VLOOKUP(E827,'Tier Params'!$A:$C,3,FALSE)</f>
        <v/>
      </c>
      <c r="H827" s="0">
        <f>CEILING(D827/G827,1)</f>
        <v/>
      </c>
      <c r="I827" s="0">
        <f>H827*F827</f>
        <v/>
      </c>
    </row>
    <row r="828">
      <c r="A828" s="0" t="inlineStr">
        <is>
          <t>'Reference sheet'!N830</t>
        </is>
      </c>
      <c r="B828" s="0" t="inlineStr">
        <is>
          <t>Structure Docking Bay</t>
        </is>
      </c>
      <c r="C828" s="0" t="inlineStr">
        <is>
          <t>Pyerite</t>
        </is>
      </c>
      <c r="D828" s="0" t="n">
        <v>90000</v>
      </c>
      <c r="E828" s="0">
        <f>VLOOKUP(C828,'Item Tier Lookup'!$A:$B,2,FALSE)</f>
        <v/>
      </c>
      <c r="F828" s="0">
        <f>VLOOKUP(E828,'Tier Params'!$A:$B,2,FALSE)</f>
        <v/>
      </c>
      <c r="G828" s="0">
        <f>VLOOKUP(E828,'Tier Params'!$A:$C,3,FALSE)</f>
        <v/>
      </c>
      <c r="H828" s="0">
        <f>CEILING(D828/G828,1)</f>
        <v/>
      </c>
      <c r="I828" s="0">
        <f>H828*F828</f>
        <v/>
      </c>
    </row>
    <row r="829">
      <c r="A829" s="0" t="inlineStr">
        <is>
          <t>'Reference sheet'!N831</t>
        </is>
      </c>
      <c r="B829" s="0" t="inlineStr">
        <is>
          <t>Structure Docking Bay</t>
        </is>
      </c>
      <c r="C829" s="0" t="inlineStr">
        <is>
          <t>Mexallon</t>
        </is>
      </c>
      <c r="D829" s="0" t="n">
        <v>31500</v>
      </c>
      <c r="E829" s="0">
        <f>VLOOKUP(C829,'Item Tier Lookup'!$A:$B,2,FALSE)</f>
        <v/>
      </c>
      <c r="F829" s="0">
        <f>VLOOKUP(E829,'Tier Params'!$A:$B,2,FALSE)</f>
        <v/>
      </c>
      <c r="G829" s="0">
        <f>VLOOKUP(E829,'Tier Params'!$A:$C,3,FALSE)</f>
        <v/>
      </c>
      <c r="H829" s="0">
        <f>CEILING(D829/G829,1)</f>
        <v/>
      </c>
      <c r="I829" s="0">
        <f>H829*F829</f>
        <v/>
      </c>
    </row>
    <row r="830">
      <c r="A830" s="0" t="inlineStr">
        <is>
          <t>'Reference sheet'!N832</t>
        </is>
      </c>
      <c r="B830" s="0" t="inlineStr">
        <is>
          <t>Structure Docking Bay</t>
        </is>
      </c>
      <c r="C830" s="0" t="inlineStr">
        <is>
          <t>Isogen</t>
        </is>
      </c>
      <c r="D830" s="0" t="n">
        <v>3600</v>
      </c>
      <c r="E830" s="0">
        <f>VLOOKUP(C830,'Item Tier Lookup'!$A:$B,2,FALSE)</f>
        <v/>
      </c>
      <c r="F830" s="0">
        <f>VLOOKUP(E830,'Tier Params'!$A:$B,2,FALSE)</f>
        <v/>
      </c>
      <c r="G830" s="0">
        <f>VLOOKUP(E830,'Tier Params'!$A:$C,3,FALSE)</f>
        <v/>
      </c>
      <c r="H830" s="0">
        <f>CEILING(D830/G830,1)</f>
        <v/>
      </c>
      <c r="I830" s="0">
        <f>H830*F830</f>
        <v/>
      </c>
    </row>
    <row r="831">
      <c r="A831" s="0" t="inlineStr">
        <is>
          <t>'Reference sheet'!N833</t>
        </is>
      </c>
      <c r="B831" s="0" t="inlineStr">
        <is>
          <t>Structure Docking Bay</t>
        </is>
      </c>
      <c r="C831" s="0" t="inlineStr">
        <is>
          <t>Nocxium</t>
        </is>
      </c>
      <c r="D831" s="0" t="n">
        <v>675</v>
      </c>
      <c r="E831" s="0">
        <f>VLOOKUP(C831,'Item Tier Lookup'!$A:$B,2,FALSE)</f>
        <v/>
      </c>
      <c r="F831" s="0">
        <f>VLOOKUP(E831,'Tier Params'!$A:$B,2,FALSE)</f>
        <v/>
      </c>
      <c r="G831" s="0">
        <f>VLOOKUP(E831,'Tier Params'!$A:$C,3,FALSE)</f>
        <v/>
      </c>
      <c r="H831" s="0">
        <f>CEILING(D831/G831,1)</f>
        <v/>
      </c>
      <c r="I831" s="0">
        <f>H831*F831</f>
        <v/>
      </c>
    </row>
    <row r="832">
      <c r="A832" s="0" t="inlineStr">
        <is>
          <t>'Reference sheet'!N834</t>
        </is>
      </c>
      <c r="B832" s="0" t="inlineStr">
        <is>
          <t>Structure Docking Bay</t>
        </is>
      </c>
      <c r="C832" s="0" t="inlineStr">
        <is>
          <t>Zydrine</t>
        </is>
      </c>
      <c r="D832" s="0" t="n">
        <v>315</v>
      </c>
      <c r="E832" s="0">
        <f>VLOOKUP(C832,'Item Tier Lookup'!$A:$B,2,FALSE)</f>
        <v/>
      </c>
      <c r="F832" s="0">
        <f>VLOOKUP(E832,'Tier Params'!$A:$B,2,FALSE)</f>
        <v/>
      </c>
      <c r="G832" s="0">
        <f>VLOOKUP(E832,'Tier Params'!$A:$C,3,FALSE)</f>
        <v/>
      </c>
      <c r="H832" s="0">
        <f>CEILING(D832/G832,1)</f>
        <v/>
      </c>
      <c r="I832" s="0">
        <f>H832*F832</f>
        <v/>
      </c>
    </row>
    <row r="833">
      <c r="A833" s="0" t="inlineStr">
        <is>
          <t>'Reference sheet'!N835</t>
        </is>
      </c>
      <c r="B833" s="0" t="inlineStr">
        <is>
          <t>Structure Docking Bay</t>
        </is>
      </c>
      <c r="C833" s="0" t="inlineStr">
        <is>
          <t>Megacyte</t>
        </is>
      </c>
      <c r="D833" s="0" t="n">
        <v>135</v>
      </c>
      <c r="E833" s="0">
        <f>VLOOKUP(C833,'Item Tier Lookup'!$A:$B,2,FALSE)</f>
        <v/>
      </c>
      <c r="F833" s="0">
        <f>VLOOKUP(E833,'Tier Params'!$A:$B,2,FALSE)</f>
        <v/>
      </c>
      <c r="G833" s="0">
        <f>VLOOKUP(E833,'Tier Params'!$A:$C,3,FALSE)</f>
        <v/>
      </c>
      <c r="H833" s="0">
        <f>CEILING(D833/G833,1)</f>
        <v/>
      </c>
      <c r="I833" s="0">
        <f>H833*F833</f>
        <v/>
      </c>
    </row>
    <row r="834">
      <c r="A834" s="0" t="inlineStr">
        <is>
          <t>'Reference sheet'!N836</t>
        </is>
      </c>
      <c r="B834" s="0" t="inlineStr">
        <is>
          <t>Structure Docking Bay</t>
        </is>
      </c>
      <c r="C834" s="0" t="inlineStr">
        <is>
          <t>Broadcast Node</t>
        </is>
      </c>
      <c r="D834" s="0" t="n">
        <v>3</v>
      </c>
      <c r="E834" s="0">
        <f>VLOOKUP(C834,'Item Tier Lookup'!$A:$B,2,FALSE)</f>
        <v/>
      </c>
      <c r="F834" s="0">
        <f>VLOOKUP(E834,'Tier Params'!$A:$B,2,FALSE)</f>
        <v/>
      </c>
      <c r="G834" s="0">
        <f>VLOOKUP(E834,'Tier Params'!$A:$C,3,FALSE)</f>
        <v/>
      </c>
      <c r="H834" s="0">
        <f>CEILING(D834/G834,1)</f>
        <v/>
      </c>
      <c r="I834" s="0">
        <f>H834*F834</f>
        <v/>
      </c>
    </row>
    <row r="835">
      <c r="A835" s="0" t="inlineStr">
        <is>
          <t>'Reference sheet'!N837</t>
        </is>
      </c>
      <c r="B835" s="0" t="inlineStr">
        <is>
          <t>Structure Docking Bay</t>
        </is>
      </c>
      <c r="C835" s="0" t="inlineStr">
        <is>
          <t>Data Chips</t>
        </is>
      </c>
      <c r="D835" s="0" t="n">
        <v>18</v>
      </c>
      <c r="E835" s="0">
        <f>VLOOKUP(C835,'Item Tier Lookup'!$A:$B,2,FALSE)</f>
        <v/>
      </c>
      <c r="F835" s="0">
        <f>VLOOKUP(E835,'Tier Params'!$A:$B,2,FALSE)</f>
        <v/>
      </c>
      <c r="G835" s="0">
        <f>VLOOKUP(E835,'Tier Params'!$A:$C,3,FALSE)</f>
        <v/>
      </c>
      <c r="H835" s="0">
        <f>CEILING(D835/G835,1)</f>
        <v/>
      </c>
      <c r="I835" s="0">
        <f>H835*F835</f>
        <v/>
      </c>
    </row>
    <row r="836">
      <c r="A836" s="0" t="inlineStr">
        <is>
          <t>'Reference sheet'!N838</t>
        </is>
      </c>
      <c r="B836" s="0" t="inlineStr">
        <is>
          <t>Structure Docking Bay</t>
        </is>
      </c>
      <c r="C836" s="0" t="inlineStr">
        <is>
          <t>Supertensile Plastics</t>
        </is>
      </c>
      <c r="D836" s="0" t="n">
        <v>60</v>
      </c>
      <c r="E836" s="0">
        <f>VLOOKUP(C836,'Item Tier Lookup'!$A:$B,2,FALSE)</f>
        <v/>
      </c>
      <c r="F836" s="0">
        <f>VLOOKUP(E836,'Tier Params'!$A:$B,2,FALSE)</f>
        <v/>
      </c>
      <c r="G836" s="0">
        <f>VLOOKUP(E836,'Tier Params'!$A:$C,3,FALSE)</f>
        <v/>
      </c>
      <c r="H836" s="0">
        <f>CEILING(D836/G836,1)</f>
        <v/>
      </c>
      <c r="I836" s="0">
        <f>H836*F836</f>
        <v/>
      </c>
    </row>
    <row r="837">
      <c r="A837" s="0" t="inlineStr">
        <is>
          <t>'Reference sheet'!N839</t>
        </is>
      </c>
      <c r="B837" s="0" t="inlineStr">
        <is>
          <t>Structure Docking Bay</t>
        </is>
      </c>
      <c r="C837" s="0" t="inlineStr">
        <is>
          <t>Oxygen</t>
        </is>
      </c>
      <c r="D837" s="0" t="n">
        <v>480</v>
      </c>
      <c r="E837" s="0">
        <f>VLOOKUP(C837,'Item Tier Lookup'!$A:$B,2,FALSE)</f>
        <v/>
      </c>
      <c r="F837" s="0">
        <f>VLOOKUP(E837,'Tier Params'!$A:$B,2,FALSE)</f>
        <v/>
      </c>
      <c r="G837" s="0">
        <f>VLOOKUP(E837,'Tier Params'!$A:$C,3,FALSE)</f>
        <v/>
      </c>
      <c r="H837" s="0">
        <f>CEILING(D837/G837,1)</f>
        <v/>
      </c>
      <c r="I837" s="0">
        <f>H837*F837</f>
        <v/>
      </c>
    </row>
    <row r="838">
      <c r="A838" s="0" t="inlineStr">
        <is>
          <t>'Reference sheet'!N840</t>
        </is>
      </c>
      <c r="B838" s="0" t="inlineStr">
        <is>
          <t>Structure Docking Bay</t>
        </is>
      </c>
      <c r="C838" s="0" t="inlineStr">
        <is>
          <t>Noble Gas</t>
        </is>
      </c>
      <c r="D838" s="0" t="n">
        <v>72000</v>
      </c>
      <c r="E838" s="0">
        <f>VLOOKUP(C838,'Item Tier Lookup'!$A:$B,2,FALSE)</f>
        <v/>
      </c>
      <c r="F838" s="0">
        <f>VLOOKUP(E838,'Tier Params'!$A:$B,2,FALSE)</f>
        <v/>
      </c>
      <c r="G838" s="0">
        <f>VLOOKUP(E838,'Tier Params'!$A:$C,3,FALSE)</f>
        <v/>
      </c>
      <c r="H838" s="0">
        <f>CEILING(D838/G838,1)</f>
        <v/>
      </c>
      <c r="I838" s="0">
        <f>H838*F838</f>
        <v/>
      </c>
    </row>
    <row r="839">
      <c r="A839" s="0" t="inlineStr">
        <is>
          <t>'Reference sheet'!N841</t>
        </is>
      </c>
      <c r="B839" s="0" t="inlineStr">
        <is>
          <t>Structure Docking Bay</t>
        </is>
      </c>
      <c r="C839" s="0" t="inlineStr">
        <is>
          <t>Biomass</t>
        </is>
      </c>
      <c r="D839" s="0" t="n">
        <v>480</v>
      </c>
      <c r="E839" s="0">
        <f>VLOOKUP(C839,'Item Tier Lookup'!$A:$B,2,FALSE)</f>
        <v/>
      </c>
      <c r="F839" s="0">
        <f>VLOOKUP(E839,'Tier Params'!$A:$B,2,FALSE)</f>
        <v/>
      </c>
      <c r="G839" s="0">
        <f>VLOOKUP(E839,'Tier Params'!$A:$C,3,FALSE)</f>
        <v/>
      </c>
      <c r="H839" s="0">
        <f>CEILING(D839/G839,1)</f>
        <v/>
      </c>
      <c r="I839" s="0">
        <f>H839*F839</f>
        <v/>
      </c>
    </row>
    <row r="840">
      <c r="A840" s="0" t="inlineStr">
        <is>
          <t>'Reference sheet'!N842</t>
        </is>
      </c>
      <c r="B840" s="0" t="inlineStr">
        <is>
          <t>Structure Docking Bay</t>
        </is>
      </c>
      <c r="C840" s="0" t="inlineStr">
        <is>
          <t>Planktic Colonies</t>
        </is>
      </c>
      <c r="D840" s="0" t="n">
        <v>72000</v>
      </c>
      <c r="E840" s="0">
        <f>VLOOKUP(C840,'Item Tier Lookup'!$A:$B,2,FALSE)</f>
        <v/>
      </c>
      <c r="F840" s="0">
        <f>VLOOKUP(E840,'Tier Params'!$A:$B,2,FALSE)</f>
        <v/>
      </c>
      <c r="G840" s="0">
        <f>VLOOKUP(E840,'Tier Params'!$A:$C,3,FALSE)</f>
        <v/>
      </c>
      <c r="H840" s="0">
        <f>CEILING(D840/G840,1)</f>
        <v/>
      </c>
      <c r="I840" s="0">
        <f>H840*F840</f>
        <v/>
      </c>
    </row>
    <row r="841">
      <c r="A841" s="0" t="inlineStr">
        <is>
          <t>'Reference sheet'!N843</t>
        </is>
      </c>
      <c r="B841" s="0" t="inlineStr">
        <is>
          <t>Structure Docking Bay</t>
        </is>
      </c>
      <c r="C841" s="0" t="inlineStr">
        <is>
          <t>Microfiber Shielding</t>
        </is>
      </c>
      <c r="D841" s="0" t="n">
        <v>60</v>
      </c>
      <c r="E841" s="0">
        <f>VLOOKUP(C841,'Item Tier Lookup'!$A:$B,2,FALSE)</f>
        <v/>
      </c>
      <c r="F841" s="0">
        <f>VLOOKUP(E841,'Tier Params'!$A:$B,2,FALSE)</f>
        <v/>
      </c>
      <c r="G841" s="0">
        <f>VLOOKUP(E841,'Tier Params'!$A:$C,3,FALSE)</f>
        <v/>
      </c>
      <c r="H841" s="0">
        <f>CEILING(D841/G841,1)</f>
        <v/>
      </c>
      <c r="I841" s="0">
        <f>H841*F841</f>
        <v/>
      </c>
    </row>
    <row r="842">
      <c r="A842" s="0" t="inlineStr">
        <is>
          <t>'Reference sheet'!N844</t>
        </is>
      </c>
      <c r="B842" s="0" t="inlineStr">
        <is>
          <t>Structure Docking Bay</t>
        </is>
      </c>
      <c r="C842" s="0" t="inlineStr">
        <is>
          <t>Silicon</t>
        </is>
      </c>
      <c r="D842" s="0" t="n">
        <v>480</v>
      </c>
      <c r="E842" s="0">
        <f>VLOOKUP(C842,'Item Tier Lookup'!$A:$B,2,FALSE)</f>
        <v/>
      </c>
      <c r="F842" s="0">
        <f>VLOOKUP(E842,'Tier Params'!$A:$B,2,FALSE)</f>
        <v/>
      </c>
      <c r="G842" s="0">
        <f>VLOOKUP(E842,'Tier Params'!$A:$C,3,FALSE)</f>
        <v/>
      </c>
      <c r="H842" s="0">
        <f>CEILING(D842/G842,1)</f>
        <v/>
      </c>
      <c r="I842" s="0">
        <f>H842*F842</f>
        <v/>
      </c>
    </row>
    <row r="843">
      <c r="A843" s="0" t="inlineStr">
        <is>
          <t>'Reference sheet'!N845</t>
        </is>
      </c>
      <c r="B843" s="0" t="inlineStr">
        <is>
          <t>Structure Docking Bay</t>
        </is>
      </c>
      <c r="C843" s="0" t="inlineStr">
        <is>
          <t>Felsic Magma</t>
        </is>
      </c>
      <c r="D843" s="0" t="n">
        <v>72000</v>
      </c>
      <c r="E843" s="0">
        <f>VLOOKUP(C843,'Item Tier Lookup'!$A:$B,2,FALSE)</f>
        <v/>
      </c>
      <c r="F843" s="0">
        <f>VLOOKUP(E843,'Tier Params'!$A:$B,2,FALSE)</f>
        <v/>
      </c>
      <c r="G843" s="0">
        <f>VLOOKUP(E843,'Tier Params'!$A:$C,3,FALSE)</f>
        <v/>
      </c>
      <c r="H843" s="0">
        <f>CEILING(D843/G843,1)</f>
        <v/>
      </c>
      <c r="I843" s="0">
        <f>H843*F843</f>
        <v/>
      </c>
    </row>
    <row r="844">
      <c r="A844" s="0" t="inlineStr">
        <is>
          <t>'Reference sheet'!N846</t>
        </is>
      </c>
      <c r="B844" s="0" t="inlineStr">
        <is>
          <t>Structure Docking Bay</t>
        </is>
      </c>
      <c r="C844" s="0" t="inlineStr">
        <is>
          <t>Industrial Fibers</t>
        </is>
      </c>
      <c r="D844" s="0" t="n">
        <v>480</v>
      </c>
      <c r="E844" s="0">
        <f>VLOOKUP(C844,'Item Tier Lookup'!$A:$B,2,FALSE)</f>
        <v/>
      </c>
      <c r="F844" s="0">
        <f>VLOOKUP(E844,'Tier Params'!$A:$B,2,FALSE)</f>
        <v/>
      </c>
      <c r="G844" s="0">
        <f>VLOOKUP(E844,'Tier Params'!$A:$C,3,FALSE)</f>
        <v/>
      </c>
      <c r="H844" s="0">
        <f>CEILING(D844/G844,1)</f>
        <v/>
      </c>
      <c r="I844" s="0">
        <f>H844*F844</f>
        <v/>
      </c>
    </row>
    <row r="845">
      <c r="A845" s="0" t="inlineStr">
        <is>
          <t>'Reference sheet'!N847</t>
        </is>
      </c>
      <c r="B845" s="0" t="inlineStr">
        <is>
          <t>Structure Docking Bay</t>
        </is>
      </c>
      <c r="C845" s="0" t="inlineStr">
        <is>
          <t>Autotrophs</t>
        </is>
      </c>
      <c r="D845" s="0" t="n">
        <v>72000</v>
      </c>
      <c r="E845" s="0">
        <f>VLOOKUP(C845,'Item Tier Lookup'!$A:$B,2,FALSE)</f>
        <v/>
      </c>
      <c r="F845" s="0">
        <f>VLOOKUP(E845,'Tier Params'!$A:$B,2,FALSE)</f>
        <v/>
      </c>
      <c r="G845" s="0">
        <f>VLOOKUP(E845,'Tier Params'!$A:$C,3,FALSE)</f>
        <v/>
      </c>
      <c r="H845" s="0">
        <f>CEILING(D845/G845,1)</f>
        <v/>
      </c>
      <c r="I845" s="0">
        <f>H845*F845</f>
        <v/>
      </c>
    </row>
    <row r="846">
      <c r="A846" s="0" t="inlineStr">
        <is>
          <t>'Reference sheet'!N848</t>
        </is>
      </c>
      <c r="B846" s="0" t="inlineStr">
        <is>
          <t>Structure Docking Bay</t>
        </is>
      </c>
      <c r="C846" s="0" t="inlineStr">
        <is>
          <t>Neocoms</t>
        </is>
      </c>
      <c r="D846" s="0" t="n">
        <v>18</v>
      </c>
      <c r="E846" s="0">
        <f>VLOOKUP(C846,'Item Tier Lookup'!$A:$B,2,FALSE)</f>
        <v/>
      </c>
      <c r="F846" s="0">
        <f>VLOOKUP(E846,'Tier Params'!$A:$B,2,FALSE)</f>
        <v/>
      </c>
      <c r="G846" s="0">
        <f>VLOOKUP(E846,'Tier Params'!$A:$C,3,FALSE)</f>
        <v/>
      </c>
      <c r="H846" s="0">
        <f>CEILING(D846/G846,1)</f>
        <v/>
      </c>
      <c r="I846" s="0">
        <f>H846*F846</f>
        <v/>
      </c>
    </row>
    <row r="847">
      <c r="A847" s="0" t="inlineStr">
        <is>
          <t>'Reference sheet'!N849</t>
        </is>
      </c>
      <c r="B847" s="0" t="inlineStr">
        <is>
          <t>Structure Docking Bay</t>
        </is>
      </c>
      <c r="C847" s="0" t="inlineStr">
        <is>
          <t>Biocells</t>
        </is>
      </c>
      <c r="D847" s="0" t="n">
        <v>60</v>
      </c>
      <c r="E847" s="0">
        <f>VLOOKUP(C847,'Item Tier Lookup'!$A:$B,2,FALSE)</f>
        <v/>
      </c>
      <c r="F847" s="0">
        <f>VLOOKUP(E847,'Tier Params'!$A:$B,2,FALSE)</f>
        <v/>
      </c>
      <c r="G847" s="0">
        <f>VLOOKUP(E847,'Tier Params'!$A:$C,3,FALSE)</f>
        <v/>
      </c>
      <c r="H847" s="0">
        <f>CEILING(D847/G847,1)</f>
        <v/>
      </c>
      <c r="I847" s="0">
        <f>H847*F847</f>
        <v/>
      </c>
    </row>
    <row r="848">
      <c r="A848" s="0" t="inlineStr">
        <is>
          <t>'Reference sheet'!N850</t>
        </is>
      </c>
      <c r="B848" s="0" t="inlineStr">
        <is>
          <t>Structure Docking Bay</t>
        </is>
      </c>
      <c r="C848" s="0" t="inlineStr">
        <is>
          <t>Biofuels</t>
        </is>
      </c>
      <c r="D848" s="0" t="n">
        <v>480</v>
      </c>
      <c r="E848" s="0">
        <f>VLOOKUP(C848,'Item Tier Lookup'!$A:$B,2,FALSE)</f>
        <v/>
      </c>
      <c r="F848" s="0">
        <f>VLOOKUP(E848,'Tier Params'!$A:$B,2,FALSE)</f>
        <v/>
      </c>
      <c r="G848" s="0">
        <f>VLOOKUP(E848,'Tier Params'!$A:$C,3,FALSE)</f>
        <v/>
      </c>
      <c r="H848" s="0">
        <f>CEILING(D848/G848,1)</f>
        <v/>
      </c>
      <c r="I848" s="0">
        <f>H848*F848</f>
        <v/>
      </c>
    </row>
    <row r="849">
      <c r="A849" s="0" t="inlineStr">
        <is>
          <t>'Reference sheet'!N851</t>
        </is>
      </c>
      <c r="B849" s="0" t="inlineStr">
        <is>
          <t>Structure Docking Bay</t>
        </is>
      </c>
      <c r="C849" s="0" t="inlineStr">
        <is>
          <t>Carbon Compounds</t>
        </is>
      </c>
      <c r="D849" s="0" t="n">
        <v>72000</v>
      </c>
      <c r="E849" s="0">
        <f>VLOOKUP(C849,'Item Tier Lookup'!$A:$B,2,FALSE)</f>
        <v/>
      </c>
      <c r="F849" s="0">
        <f>VLOOKUP(E849,'Tier Params'!$A:$B,2,FALSE)</f>
        <v/>
      </c>
      <c r="G849" s="0">
        <f>VLOOKUP(E849,'Tier Params'!$A:$C,3,FALSE)</f>
        <v/>
      </c>
      <c r="H849" s="0">
        <f>CEILING(D849/G849,1)</f>
        <v/>
      </c>
      <c r="I849" s="0">
        <f>H849*F849</f>
        <v/>
      </c>
    </row>
    <row r="850">
      <c r="A850" s="0" t="inlineStr">
        <is>
          <t>'Reference sheet'!N852</t>
        </is>
      </c>
      <c r="B850" s="0" t="inlineStr">
        <is>
          <t>Structure Docking Bay</t>
        </is>
      </c>
      <c r="C850" s="0" t="inlineStr">
        <is>
          <t>Precious Metals</t>
        </is>
      </c>
      <c r="D850" s="0" t="n">
        <v>480</v>
      </c>
      <c r="E850" s="0">
        <f>VLOOKUP(C850,'Item Tier Lookup'!$A:$B,2,FALSE)</f>
        <v/>
      </c>
      <c r="F850" s="0">
        <f>VLOOKUP(E850,'Tier Params'!$A:$B,2,FALSE)</f>
        <v/>
      </c>
      <c r="G850" s="0">
        <f>VLOOKUP(E850,'Tier Params'!$A:$C,3,FALSE)</f>
        <v/>
      </c>
      <c r="H850" s="0">
        <f>CEILING(D850/G850,1)</f>
        <v/>
      </c>
      <c r="I850" s="0">
        <f>H850*F850</f>
        <v/>
      </c>
    </row>
    <row r="851">
      <c r="A851" s="0" t="inlineStr">
        <is>
          <t>'Reference sheet'!N853</t>
        </is>
      </c>
      <c r="B851" s="0" t="inlineStr">
        <is>
          <t>Structure Docking Bay</t>
        </is>
      </c>
      <c r="C851" s="0" t="inlineStr">
        <is>
          <t>Noble Metals</t>
        </is>
      </c>
      <c r="D851" s="0" t="n">
        <v>72000</v>
      </c>
      <c r="E851" s="0">
        <f>VLOOKUP(C851,'Item Tier Lookup'!$A:$B,2,FALSE)</f>
        <v/>
      </c>
      <c r="F851" s="0">
        <f>VLOOKUP(E851,'Tier Params'!$A:$B,2,FALSE)</f>
        <v/>
      </c>
      <c r="G851" s="0">
        <f>VLOOKUP(E851,'Tier Params'!$A:$C,3,FALSE)</f>
        <v/>
      </c>
      <c r="H851" s="0">
        <f>CEILING(D851/G851,1)</f>
        <v/>
      </c>
      <c r="I851" s="0">
        <f>H851*F851</f>
        <v/>
      </c>
    </row>
    <row r="852">
      <c r="A852" s="0" t="inlineStr">
        <is>
          <t>'Reference sheet'!N854</t>
        </is>
      </c>
      <c r="B852" s="0" t="inlineStr">
        <is>
          <t>Structure Docking Bay</t>
        </is>
      </c>
      <c r="C852" s="0" t="inlineStr">
        <is>
          <t>Silicate Glass</t>
        </is>
      </c>
      <c r="D852" s="0" t="n">
        <v>60</v>
      </c>
      <c r="E852" s="0">
        <f>VLOOKUP(C852,'Item Tier Lookup'!$A:$B,2,FALSE)</f>
        <v/>
      </c>
      <c r="F852" s="0">
        <f>VLOOKUP(E852,'Tier Params'!$A:$B,2,FALSE)</f>
        <v/>
      </c>
      <c r="G852" s="0">
        <f>VLOOKUP(E852,'Tier Params'!$A:$C,3,FALSE)</f>
        <v/>
      </c>
      <c r="H852" s="0">
        <f>CEILING(D852/G852,1)</f>
        <v/>
      </c>
      <c r="I852" s="0">
        <f>H852*F852</f>
        <v/>
      </c>
    </row>
    <row r="853">
      <c r="A853" s="0" t="inlineStr">
        <is>
          <t>'Reference sheet'!N855</t>
        </is>
      </c>
      <c r="B853" s="0" t="inlineStr">
        <is>
          <t>Structure Docking Bay</t>
        </is>
      </c>
      <c r="C853" s="0" t="inlineStr">
        <is>
          <t>Oxidizing Compound</t>
        </is>
      </c>
      <c r="D853" s="0" t="n">
        <v>480</v>
      </c>
      <c r="E853" s="0">
        <f>VLOOKUP(C853,'Item Tier Lookup'!$A:$B,2,FALSE)</f>
        <v/>
      </c>
      <c r="F853" s="0">
        <f>VLOOKUP(E853,'Tier Params'!$A:$B,2,FALSE)</f>
        <v/>
      </c>
      <c r="G853" s="0">
        <f>VLOOKUP(E853,'Tier Params'!$A:$C,3,FALSE)</f>
        <v/>
      </c>
      <c r="H853" s="0">
        <f>CEILING(D853/G853,1)</f>
        <v/>
      </c>
      <c r="I853" s="0">
        <f>H853*F853</f>
        <v/>
      </c>
    </row>
    <row r="854">
      <c r="A854" s="0" t="inlineStr">
        <is>
          <t>'Reference sheet'!N856</t>
        </is>
      </c>
      <c r="B854" s="0" t="inlineStr">
        <is>
          <t>Structure Docking Bay</t>
        </is>
      </c>
      <c r="C854" s="0" t="inlineStr">
        <is>
          <t>Reactive Gas</t>
        </is>
      </c>
      <c r="D854" s="0" t="n">
        <v>72000</v>
      </c>
      <c r="E854" s="0">
        <f>VLOOKUP(C854,'Item Tier Lookup'!$A:$B,2,FALSE)</f>
        <v/>
      </c>
      <c r="F854" s="0">
        <f>VLOOKUP(E854,'Tier Params'!$A:$B,2,FALSE)</f>
        <v/>
      </c>
      <c r="G854" s="0">
        <f>VLOOKUP(E854,'Tier Params'!$A:$C,3,FALSE)</f>
        <v/>
      </c>
      <c r="H854" s="0">
        <f>CEILING(D854/G854,1)</f>
        <v/>
      </c>
      <c r="I854" s="0">
        <f>H854*F854</f>
        <v/>
      </c>
    </row>
    <row r="855">
      <c r="A855" s="0" t="inlineStr">
        <is>
          <t>'Reference sheet'!N857</t>
        </is>
      </c>
      <c r="B855" s="0" t="inlineStr">
        <is>
          <t>Structure Docking Bay</t>
        </is>
      </c>
      <c r="C855" s="0" t="inlineStr">
        <is>
          <t>Silicon</t>
        </is>
      </c>
      <c r="D855" s="0" t="n">
        <v>480</v>
      </c>
      <c r="E855" s="0">
        <f>VLOOKUP(C855,'Item Tier Lookup'!$A:$B,2,FALSE)</f>
        <v/>
      </c>
      <c r="F855" s="0">
        <f>VLOOKUP(E855,'Tier Params'!$A:$B,2,FALSE)</f>
        <v/>
      </c>
      <c r="G855" s="0">
        <f>VLOOKUP(E855,'Tier Params'!$A:$C,3,FALSE)</f>
        <v/>
      </c>
      <c r="H855" s="0">
        <f>CEILING(D855/G855,1)</f>
        <v/>
      </c>
      <c r="I855" s="0">
        <f>H855*F855</f>
        <v/>
      </c>
    </row>
    <row r="856">
      <c r="A856" s="0" t="inlineStr">
        <is>
          <t>'Reference sheet'!N858</t>
        </is>
      </c>
      <c r="B856" s="0" t="inlineStr">
        <is>
          <t>Structure Docking Bay</t>
        </is>
      </c>
      <c r="C856" s="0" t="inlineStr">
        <is>
          <t>Felsic Magma</t>
        </is>
      </c>
      <c r="D856" s="0" t="n">
        <v>72000</v>
      </c>
      <c r="E856" s="0">
        <f>VLOOKUP(C856,'Item Tier Lookup'!$A:$B,2,FALSE)</f>
        <v/>
      </c>
      <c r="F856" s="0">
        <f>VLOOKUP(E856,'Tier Params'!$A:$B,2,FALSE)</f>
        <v/>
      </c>
      <c r="G856" s="0">
        <f>VLOOKUP(E856,'Tier Params'!$A:$C,3,FALSE)</f>
        <v/>
      </c>
      <c r="H856" s="0">
        <f>CEILING(D856/G856,1)</f>
        <v/>
      </c>
      <c r="I856" s="0">
        <f>H856*F856</f>
        <v/>
      </c>
    </row>
    <row r="857">
      <c r="A857" s="0" t="inlineStr">
        <is>
          <t>'Reference sheet'!N859</t>
        </is>
      </c>
      <c r="B857" s="0" t="inlineStr">
        <is>
          <t>Structure Docking Bay</t>
        </is>
      </c>
      <c r="C857" s="0" t="inlineStr">
        <is>
          <t>High-Tech Transmitters</t>
        </is>
      </c>
      <c r="D857" s="0" t="n">
        <v>18</v>
      </c>
      <c r="E857" s="0">
        <f>VLOOKUP(C857,'Item Tier Lookup'!$A:$B,2,FALSE)</f>
        <v/>
      </c>
      <c r="F857" s="0">
        <f>VLOOKUP(E857,'Tier Params'!$A:$B,2,FALSE)</f>
        <v/>
      </c>
      <c r="G857" s="0">
        <f>VLOOKUP(E857,'Tier Params'!$A:$C,3,FALSE)</f>
        <v/>
      </c>
      <c r="H857" s="0">
        <f>CEILING(D857/G857,1)</f>
        <v/>
      </c>
      <c r="I857" s="0">
        <f>H857*F857</f>
        <v/>
      </c>
    </row>
    <row r="858">
      <c r="A858" s="0" t="inlineStr">
        <is>
          <t>'Reference sheet'!N860</t>
        </is>
      </c>
      <c r="B858" s="0" t="inlineStr">
        <is>
          <t>Structure Docking Bay</t>
        </is>
      </c>
      <c r="C858" s="0" t="inlineStr">
        <is>
          <t>Transmitter</t>
        </is>
      </c>
      <c r="D858" s="0" t="n">
        <v>60</v>
      </c>
      <c r="E858" s="0">
        <f>VLOOKUP(C858,'Item Tier Lookup'!$A:$B,2,FALSE)</f>
        <v/>
      </c>
      <c r="F858" s="0">
        <f>VLOOKUP(E858,'Tier Params'!$A:$B,2,FALSE)</f>
        <v/>
      </c>
      <c r="G858" s="0">
        <f>VLOOKUP(E858,'Tier Params'!$A:$C,3,FALSE)</f>
        <v/>
      </c>
      <c r="H858" s="0">
        <f>CEILING(D858/G858,1)</f>
        <v/>
      </c>
      <c r="I858" s="0">
        <f>H858*F858</f>
        <v/>
      </c>
    </row>
    <row r="859">
      <c r="A859" s="0" t="inlineStr">
        <is>
          <t>'Reference sheet'!N861</t>
        </is>
      </c>
      <c r="B859" s="0" t="inlineStr">
        <is>
          <t>Structure Docking Bay</t>
        </is>
      </c>
      <c r="C859" s="0" t="inlineStr">
        <is>
          <t>Chiral Structures</t>
        </is>
      </c>
      <c r="D859" s="0" t="n">
        <v>480</v>
      </c>
      <c r="E859" s="0">
        <f>VLOOKUP(C859,'Item Tier Lookup'!$A:$B,2,FALSE)</f>
        <v/>
      </c>
      <c r="F859" s="0">
        <f>VLOOKUP(E859,'Tier Params'!$A:$B,2,FALSE)</f>
        <v/>
      </c>
      <c r="G859" s="0">
        <f>VLOOKUP(E859,'Tier Params'!$A:$C,3,FALSE)</f>
        <v/>
      </c>
      <c r="H859" s="0">
        <f>CEILING(D859/G859,1)</f>
        <v/>
      </c>
      <c r="I859" s="0">
        <f>H859*F859</f>
        <v/>
      </c>
    </row>
    <row r="860">
      <c r="A860" s="0" t="inlineStr">
        <is>
          <t>'Reference sheet'!N862</t>
        </is>
      </c>
      <c r="B860" s="0" t="inlineStr">
        <is>
          <t>Structure Docking Bay</t>
        </is>
      </c>
      <c r="C860" s="0" t="inlineStr">
        <is>
          <t>Non-CS Crystals</t>
        </is>
      </c>
      <c r="D860" s="0" t="n">
        <v>72000</v>
      </c>
      <c r="E860" s="0">
        <f>VLOOKUP(C860,'Item Tier Lookup'!$A:$B,2,FALSE)</f>
        <v/>
      </c>
      <c r="F860" s="0">
        <f>VLOOKUP(E860,'Tier Params'!$A:$B,2,FALSE)</f>
        <v/>
      </c>
      <c r="G860" s="0">
        <f>VLOOKUP(E860,'Tier Params'!$A:$C,3,FALSE)</f>
        <v/>
      </c>
      <c r="H860" s="0">
        <f>CEILING(D860/G860,1)</f>
        <v/>
      </c>
      <c r="I860" s="0">
        <f>H860*F860</f>
        <v/>
      </c>
    </row>
    <row r="861">
      <c r="A861" s="0" t="inlineStr">
        <is>
          <t>'Reference sheet'!N863</t>
        </is>
      </c>
      <c r="B861" s="0" t="inlineStr">
        <is>
          <t>Structure Docking Bay</t>
        </is>
      </c>
      <c r="C861" s="0" t="inlineStr">
        <is>
          <t>Plasmoids</t>
        </is>
      </c>
      <c r="D861" s="0" t="n">
        <v>480</v>
      </c>
      <c r="E861" s="0">
        <f>VLOOKUP(C861,'Item Tier Lookup'!$A:$B,2,FALSE)</f>
        <v/>
      </c>
      <c r="F861" s="0">
        <f>VLOOKUP(E861,'Tier Params'!$A:$B,2,FALSE)</f>
        <v/>
      </c>
      <c r="G861" s="0">
        <f>VLOOKUP(E861,'Tier Params'!$A:$C,3,FALSE)</f>
        <v/>
      </c>
      <c r="H861" s="0">
        <f>CEILING(D861/G861,1)</f>
        <v/>
      </c>
      <c r="I861" s="0">
        <f>H861*F861</f>
        <v/>
      </c>
    </row>
    <row r="862">
      <c r="A862" s="0" t="inlineStr">
        <is>
          <t>'Reference sheet'!N864</t>
        </is>
      </c>
      <c r="B862" s="0" t="inlineStr">
        <is>
          <t>Structure Docking Bay</t>
        </is>
      </c>
      <c r="C862" s="0" t="inlineStr">
        <is>
          <t>Suspended Plasma</t>
        </is>
      </c>
      <c r="D862" s="0" t="n">
        <v>72000</v>
      </c>
      <c r="E862" s="0">
        <f>VLOOKUP(C862,'Item Tier Lookup'!$A:$B,2,FALSE)</f>
        <v/>
      </c>
      <c r="F862" s="0">
        <f>VLOOKUP(E862,'Tier Params'!$A:$B,2,FALSE)</f>
        <v/>
      </c>
      <c r="G862" s="0">
        <f>VLOOKUP(E862,'Tier Params'!$A:$C,3,FALSE)</f>
        <v/>
      </c>
      <c r="H862" s="0">
        <f>CEILING(D862/G862,1)</f>
        <v/>
      </c>
      <c r="I862" s="0">
        <f>H862*F862</f>
        <v/>
      </c>
    </row>
    <row r="863">
      <c r="A863" s="0" t="inlineStr">
        <is>
          <t>'Reference sheet'!N865</t>
        </is>
      </c>
      <c r="B863" s="0" t="inlineStr">
        <is>
          <t>Structure Docking Bay</t>
        </is>
      </c>
      <c r="C863" s="0" t="inlineStr">
        <is>
          <t>Polyaramids</t>
        </is>
      </c>
      <c r="D863" s="0" t="n">
        <v>60</v>
      </c>
      <c r="E863" s="0">
        <f>VLOOKUP(C863,'Item Tier Lookup'!$A:$B,2,FALSE)</f>
        <v/>
      </c>
      <c r="F863" s="0">
        <f>VLOOKUP(E863,'Tier Params'!$A:$B,2,FALSE)</f>
        <v/>
      </c>
      <c r="G863" s="0">
        <f>VLOOKUP(E863,'Tier Params'!$A:$C,3,FALSE)</f>
        <v/>
      </c>
      <c r="H863" s="0">
        <f>CEILING(D863/G863,1)</f>
        <v/>
      </c>
      <c r="I863" s="0">
        <f>H863*F863</f>
        <v/>
      </c>
    </row>
    <row r="864">
      <c r="A864" s="0" t="inlineStr">
        <is>
          <t>'Reference sheet'!N866</t>
        </is>
      </c>
      <c r="B864" s="0" t="inlineStr">
        <is>
          <t>Structure Docking Bay</t>
        </is>
      </c>
      <c r="C864" s="0" t="inlineStr">
        <is>
          <t>Oxidizing Compound</t>
        </is>
      </c>
      <c r="D864" s="0" t="n">
        <v>480</v>
      </c>
      <c r="E864" s="0">
        <f>VLOOKUP(C864,'Item Tier Lookup'!$A:$B,2,FALSE)</f>
        <v/>
      </c>
      <c r="F864" s="0">
        <f>VLOOKUP(E864,'Tier Params'!$A:$B,2,FALSE)</f>
        <v/>
      </c>
      <c r="G864" s="0">
        <f>VLOOKUP(E864,'Tier Params'!$A:$C,3,FALSE)</f>
        <v/>
      </c>
      <c r="H864" s="0">
        <f>CEILING(D864/G864,1)</f>
        <v/>
      </c>
      <c r="I864" s="0">
        <f>H864*F864</f>
        <v/>
      </c>
    </row>
    <row r="865">
      <c r="A865" s="0" t="inlineStr">
        <is>
          <t>'Reference sheet'!N867</t>
        </is>
      </c>
      <c r="B865" s="0" t="inlineStr">
        <is>
          <t>Structure Docking Bay</t>
        </is>
      </c>
      <c r="C865" s="0" t="inlineStr">
        <is>
          <t>Reactive Gas</t>
        </is>
      </c>
      <c r="D865" s="0" t="n">
        <v>72000</v>
      </c>
      <c r="E865" s="0">
        <f>VLOOKUP(C865,'Item Tier Lookup'!$A:$B,2,FALSE)</f>
        <v/>
      </c>
      <c r="F865" s="0">
        <f>VLOOKUP(E865,'Tier Params'!$A:$B,2,FALSE)</f>
        <v/>
      </c>
      <c r="G865" s="0">
        <f>VLOOKUP(E865,'Tier Params'!$A:$C,3,FALSE)</f>
        <v/>
      </c>
      <c r="H865" s="0">
        <f>CEILING(D865/G865,1)</f>
        <v/>
      </c>
      <c r="I865" s="0">
        <f>H865*F865</f>
        <v/>
      </c>
    </row>
    <row r="866">
      <c r="A866" s="0" t="inlineStr">
        <is>
          <t>'Reference sheet'!N868</t>
        </is>
      </c>
      <c r="B866" s="0" t="inlineStr">
        <is>
          <t>Structure Docking Bay</t>
        </is>
      </c>
      <c r="C866" s="0" t="inlineStr">
        <is>
          <t>Industrial Fibers</t>
        </is>
      </c>
      <c r="D866" s="0" t="n">
        <v>480</v>
      </c>
      <c r="E866" s="0">
        <f>VLOOKUP(C866,'Item Tier Lookup'!$A:$B,2,FALSE)</f>
        <v/>
      </c>
      <c r="F866" s="0">
        <f>VLOOKUP(E866,'Tier Params'!$A:$B,2,FALSE)</f>
        <v/>
      </c>
      <c r="G866" s="0">
        <f>VLOOKUP(E866,'Tier Params'!$A:$C,3,FALSE)</f>
        <v/>
      </c>
      <c r="H866" s="0">
        <f>CEILING(D866/G866,1)</f>
        <v/>
      </c>
      <c r="I866" s="0">
        <f>H866*F866</f>
        <v/>
      </c>
    </row>
    <row r="867">
      <c r="A867" s="0" t="inlineStr">
        <is>
          <t>'Reference sheet'!N869</t>
        </is>
      </c>
      <c r="B867" s="0" t="inlineStr">
        <is>
          <t>Structure Docking Bay</t>
        </is>
      </c>
      <c r="C867" s="0" t="inlineStr">
        <is>
          <t>Autotrophs</t>
        </is>
      </c>
      <c r="D867" s="0" t="n">
        <v>72000</v>
      </c>
      <c r="E867" s="0">
        <f>VLOOKUP(C867,'Item Tier Lookup'!$A:$B,2,FALSE)</f>
        <v/>
      </c>
      <c r="F867" s="0">
        <f>VLOOKUP(E867,'Tier Params'!$A:$B,2,FALSE)</f>
        <v/>
      </c>
      <c r="G867" s="0">
        <f>VLOOKUP(E867,'Tier Params'!$A:$C,3,FALSE)</f>
        <v/>
      </c>
      <c r="H867" s="0">
        <f>CEILING(D867/G867,1)</f>
        <v/>
      </c>
      <c r="I867" s="0">
        <f>H867*F867</f>
        <v/>
      </c>
    </row>
    <row r="868">
      <c r="A868" s="0" t="inlineStr">
        <is>
          <t>'Reference sheet'!N870</t>
        </is>
      </c>
      <c r="B868" s="0" t="inlineStr">
        <is>
          <t>Structure Docking Bay</t>
        </is>
      </c>
      <c r="C868" s="0" t="inlineStr">
        <is>
          <t>Integrity Response Drones</t>
        </is>
      </c>
      <c r="D868" s="0" t="n">
        <v>3</v>
      </c>
      <c r="E868" s="0">
        <f>VLOOKUP(C868,'Item Tier Lookup'!$A:$B,2,FALSE)</f>
        <v/>
      </c>
      <c r="F868" s="0">
        <f>VLOOKUP(E868,'Tier Params'!$A:$B,2,FALSE)</f>
        <v/>
      </c>
      <c r="G868" s="0">
        <f>VLOOKUP(E868,'Tier Params'!$A:$C,3,FALSE)</f>
        <v/>
      </c>
      <c r="H868" s="0">
        <f>CEILING(D868/G868,1)</f>
        <v/>
      </c>
      <c r="I868" s="0">
        <f>H868*F868</f>
        <v/>
      </c>
    </row>
    <row r="869">
      <c r="A869" s="0" t="inlineStr">
        <is>
          <t>'Reference sheet'!N871</t>
        </is>
      </c>
      <c r="B869" s="0" t="inlineStr">
        <is>
          <t>Structure Docking Bay</t>
        </is>
      </c>
      <c r="C869" s="0" t="inlineStr">
        <is>
          <t>Gel-Matrix Biopaste</t>
        </is>
      </c>
      <c r="D869" s="0" t="n">
        <v>18</v>
      </c>
      <c r="E869" s="0">
        <f>VLOOKUP(C869,'Item Tier Lookup'!$A:$B,2,FALSE)</f>
        <v/>
      </c>
      <c r="F869" s="0">
        <f>VLOOKUP(E869,'Tier Params'!$A:$B,2,FALSE)</f>
        <v/>
      </c>
      <c r="G869" s="0">
        <f>VLOOKUP(E869,'Tier Params'!$A:$C,3,FALSE)</f>
        <v/>
      </c>
      <c r="H869" s="0">
        <f>CEILING(D869/G869,1)</f>
        <v/>
      </c>
      <c r="I869" s="0">
        <f>H869*F869</f>
        <v/>
      </c>
    </row>
    <row r="870">
      <c r="A870" s="0" t="inlineStr">
        <is>
          <t>'Reference sheet'!N872</t>
        </is>
      </c>
      <c r="B870" s="0" t="inlineStr">
        <is>
          <t>Structure Docking Bay</t>
        </is>
      </c>
      <c r="C870" s="0" t="inlineStr">
        <is>
          <t>Biocells</t>
        </is>
      </c>
      <c r="D870" s="0" t="n">
        <v>60</v>
      </c>
      <c r="E870" s="0">
        <f>VLOOKUP(C870,'Item Tier Lookup'!$A:$B,2,FALSE)</f>
        <v/>
      </c>
      <c r="F870" s="0">
        <f>VLOOKUP(E870,'Tier Params'!$A:$B,2,FALSE)</f>
        <v/>
      </c>
      <c r="G870" s="0">
        <f>VLOOKUP(E870,'Tier Params'!$A:$C,3,FALSE)</f>
        <v/>
      </c>
      <c r="H870" s="0">
        <f>CEILING(D870/G870,1)</f>
        <v/>
      </c>
      <c r="I870" s="0">
        <f>H870*F870</f>
        <v/>
      </c>
    </row>
    <row r="871">
      <c r="A871" s="0" t="inlineStr">
        <is>
          <t>'Reference sheet'!N873</t>
        </is>
      </c>
      <c r="B871" s="0" t="inlineStr">
        <is>
          <t>Structure Docking Bay</t>
        </is>
      </c>
      <c r="C871" s="0" t="inlineStr">
        <is>
          <t>Biofuels</t>
        </is>
      </c>
      <c r="D871" s="0" t="n">
        <v>480</v>
      </c>
      <c r="E871" s="0">
        <f>VLOOKUP(C871,'Item Tier Lookup'!$A:$B,2,FALSE)</f>
        <v/>
      </c>
      <c r="F871" s="0">
        <f>VLOOKUP(E871,'Tier Params'!$A:$B,2,FALSE)</f>
        <v/>
      </c>
      <c r="G871" s="0">
        <f>VLOOKUP(E871,'Tier Params'!$A:$C,3,FALSE)</f>
        <v/>
      </c>
      <c r="H871" s="0">
        <f>CEILING(D871/G871,1)</f>
        <v/>
      </c>
      <c r="I871" s="0">
        <f>H871*F871</f>
        <v/>
      </c>
    </row>
    <row r="872">
      <c r="A872" s="0" t="inlineStr">
        <is>
          <t>'Reference sheet'!N874</t>
        </is>
      </c>
      <c r="B872" s="0" t="inlineStr">
        <is>
          <t>Structure Docking Bay</t>
        </is>
      </c>
      <c r="C872" s="0" t="inlineStr">
        <is>
          <t>Carbon Compounds</t>
        </is>
      </c>
      <c r="D872" s="0" t="n">
        <v>72000</v>
      </c>
      <c r="E872" s="0">
        <f>VLOOKUP(C872,'Item Tier Lookup'!$A:$B,2,FALSE)</f>
        <v/>
      </c>
      <c r="F872" s="0">
        <f>VLOOKUP(E872,'Tier Params'!$A:$B,2,FALSE)</f>
        <v/>
      </c>
      <c r="G872" s="0">
        <f>VLOOKUP(E872,'Tier Params'!$A:$C,3,FALSE)</f>
        <v/>
      </c>
      <c r="H872" s="0">
        <f>CEILING(D872/G872,1)</f>
        <v/>
      </c>
      <c r="I872" s="0">
        <f>H872*F872</f>
        <v/>
      </c>
    </row>
    <row r="873">
      <c r="A873" s="0" t="inlineStr">
        <is>
          <t>'Reference sheet'!N875</t>
        </is>
      </c>
      <c r="B873" s="0" t="inlineStr">
        <is>
          <t>Structure Docking Bay</t>
        </is>
      </c>
      <c r="C873" s="0" t="inlineStr">
        <is>
          <t>Precious Metals</t>
        </is>
      </c>
      <c r="D873" s="0" t="n">
        <v>480</v>
      </c>
      <c r="E873" s="0">
        <f>VLOOKUP(C873,'Item Tier Lookup'!$A:$B,2,FALSE)</f>
        <v/>
      </c>
      <c r="F873" s="0">
        <f>VLOOKUP(E873,'Tier Params'!$A:$B,2,FALSE)</f>
        <v/>
      </c>
      <c r="G873" s="0">
        <f>VLOOKUP(E873,'Tier Params'!$A:$C,3,FALSE)</f>
        <v/>
      </c>
      <c r="H873" s="0">
        <f>CEILING(D873/G873,1)</f>
        <v/>
      </c>
      <c r="I873" s="0">
        <f>H873*F873</f>
        <v/>
      </c>
    </row>
    <row r="874">
      <c r="A874" s="0" t="inlineStr">
        <is>
          <t>'Reference sheet'!N876</t>
        </is>
      </c>
      <c r="B874" s="0" t="inlineStr">
        <is>
          <t>Structure Docking Bay</t>
        </is>
      </c>
      <c r="C874" s="0" t="inlineStr">
        <is>
          <t>Noble Metals</t>
        </is>
      </c>
      <c r="D874" s="0" t="n">
        <v>72000</v>
      </c>
      <c r="E874" s="0">
        <f>VLOOKUP(C874,'Item Tier Lookup'!$A:$B,2,FALSE)</f>
        <v/>
      </c>
      <c r="F874" s="0">
        <f>VLOOKUP(E874,'Tier Params'!$A:$B,2,FALSE)</f>
        <v/>
      </c>
      <c r="G874" s="0">
        <f>VLOOKUP(E874,'Tier Params'!$A:$C,3,FALSE)</f>
        <v/>
      </c>
      <c r="H874" s="0">
        <f>CEILING(D874/G874,1)</f>
        <v/>
      </c>
      <c r="I874" s="0">
        <f>H874*F874</f>
        <v/>
      </c>
    </row>
    <row r="875">
      <c r="A875" s="0" t="inlineStr">
        <is>
          <t>'Reference sheet'!N877</t>
        </is>
      </c>
      <c r="B875" s="0" t="inlineStr">
        <is>
          <t>Structure Docking Bay</t>
        </is>
      </c>
      <c r="C875" s="0" t="inlineStr">
        <is>
          <t>Oxides</t>
        </is>
      </c>
      <c r="D875" s="0" t="n">
        <v>60</v>
      </c>
      <c r="E875" s="0">
        <f>VLOOKUP(C875,'Item Tier Lookup'!$A:$B,2,FALSE)</f>
        <v/>
      </c>
      <c r="F875" s="0">
        <f>VLOOKUP(E875,'Tier Params'!$A:$B,2,FALSE)</f>
        <v/>
      </c>
      <c r="G875" s="0">
        <f>VLOOKUP(E875,'Tier Params'!$A:$C,3,FALSE)</f>
        <v/>
      </c>
      <c r="H875" s="0">
        <f>CEILING(D875/G875,1)</f>
        <v/>
      </c>
      <c r="I875" s="0">
        <f>H875*F875</f>
        <v/>
      </c>
    </row>
    <row r="876">
      <c r="A876" s="0" t="inlineStr">
        <is>
          <t>'Reference sheet'!N878</t>
        </is>
      </c>
      <c r="B876" s="0" t="inlineStr">
        <is>
          <t>Structure Docking Bay</t>
        </is>
      </c>
      <c r="C876" s="0" t="inlineStr">
        <is>
          <t>Oxidizing Compound</t>
        </is>
      </c>
      <c r="D876" s="0" t="n">
        <v>480</v>
      </c>
      <c r="E876" s="0">
        <f>VLOOKUP(C876,'Item Tier Lookup'!$A:$B,2,FALSE)</f>
        <v/>
      </c>
      <c r="F876" s="0">
        <f>VLOOKUP(E876,'Tier Params'!$A:$B,2,FALSE)</f>
        <v/>
      </c>
      <c r="G876" s="0">
        <f>VLOOKUP(E876,'Tier Params'!$A:$C,3,FALSE)</f>
        <v/>
      </c>
      <c r="H876" s="0">
        <f>CEILING(D876/G876,1)</f>
        <v/>
      </c>
      <c r="I876" s="0">
        <f>H876*F876</f>
        <v/>
      </c>
    </row>
    <row r="877">
      <c r="A877" s="0" t="inlineStr">
        <is>
          <t>'Reference sheet'!N879</t>
        </is>
      </c>
      <c r="B877" s="0" t="inlineStr">
        <is>
          <t>Structure Docking Bay</t>
        </is>
      </c>
      <c r="C877" s="0" t="inlineStr">
        <is>
          <t>Reactive Gas</t>
        </is>
      </c>
      <c r="D877" s="0" t="n">
        <v>72000</v>
      </c>
      <c r="E877" s="0">
        <f>VLOOKUP(C877,'Item Tier Lookup'!$A:$B,2,FALSE)</f>
        <v/>
      </c>
      <c r="F877" s="0">
        <f>VLOOKUP(E877,'Tier Params'!$A:$B,2,FALSE)</f>
        <v/>
      </c>
      <c r="G877" s="0">
        <f>VLOOKUP(E877,'Tier Params'!$A:$C,3,FALSE)</f>
        <v/>
      </c>
      <c r="H877" s="0">
        <f>CEILING(D877/G877,1)</f>
        <v/>
      </c>
      <c r="I877" s="0">
        <f>H877*F877</f>
        <v/>
      </c>
    </row>
    <row r="878">
      <c r="A878" s="0" t="inlineStr">
        <is>
          <t>'Reference sheet'!N880</t>
        </is>
      </c>
      <c r="B878" s="0" t="inlineStr">
        <is>
          <t>Structure Docking Bay</t>
        </is>
      </c>
      <c r="C878" s="0" t="inlineStr">
        <is>
          <t>Oxygen</t>
        </is>
      </c>
      <c r="D878" s="0" t="n">
        <v>480</v>
      </c>
      <c r="E878" s="0">
        <f>VLOOKUP(C878,'Item Tier Lookup'!$A:$B,2,FALSE)</f>
        <v/>
      </c>
      <c r="F878" s="0">
        <f>VLOOKUP(E878,'Tier Params'!$A:$B,2,FALSE)</f>
        <v/>
      </c>
      <c r="G878" s="0">
        <f>VLOOKUP(E878,'Tier Params'!$A:$C,3,FALSE)</f>
        <v/>
      </c>
      <c r="H878" s="0">
        <f>CEILING(D878/G878,1)</f>
        <v/>
      </c>
      <c r="I878" s="0">
        <f>H878*F878</f>
        <v/>
      </c>
    </row>
    <row r="879">
      <c r="A879" s="0" t="inlineStr">
        <is>
          <t>'Reference sheet'!N881</t>
        </is>
      </c>
      <c r="B879" s="0" t="inlineStr">
        <is>
          <t>Structure Docking Bay</t>
        </is>
      </c>
      <c r="C879" s="0" t="inlineStr">
        <is>
          <t>Noble Gas</t>
        </is>
      </c>
      <c r="D879" s="0" t="n">
        <v>72000</v>
      </c>
      <c r="E879" s="0">
        <f>VLOOKUP(C879,'Item Tier Lookup'!$A:$B,2,FALSE)</f>
        <v/>
      </c>
      <c r="F879" s="0">
        <f>VLOOKUP(E879,'Tier Params'!$A:$B,2,FALSE)</f>
        <v/>
      </c>
      <c r="G879" s="0">
        <f>VLOOKUP(E879,'Tier Params'!$A:$C,3,FALSE)</f>
        <v/>
      </c>
      <c r="H879" s="0">
        <f>CEILING(D879/G879,1)</f>
        <v/>
      </c>
      <c r="I879" s="0">
        <f>H879*F879</f>
        <v/>
      </c>
    </row>
    <row r="880">
      <c r="A880" s="0" t="inlineStr">
        <is>
          <t>'Reference sheet'!N882</t>
        </is>
      </c>
      <c r="B880" s="0" t="inlineStr">
        <is>
          <t>Structure Docking Bay</t>
        </is>
      </c>
      <c r="C880" s="0" t="inlineStr">
        <is>
          <t>Superconductors</t>
        </is>
      </c>
      <c r="D880" s="0" t="n">
        <v>60</v>
      </c>
      <c r="E880" s="0">
        <f>VLOOKUP(C880,'Item Tier Lookup'!$A:$B,2,FALSE)</f>
        <v/>
      </c>
      <c r="F880" s="0">
        <f>VLOOKUP(E880,'Tier Params'!$A:$B,2,FALSE)</f>
        <v/>
      </c>
      <c r="G880" s="0">
        <f>VLOOKUP(E880,'Tier Params'!$A:$C,3,FALSE)</f>
        <v/>
      </c>
      <c r="H880" s="0">
        <f>CEILING(D880/G880,1)</f>
        <v/>
      </c>
      <c r="I880" s="0">
        <f>H880*F880</f>
        <v/>
      </c>
    </row>
    <row r="881">
      <c r="A881" s="0" t="inlineStr">
        <is>
          <t>'Reference sheet'!N883</t>
        </is>
      </c>
      <c r="B881" s="0" t="inlineStr">
        <is>
          <t>Structure Docking Bay</t>
        </is>
      </c>
      <c r="C881" s="0" t="inlineStr">
        <is>
          <t>Plasmoids</t>
        </is>
      </c>
      <c r="D881" s="0" t="n">
        <v>480</v>
      </c>
      <c r="E881" s="0">
        <f>VLOOKUP(C881,'Item Tier Lookup'!$A:$B,2,FALSE)</f>
        <v/>
      </c>
      <c r="F881" s="0">
        <f>VLOOKUP(E881,'Tier Params'!$A:$B,2,FALSE)</f>
        <v/>
      </c>
      <c r="G881" s="0">
        <f>VLOOKUP(E881,'Tier Params'!$A:$C,3,FALSE)</f>
        <v/>
      </c>
      <c r="H881" s="0">
        <f>CEILING(D881/G881,1)</f>
        <v/>
      </c>
      <c r="I881" s="0">
        <f>H881*F881</f>
        <v/>
      </c>
    </row>
    <row r="882">
      <c r="A882" s="0" t="inlineStr">
        <is>
          <t>'Reference sheet'!N884</t>
        </is>
      </c>
      <c r="B882" s="0" t="inlineStr">
        <is>
          <t>Structure Docking Bay</t>
        </is>
      </c>
      <c r="C882" s="0" t="inlineStr">
        <is>
          <t>Suspended Plasma</t>
        </is>
      </c>
      <c r="D882" s="0" t="n">
        <v>72000</v>
      </c>
      <c r="E882" s="0">
        <f>VLOOKUP(C882,'Item Tier Lookup'!$A:$B,2,FALSE)</f>
        <v/>
      </c>
      <c r="F882" s="0">
        <f>VLOOKUP(E882,'Tier Params'!$A:$B,2,FALSE)</f>
        <v/>
      </c>
      <c r="G882" s="0">
        <f>VLOOKUP(E882,'Tier Params'!$A:$C,3,FALSE)</f>
        <v/>
      </c>
      <c r="H882" s="0">
        <f>CEILING(D882/G882,1)</f>
        <v/>
      </c>
      <c r="I882" s="0">
        <f>H882*F882</f>
        <v/>
      </c>
    </row>
    <row r="883">
      <c r="A883" s="0" t="inlineStr">
        <is>
          <t>'Reference sheet'!N885</t>
        </is>
      </c>
      <c r="B883" s="0" t="inlineStr">
        <is>
          <t>Structure Docking Bay</t>
        </is>
      </c>
      <c r="C883" s="0" t="inlineStr">
        <is>
          <t>Water</t>
        </is>
      </c>
      <c r="D883" s="0" t="n">
        <v>480</v>
      </c>
      <c r="E883" s="0">
        <f>VLOOKUP(C883,'Item Tier Lookup'!$A:$B,2,FALSE)</f>
        <v/>
      </c>
      <c r="F883" s="0">
        <f>VLOOKUP(E883,'Tier Params'!$A:$B,2,FALSE)</f>
        <v/>
      </c>
      <c r="G883" s="0">
        <f>VLOOKUP(E883,'Tier Params'!$A:$C,3,FALSE)</f>
        <v/>
      </c>
      <c r="H883" s="0">
        <f>CEILING(D883/G883,1)</f>
        <v/>
      </c>
      <c r="I883" s="0">
        <f>H883*F883</f>
        <v/>
      </c>
    </row>
    <row r="884">
      <c r="A884" s="0" t="inlineStr">
        <is>
          <t>'Reference sheet'!N886</t>
        </is>
      </c>
      <c r="B884" s="0" t="inlineStr">
        <is>
          <t>Structure Docking Bay</t>
        </is>
      </c>
      <c r="C884" s="0" t="inlineStr">
        <is>
          <t>Aqueous Liquids</t>
        </is>
      </c>
      <c r="D884" s="0" t="n">
        <v>72000</v>
      </c>
      <c r="E884" s="0">
        <f>VLOOKUP(C884,'Item Tier Lookup'!$A:$B,2,FALSE)</f>
        <v/>
      </c>
      <c r="F884" s="0">
        <f>VLOOKUP(E884,'Tier Params'!$A:$B,2,FALSE)</f>
        <v/>
      </c>
      <c r="G884" s="0">
        <f>VLOOKUP(E884,'Tier Params'!$A:$C,3,FALSE)</f>
        <v/>
      </c>
      <c r="H884" s="0">
        <f>CEILING(D884/G884,1)</f>
        <v/>
      </c>
      <c r="I884" s="0">
        <f>H884*F884</f>
        <v/>
      </c>
    </row>
    <row r="885">
      <c r="A885" s="0" t="inlineStr">
        <is>
          <t>'Reference sheet'!N887</t>
        </is>
      </c>
      <c r="B885" s="0" t="inlineStr">
        <is>
          <t>Structure Docking Bay</t>
        </is>
      </c>
      <c r="C885" s="0" t="inlineStr">
        <is>
          <t>Hazmat Detection Systems</t>
        </is>
      </c>
      <c r="D885" s="0" t="n">
        <v>18</v>
      </c>
      <c r="E885" s="0">
        <f>VLOOKUP(C885,'Item Tier Lookup'!$A:$B,2,FALSE)</f>
        <v/>
      </c>
      <c r="F885" s="0">
        <f>VLOOKUP(E885,'Tier Params'!$A:$B,2,FALSE)</f>
        <v/>
      </c>
      <c r="G885" s="0">
        <f>VLOOKUP(E885,'Tier Params'!$A:$C,3,FALSE)</f>
        <v/>
      </c>
      <c r="H885" s="0">
        <f>CEILING(D885/G885,1)</f>
        <v/>
      </c>
      <c r="I885" s="0">
        <f>H885*F885</f>
        <v/>
      </c>
    </row>
    <row r="886">
      <c r="A886" s="0" t="inlineStr">
        <is>
          <t>'Reference sheet'!N888</t>
        </is>
      </c>
      <c r="B886" s="0" t="inlineStr">
        <is>
          <t>Structure Docking Bay</t>
        </is>
      </c>
      <c r="C886" s="0" t="inlineStr">
        <is>
          <t>Transmitter</t>
        </is>
      </c>
      <c r="D886" s="0" t="n">
        <v>60</v>
      </c>
      <c r="E886" s="0">
        <f>VLOOKUP(C886,'Item Tier Lookup'!$A:$B,2,FALSE)</f>
        <v/>
      </c>
      <c r="F886" s="0">
        <f>VLOOKUP(E886,'Tier Params'!$A:$B,2,FALSE)</f>
        <v/>
      </c>
      <c r="G886" s="0">
        <f>VLOOKUP(E886,'Tier Params'!$A:$C,3,FALSE)</f>
        <v/>
      </c>
      <c r="H886" s="0">
        <f>CEILING(D886/G886,1)</f>
        <v/>
      </c>
      <c r="I886" s="0">
        <f>H886*F886</f>
        <v/>
      </c>
    </row>
    <row r="887">
      <c r="A887" s="0" t="inlineStr">
        <is>
          <t>'Reference sheet'!N889</t>
        </is>
      </c>
      <c r="B887" s="0" t="inlineStr">
        <is>
          <t>Structure Docking Bay</t>
        </is>
      </c>
      <c r="C887" s="0" t="inlineStr">
        <is>
          <t>Chiral Structures</t>
        </is>
      </c>
      <c r="D887" s="0" t="n">
        <v>480</v>
      </c>
      <c r="E887" s="0">
        <f>VLOOKUP(C887,'Item Tier Lookup'!$A:$B,2,FALSE)</f>
        <v/>
      </c>
      <c r="F887" s="0">
        <f>VLOOKUP(E887,'Tier Params'!$A:$B,2,FALSE)</f>
        <v/>
      </c>
      <c r="G887" s="0">
        <f>VLOOKUP(E887,'Tier Params'!$A:$C,3,FALSE)</f>
        <v/>
      </c>
      <c r="H887" s="0">
        <f>CEILING(D887/G887,1)</f>
        <v/>
      </c>
      <c r="I887" s="0">
        <f>H887*F887</f>
        <v/>
      </c>
    </row>
    <row r="888">
      <c r="A888" s="0" t="inlineStr">
        <is>
          <t>'Reference sheet'!N890</t>
        </is>
      </c>
      <c r="B888" s="0" t="inlineStr">
        <is>
          <t>Structure Docking Bay</t>
        </is>
      </c>
      <c r="C888" s="0" t="inlineStr">
        <is>
          <t>Non-CS Crystals</t>
        </is>
      </c>
      <c r="D888" s="0" t="n">
        <v>72000</v>
      </c>
      <c r="E888" s="0">
        <f>VLOOKUP(C888,'Item Tier Lookup'!$A:$B,2,FALSE)</f>
        <v/>
      </c>
      <c r="F888" s="0">
        <f>VLOOKUP(E888,'Tier Params'!$A:$B,2,FALSE)</f>
        <v/>
      </c>
      <c r="G888" s="0">
        <f>VLOOKUP(E888,'Tier Params'!$A:$C,3,FALSE)</f>
        <v/>
      </c>
      <c r="H888" s="0">
        <f>CEILING(D888/G888,1)</f>
        <v/>
      </c>
      <c r="I888" s="0">
        <f>H888*F888</f>
        <v/>
      </c>
    </row>
    <row r="889">
      <c r="A889" s="0" t="inlineStr">
        <is>
          <t>'Reference sheet'!N891</t>
        </is>
      </c>
      <c r="B889" s="0" t="inlineStr">
        <is>
          <t>Structure Docking Bay</t>
        </is>
      </c>
      <c r="C889" s="0" t="inlineStr">
        <is>
          <t>Plasmoids</t>
        </is>
      </c>
      <c r="D889" s="0" t="n">
        <v>480</v>
      </c>
      <c r="E889" s="0">
        <f>VLOOKUP(C889,'Item Tier Lookup'!$A:$B,2,FALSE)</f>
        <v/>
      </c>
      <c r="F889" s="0">
        <f>VLOOKUP(E889,'Tier Params'!$A:$B,2,FALSE)</f>
        <v/>
      </c>
      <c r="G889" s="0">
        <f>VLOOKUP(E889,'Tier Params'!$A:$C,3,FALSE)</f>
        <v/>
      </c>
      <c r="H889" s="0">
        <f>CEILING(D889/G889,1)</f>
        <v/>
      </c>
      <c r="I889" s="0">
        <f>H889*F889</f>
        <v/>
      </c>
    </row>
    <row r="890">
      <c r="A890" s="0" t="inlineStr">
        <is>
          <t>'Reference sheet'!N892</t>
        </is>
      </c>
      <c r="B890" s="0" t="inlineStr">
        <is>
          <t>Structure Docking Bay</t>
        </is>
      </c>
      <c r="C890" s="0" t="inlineStr">
        <is>
          <t>Suspended Plasma</t>
        </is>
      </c>
      <c r="D890" s="0" t="n">
        <v>72000</v>
      </c>
      <c r="E890" s="0">
        <f>VLOOKUP(C890,'Item Tier Lookup'!$A:$B,2,FALSE)</f>
        <v/>
      </c>
      <c r="F890" s="0">
        <f>VLOOKUP(E890,'Tier Params'!$A:$B,2,FALSE)</f>
        <v/>
      </c>
      <c r="G890" s="0">
        <f>VLOOKUP(E890,'Tier Params'!$A:$C,3,FALSE)</f>
        <v/>
      </c>
      <c r="H890" s="0">
        <f>CEILING(D890/G890,1)</f>
        <v/>
      </c>
      <c r="I890" s="0">
        <f>H890*F890</f>
        <v/>
      </c>
    </row>
    <row r="891">
      <c r="A891" s="0" t="inlineStr">
        <is>
          <t>'Reference sheet'!N893</t>
        </is>
      </c>
      <c r="B891" s="0" t="inlineStr">
        <is>
          <t>Structure Docking Bay</t>
        </is>
      </c>
      <c r="C891" s="0" t="inlineStr">
        <is>
          <t>Polytextiles</t>
        </is>
      </c>
      <c r="D891" s="0" t="n">
        <v>60</v>
      </c>
      <c r="E891" s="0">
        <f>VLOOKUP(C891,'Item Tier Lookup'!$A:$B,2,FALSE)</f>
        <v/>
      </c>
      <c r="F891" s="0">
        <f>VLOOKUP(E891,'Tier Params'!$A:$B,2,FALSE)</f>
        <v/>
      </c>
      <c r="G891" s="0">
        <f>VLOOKUP(E891,'Tier Params'!$A:$C,3,FALSE)</f>
        <v/>
      </c>
      <c r="H891" s="0">
        <f>CEILING(D891/G891,1)</f>
        <v/>
      </c>
      <c r="I891" s="0">
        <f>H891*F891</f>
        <v/>
      </c>
    </row>
    <row r="892">
      <c r="A892" s="0" t="inlineStr">
        <is>
          <t>'Reference sheet'!N894</t>
        </is>
      </c>
      <c r="B892" s="0" t="inlineStr">
        <is>
          <t>Structure Docking Bay</t>
        </is>
      </c>
      <c r="C892" s="0" t="inlineStr">
        <is>
          <t>Biofuels</t>
        </is>
      </c>
      <c r="D892" s="0" t="n">
        <v>480</v>
      </c>
      <c r="E892" s="0">
        <f>VLOOKUP(C892,'Item Tier Lookup'!$A:$B,2,FALSE)</f>
        <v/>
      </c>
      <c r="F892" s="0">
        <f>VLOOKUP(E892,'Tier Params'!$A:$B,2,FALSE)</f>
        <v/>
      </c>
      <c r="G892" s="0">
        <f>VLOOKUP(E892,'Tier Params'!$A:$C,3,FALSE)</f>
        <v/>
      </c>
      <c r="H892" s="0">
        <f>CEILING(D892/G892,1)</f>
        <v/>
      </c>
      <c r="I892" s="0">
        <f>H892*F892</f>
        <v/>
      </c>
    </row>
    <row r="893">
      <c r="A893" s="0" t="inlineStr">
        <is>
          <t>'Reference sheet'!N895</t>
        </is>
      </c>
      <c r="B893" s="0" t="inlineStr">
        <is>
          <t>Structure Docking Bay</t>
        </is>
      </c>
      <c r="C893" s="0" t="inlineStr">
        <is>
          <t>Carbon Compounds</t>
        </is>
      </c>
      <c r="D893" s="0" t="n">
        <v>72000</v>
      </c>
      <c r="E893" s="0">
        <f>VLOOKUP(C893,'Item Tier Lookup'!$A:$B,2,FALSE)</f>
        <v/>
      </c>
      <c r="F893" s="0">
        <f>VLOOKUP(E893,'Tier Params'!$A:$B,2,FALSE)</f>
        <v/>
      </c>
      <c r="G893" s="0">
        <f>VLOOKUP(E893,'Tier Params'!$A:$C,3,FALSE)</f>
        <v/>
      </c>
      <c r="H893" s="0">
        <f>CEILING(D893/G893,1)</f>
        <v/>
      </c>
      <c r="I893" s="0">
        <f>H893*F893</f>
        <v/>
      </c>
    </row>
    <row r="894">
      <c r="A894" s="0" t="inlineStr">
        <is>
          <t>'Reference sheet'!N896</t>
        </is>
      </c>
      <c r="B894" s="0" t="inlineStr">
        <is>
          <t>Structure Docking Bay</t>
        </is>
      </c>
      <c r="C894" s="0" t="inlineStr">
        <is>
          <t>Industrial Fibers</t>
        </is>
      </c>
      <c r="D894" s="0" t="n">
        <v>480</v>
      </c>
      <c r="E894" s="0">
        <f>VLOOKUP(C894,'Item Tier Lookup'!$A:$B,2,FALSE)</f>
        <v/>
      </c>
      <c r="F894" s="0">
        <f>VLOOKUP(E894,'Tier Params'!$A:$B,2,FALSE)</f>
        <v/>
      </c>
      <c r="G894" s="0">
        <f>VLOOKUP(E894,'Tier Params'!$A:$C,3,FALSE)</f>
        <v/>
      </c>
      <c r="H894" s="0">
        <f>CEILING(D894/G894,1)</f>
        <v/>
      </c>
      <c r="I894" s="0">
        <f>H894*F894</f>
        <v/>
      </c>
    </row>
    <row r="895">
      <c r="A895" s="0" t="inlineStr">
        <is>
          <t>'Reference sheet'!N897</t>
        </is>
      </c>
      <c r="B895" s="0" t="inlineStr">
        <is>
          <t>Structure Docking Bay</t>
        </is>
      </c>
      <c r="C895" s="0" t="inlineStr">
        <is>
          <t>Autotrophs</t>
        </is>
      </c>
      <c r="D895" s="0" t="n">
        <v>72000</v>
      </c>
      <c r="E895" s="0">
        <f>VLOOKUP(C895,'Item Tier Lookup'!$A:$B,2,FALSE)</f>
        <v/>
      </c>
      <c r="F895" s="0">
        <f>VLOOKUP(E895,'Tier Params'!$A:$B,2,FALSE)</f>
        <v/>
      </c>
      <c r="G895" s="0">
        <f>VLOOKUP(E895,'Tier Params'!$A:$C,3,FALSE)</f>
        <v/>
      </c>
      <c r="H895" s="0">
        <f>CEILING(D895/G895,1)</f>
        <v/>
      </c>
      <c r="I895" s="0">
        <f>H895*F895</f>
        <v/>
      </c>
    </row>
    <row r="896">
      <c r="A896" s="0" t="inlineStr">
        <is>
          <t>'Reference sheet'!N898</t>
        </is>
      </c>
      <c r="B896" s="0" t="inlineStr">
        <is>
          <t>Structure Docking Bay</t>
        </is>
      </c>
      <c r="C896" s="0" t="inlineStr">
        <is>
          <t>Viral Agent</t>
        </is>
      </c>
      <c r="D896" s="0" t="n">
        <v>60</v>
      </c>
      <c r="E896" s="0">
        <f>VLOOKUP(C896,'Item Tier Lookup'!$A:$B,2,FALSE)</f>
        <v/>
      </c>
      <c r="F896" s="0">
        <f>VLOOKUP(E896,'Tier Params'!$A:$B,2,FALSE)</f>
        <v/>
      </c>
      <c r="G896" s="0">
        <f>VLOOKUP(E896,'Tier Params'!$A:$C,3,FALSE)</f>
        <v/>
      </c>
      <c r="H896" s="0">
        <f>CEILING(D896/G896,1)</f>
        <v/>
      </c>
      <c r="I896" s="0">
        <f>H896*F896</f>
        <v/>
      </c>
    </row>
    <row r="897">
      <c r="A897" s="0" t="inlineStr">
        <is>
          <t>'Reference sheet'!N899</t>
        </is>
      </c>
      <c r="B897" s="0" t="inlineStr">
        <is>
          <t>Structure Docking Bay</t>
        </is>
      </c>
      <c r="C897" s="0" t="inlineStr">
        <is>
          <t>Bacteria</t>
        </is>
      </c>
      <c r="D897" s="0" t="n">
        <v>480</v>
      </c>
      <c r="E897" s="0">
        <f>VLOOKUP(C897,'Item Tier Lookup'!$A:$B,2,FALSE)</f>
        <v/>
      </c>
      <c r="F897" s="0">
        <f>VLOOKUP(E897,'Tier Params'!$A:$B,2,FALSE)</f>
        <v/>
      </c>
      <c r="G897" s="0">
        <f>VLOOKUP(E897,'Tier Params'!$A:$C,3,FALSE)</f>
        <v/>
      </c>
      <c r="H897" s="0">
        <f>CEILING(D897/G897,1)</f>
        <v/>
      </c>
      <c r="I897" s="0">
        <f>H897*F897</f>
        <v/>
      </c>
    </row>
    <row r="898">
      <c r="A898" s="0" t="inlineStr">
        <is>
          <t>'Reference sheet'!N900</t>
        </is>
      </c>
      <c r="B898" s="0" t="inlineStr">
        <is>
          <t>Structure Docking Bay</t>
        </is>
      </c>
      <c r="C898" s="0" t="inlineStr">
        <is>
          <t>Microorganisms</t>
        </is>
      </c>
      <c r="D898" s="0" t="n">
        <v>72000</v>
      </c>
      <c r="E898" s="0">
        <f>VLOOKUP(C898,'Item Tier Lookup'!$A:$B,2,FALSE)</f>
        <v/>
      </c>
      <c r="F898" s="0">
        <f>VLOOKUP(E898,'Tier Params'!$A:$B,2,FALSE)</f>
        <v/>
      </c>
      <c r="G898" s="0">
        <f>VLOOKUP(E898,'Tier Params'!$A:$C,3,FALSE)</f>
        <v/>
      </c>
      <c r="H898" s="0">
        <f>CEILING(D898/G898,1)</f>
        <v/>
      </c>
      <c r="I898" s="0">
        <f>H898*F898</f>
        <v/>
      </c>
    </row>
    <row r="899">
      <c r="A899" s="0" t="inlineStr">
        <is>
          <t>'Reference sheet'!N901</t>
        </is>
      </c>
      <c r="B899" s="0" t="inlineStr">
        <is>
          <t>Structure Docking Bay</t>
        </is>
      </c>
      <c r="C899" s="0" t="inlineStr">
        <is>
          <t>Biomass</t>
        </is>
      </c>
      <c r="D899" s="0" t="n">
        <v>480</v>
      </c>
      <c r="E899" s="0">
        <f>VLOOKUP(C899,'Item Tier Lookup'!$A:$B,2,FALSE)</f>
        <v/>
      </c>
      <c r="F899" s="0">
        <f>VLOOKUP(E899,'Tier Params'!$A:$B,2,FALSE)</f>
        <v/>
      </c>
      <c r="G899" s="0">
        <f>VLOOKUP(E899,'Tier Params'!$A:$C,3,FALSE)</f>
        <v/>
      </c>
      <c r="H899" s="0">
        <f>CEILING(D899/G899,1)</f>
        <v/>
      </c>
      <c r="I899" s="0">
        <f>H899*F899</f>
        <v/>
      </c>
    </row>
    <row r="900">
      <c r="A900" s="0" t="inlineStr">
        <is>
          <t>'Reference sheet'!N902</t>
        </is>
      </c>
      <c r="B900" s="0" t="inlineStr">
        <is>
          <t>Structure Docking Bay</t>
        </is>
      </c>
      <c r="C900" s="0" t="inlineStr">
        <is>
          <t>Planktic Colonies</t>
        </is>
      </c>
      <c r="D900" s="0" t="n">
        <v>72000</v>
      </c>
      <c r="E900" s="0">
        <f>VLOOKUP(C900,'Item Tier Lookup'!$A:$B,2,FALSE)</f>
        <v/>
      </c>
      <c r="F900" s="0">
        <f>VLOOKUP(E900,'Tier Params'!$A:$B,2,FALSE)</f>
        <v/>
      </c>
      <c r="G900" s="0">
        <f>VLOOKUP(E900,'Tier Params'!$A:$C,3,FALSE)</f>
        <v/>
      </c>
      <c r="H900" s="0">
        <f>CEILING(D900/G900,1)</f>
        <v/>
      </c>
      <c r="I900" s="0">
        <f>H900*F900</f>
        <v/>
      </c>
    </row>
    <row r="901">
      <c r="A901" s="0" t="inlineStr">
        <is>
          <t>'Reference sheet'!N903</t>
        </is>
      </c>
      <c r="B901" s="0" t="inlineStr">
        <is>
          <t>Structure Docking Bay</t>
        </is>
      </c>
      <c r="C901" s="0" t="inlineStr">
        <is>
          <t>Planetary Vehicles</t>
        </is>
      </c>
      <c r="D901" s="0" t="n">
        <v>18</v>
      </c>
      <c r="E901" s="0">
        <f>VLOOKUP(C901,'Item Tier Lookup'!$A:$B,2,FALSE)</f>
        <v/>
      </c>
      <c r="F901" s="0">
        <f>VLOOKUP(E901,'Tier Params'!$A:$B,2,FALSE)</f>
        <v/>
      </c>
      <c r="G901" s="0">
        <f>VLOOKUP(E901,'Tier Params'!$A:$C,3,FALSE)</f>
        <v/>
      </c>
      <c r="H901" s="0">
        <f>CEILING(D901/G901,1)</f>
        <v/>
      </c>
      <c r="I901" s="0">
        <f>H901*F901</f>
        <v/>
      </c>
    </row>
    <row r="902">
      <c r="A902" s="0" t="inlineStr">
        <is>
          <t>'Reference sheet'!N904</t>
        </is>
      </c>
      <c r="B902" s="0" t="inlineStr">
        <is>
          <t>Structure Docking Bay</t>
        </is>
      </c>
      <c r="C902" s="0" t="inlineStr">
        <is>
          <t>Supertensile Plastics</t>
        </is>
      </c>
      <c r="D902" s="0" t="n">
        <v>60</v>
      </c>
      <c r="E902" s="0">
        <f>VLOOKUP(C902,'Item Tier Lookup'!$A:$B,2,FALSE)</f>
        <v/>
      </c>
      <c r="F902" s="0">
        <f>VLOOKUP(E902,'Tier Params'!$A:$B,2,FALSE)</f>
        <v/>
      </c>
      <c r="G902" s="0">
        <f>VLOOKUP(E902,'Tier Params'!$A:$C,3,FALSE)</f>
        <v/>
      </c>
      <c r="H902" s="0">
        <f>CEILING(D902/G902,1)</f>
        <v/>
      </c>
      <c r="I902" s="0">
        <f>H902*F902</f>
        <v/>
      </c>
    </row>
    <row r="903">
      <c r="A903" s="0" t="inlineStr">
        <is>
          <t>'Reference sheet'!N905</t>
        </is>
      </c>
      <c r="B903" s="0" t="inlineStr">
        <is>
          <t>Structure Docking Bay</t>
        </is>
      </c>
      <c r="C903" s="0" t="inlineStr">
        <is>
          <t>Oxygen</t>
        </is>
      </c>
      <c r="D903" s="0" t="n">
        <v>480</v>
      </c>
      <c r="E903" s="0">
        <f>VLOOKUP(C903,'Item Tier Lookup'!$A:$B,2,FALSE)</f>
        <v/>
      </c>
      <c r="F903" s="0">
        <f>VLOOKUP(E903,'Tier Params'!$A:$B,2,FALSE)</f>
        <v/>
      </c>
      <c r="G903" s="0">
        <f>VLOOKUP(E903,'Tier Params'!$A:$C,3,FALSE)</f>
        <v/>
      </c>
      <c r="H903" s="0">
        <f>CEILING(D903/G903,1)</f>
        <v/>
      </c>
      <c r="I903" s="0">
        <f>H903*F903</f>
        <v/>
      </c>
    </row>
    <row r="904">
      <c r="A904" s="0" t="inlineStr">
        <is>
          <t>'Reference sheet'!N906</t>
        </is>
      </c>
      <c r="B904" s="0" t="inlineStr">
        <is>
          <t>Structure Docking Bay</t>
        </is>
      </c>
      <c r="C904" s="0" t="inlineStr">
        <is>
          <t>Noble Gas</t>
        </is>
      </c>
      <c r="D904" s="0" t="n">
        <v>72000</v>
      </c>
      <c r="E904" s="0">
        <f>VLOOKUP(C904,'Item Tier Lookup'!$A:$B,2,FALSE)</f>
        <v/>
      </c>
      <c r="F904" s="0">
        <f>VLOOKUP(E904,'Tier Params'!$A:$B,2,FALSE)</f>
        <v/>
      </c>
      <c r="G904" s="0">
        <f>VLOOKUP(E904,'Tier Params'!$A:$C,3,FALSE)</f>
        <v/>
      </c>
      <c r="H904" s="0">
        <f>CEILING(D904/G904,1)</f>
        <v/>
      </c>
      <c r="I904" s="0">
        <f>H904*F904</f>
        <v/>
      </c>
    </row>
    <row r="905">
      <c r="A905" s="0" t="inlineStr">
        <is>
          <t>'Reference sheet'!N907</t>
        </is>
      </c>
      <c r="B905" s="0" t="inlineStr">
        <is>
          <t>Structure Docking Bay</t>
        </is>
      </c>
      <c r="C905" s="0" t="inlineStr">
        <is>
          <t>Biomass</t>
        </is>
      </c>
      <c r="D905" s="0" t="n">
        <v>480</v>
      </c>
      <c r="E905" s="0">
        <f>VLOOKUP(C905,'Item Tier Lookup'!$A:$B,2,FALSE)</f>
        <v/>
      </c>
      <c r="F905" s="0">
        <f>VLOOKUP(E905,'Tier Params'!$A:$B,2,FALSE)</f>
        <v/>
      </c>
      <c r="G905" s="0">
        <f>VLOOKUP(E905,'Tier Params'!$A:$C,3,FALSE)</f>
        <v/>
      </c>
      <c r="H905" s="0">
        <f>CEILING(D905/G905,1)</f>
        <v/>
      </c>
      <c r="I905" s="0">
        <f>H905*F905</f>
        <v/>
      </c>
    </row>
    <row r="906">
      <c r="A906" s="0" t="inlineStr">
        <is>
          <t>'Reference sheet'!N908</t>
        </is>
      </c>
      <c r="B906" s="0" t="inlineStr">
        <is>
          <t>Structure Docking Bay</t>
        </is>
      </c>
      <c r="C906" s="0" t="inlineStr">
        <is>
          <t>Planktic Colonies</t>
        </is>
      </c>
      <c r="D906" s="0" t="n">
        <v>72000</v>
      </c>
      <c r="E906" s="0">
        <f>VLOOKUP(C906,'Item Tier Lookup'!$A:$B,2,FALSE)</f>
        <v/>
      </c>
      <c r="F906" s="0">
        <f>VLOOKUP(E906,'Tier Params'!$A:$B,2,FALSE)</f>
        <v/>
      </c>
      <c r="G906" s="0">
        <f>VLOOKUP(E906,'Tier Params'!$A:$C,3,FALSE)</f>
        <v/>
      </c>
      <c r="H906" s="0">
        <f>CEILING(D906/G906,1)</f>
        <v/>
      </c>
      <c r="I906" s="0">
        <f>H906*F906</f>
        <v/>
      </c>
    </row>
    <row r="907">
      <c r="A907" s="0" t="inlineStr">
        <is>
          <t>'Reference sheet'!N909</t>
        </is>
      </c>
      <c r="B907" s="0" t="inlineStr">
        <is>
          <t>Structure Docking Bay</t>
        </is>
      </c>
      <c r="C907" s="0" t="inlineStr">
        <is>
          <t>Mechanical Parts</t>
        </is>
      </c>
      <c r="D907" s="0" t="n">
        <v>60</v>
      </c>
      <c r="E907" s="0">
        <f>VLOOKUP(C907,'Item Tier Lookup'!$A:$B,2,FALSE)</f>
        <v/>
      </c>
      <c r="F907" s="0">
        <f>VLOOKUP(E907,'Tier Params'!$A:$B,2,FALSE)</f>
        <v/>
      </c>
      <c r="G907" s="0">
        <f>VLOOKUP(E907,'Tier Params'!$A:$C,3,FALSE)</f>
        <v/>
      </c>
      <c r="H907" s="0">
        <f>CEILING(D907/G907,1)</f>
        <v/>
      </c>
      <c r="I907" s="0">
        <f>H907*F907</f>
        <v/>
      </c>
    </row>
    <row r="908">
      <c r="A908" s="0" t="inlineStr">
        <is>
          <t>'Reference sheet'!N910</t>
        </is>
      </c>
      <c r="B908" s="0" t="inlineStr">
        <is>
          <t>Structure Docking Bay</t>
        </is>
      </c>
      <c r="C908" s="0" t="inlineStr">
        <is>
          <t>Reactive Metals</t>
        </is>
      </c>
      <c r="D908" s="0" t="n">
        <v>480</v>
      </c>
      <c r="E908" s="0">
        <f>VLOOKUP(C908,'Item Tier Lookup'!$A:$B,2,FALSE)</f>
        <v/>
      </c>
      <c r="F908" s="0">
        <f>VLOOKUP(E908,'Tier Params'!$A:$B,2,FALSE)</f>
        <v/>
      </c>
      <c r="G908" s="0">
        <f>VLOOKUP(E908,'Tier Params'!$A:$C,3,FALSE)</f>
        <v/>
      </c>
      <c r="H908" s="0">
        <f>CEILING(D908/G908,1)</f>
        <v/>
      </c>
      <c r="I908" s="0">
        <f>H908*F908</f>
        <v/>
      </c>
    </row>
    <row r="909">
      <c r="A909" s="0" t="inlineStr">
        <is>
          <t>'Reference sheet'!N911</t>
        </is>
      </c>
      <c r="B909" s="0" t="inlineStr">
        <is>
          <t>Structure Docking Bay</t>
        </is>
      </c>
      <c r="C909" s="0" t="inlineStr">
        <is>
          <t>Base Metals</t>
        </is>
      </c>
      <c r="D909" s="0" t="n">
        <v>72000</v>
      </c>
      <c r="E909" s="0">
        <f>VLOOKUP(C909,'Item Tier Lookup'!$A:$B,2,FALSE)</f>
        <v/>
      </c>
      <c r="F909" s="0">
        <f>VLOOKUP(E909,'Tier Params'!$A:$B,2,FALSE)</f>
        <v/>
      </c>
      <c r="G909" s="0">
        <f>VLOOKUP(E909,'Tier Params'!$A:$C,3,FALSE)</f>
        <v/>
      </c>
      <c r="H909" s="0">
        <f>CEILING(D909/G909,1)</f>
        <v/>
      </c>
      <c r="I909" s="0">
        <f>H909*F909</f>
        <v/>
      </c>
    </row>
    <row r="910">
      <c r="A910" s="0" t="inlineStr">
        <is>
          <t>'Reference sheet'!N912</t>
        </is>
      </c>
      <c r="B910" s="0" t="inlineStr">
        <is>
          <t>Structure Docking Bay</t>
        </is>
      </c>
      <c r="C910" s="0" t="inlineStr">
        <is>
          <t>Precious Metals</t>
        </is>
      </c>
      <c r="D910" s="0" t="n">
        <v>480</v>
      </c>
      <c r="E910" s="0">
        <f>VLOOKUP(C910,'Item Tier Lookup'!$A:$B,2,FALSE)</f>
        <v/>
      </c>
      <c r="F910" s="0">
        <f>VLOOKUP(E910,'Tier Params'!$A:$B,2,FALSE)</f>
        <v/>
      </c>
      <c r="G910" s="0">
        <f>VLOOKUP(E910,'Tier Params'!$A:$C,3,FALSE)</f>
        <v/>
      </c>
      <c r="H910" s="0">
        <f>CEILING(D910/G910,1)</f>
        <v/>
      </c>
      <c r="I910" s="0">
        <f>H910*F910</f>
        <v/>
      </c>
    </row>
    <row r="911">
      <c r="A911" s="0" t="inlineStr">
        <is>
          <t>'Reference sheet'!N913</t>
        </is>
      </c>
      <c r="B911" s="0" t="inlineStr">
        <is>
          <t>Structure Docking Bay</t>
        </is>
      </c>
      <c r="C911" s="0" t="inlineStr">
        <is>
          <t>Noble Metals</t>
        </is>
      </c>
      <c r="D911" s="0" t="n">
        <v>72000</v>
      </c>
      <c r="E911" s="0">
        <f>VLOOKUP(C911,'Item Tier Lookup'!$A:$B,2,FALSE)</f>
        <v/>
      </c>
      <c r="F911" s="0">
        <f>VLOOKUP(E911,'Tier Params'!$A:$B,2,FALSE)</f>
        <v/>
      </c>
      <c r="G911" s="0">
        <f>VLOOKUP(E911,'Tier Params'!$A:$C,3,FALSE)</f>
        <v/>
      </c>
      <c r="H911" s="0">
        <f>CEILING(D911/G911,1)</f>
        <v/>
      </c>
      <c r="I911" s="0">
        <f>H911*F911</f>
        <v/>
      </c>
    </row>
    <row r="912">
      <c r="A912" s="0" t="inlineStr">
        <is>
          <t>'Reference sheet'!N914</t>
        </is>
      </c>
      <c r="B912" s="0" t="inlineStr">
        <is>
          <t>Structure Docking Bay</t>
        </is>
      </c>
      <c r="C912" s="0" t="inlineStr">
        <is>
          <t>Miniature Electronics</t>
        </is>
      </c>
      <c r="D912" s="0" t="n">
        <v>60</v>
      </c>
      <c r="E912" s="0">
        <f>VLOOKUP(C912,'Item Tier Lookup'!$A:$B,2,FALSE)</f>
        <v/>
      </c>
      <c r="F912" s="0">
        <f>VLOOKUP(E912,'Tier Params'!$A:$B,2,FALSE)</f>
        <v/>
      </c>
      <c r="G912" s="0">
        <f>VLOOKUP(E912,'Tier Params'!$A:$C,3,FALSE)</f>
        <v/>
      </c>
      <c r="H912" s="0">
        <f>CEILING(D912/G912,1)</f>
        <v/>
      </c>
      <c r="I912" s="0">
        <f>H912*F912</f>
        <v/>
      </c>
    </row>
    <row r="913">
      <c r="A913" s="0" t="inlineStr">
        <is>
          <t>'Reference sheet'!N915</t>
        </is>
      </c>
      <c r="B913" s="0" t="inlineStr">
        <is>
          <t>Structure Docking Bay</t>
        </is>
      </c>
      <c r="C913" s="0" t="inlineStr">
        <is>
          <t>Chiral Structures</t>
        </is>
      </c>
      <c r="D913" s="0" t="n">
        <v>480</v>
      </c>
      <c r="E913" s="0">
        <f>VLOOKUP(C913,'Item Tier Lookup'!$A:$B,2,FALSE)</f>
        <v/>
      </c>
      <c r="F913" s="0">
        <f>VLOOKUP(E913,'Tier Params'!$A:$B,2,FALSE)</f>
        <v/>
      </c>
      <c r="G913" s="0">
        <f>VLOOKUP(E913,'Tier Params'!$A:$C,3,FALSE)</f>
        <v/>
      </c>
      <c r="H913" s="0">
        <f>CEILING(D913/G913,1)</f>
        <v/>
      </c>
      <c r="I913" s="0">
        <f>H913*F913</f>
        <v/>
      </c>
    </row>
    <row r="914">
      <c r="A914" s="0" t="inlineStr">
        <is>
          <t>'Reference sheet'!N916</t>
        </is>
      </c>
      <c r="B914" s="0" t="inlineStr">
        <is>
          <t>Structure Docking Bay</t>
        </is>
      </c>
      <c r="C914" s="0" t="inlineStr">
        <is>
          <t>Non-CS Crystals</t>
        </is>
      </c>
      <c r="D914" s="0" t="n">
        <v>72000</v>
      </c>
      <c r="E914" s="0">
        <f>VLOOKUP(C914,'Item Tier Lookup'!$A:$B,2,FALSE)</f>
        <v/>
      </c>
      <c r="F914" s="0">
        <f>VLOOKUP(E914,'Tier Params'!$A:$B,2,FALSE)</f>
        <v/>
      </c>
      <c r="G914" s="0">
        <f>VLOOKUP(E914,'Tier Params'!$A:$C,3,FALSE)</f>
        <v/>
      </c>
      <c r="H914" s="0">
        <f>CEILING(D914/G914,1)</f>
        <v/>
      </c>
      <c r="I914" s="0">
        <f>H914*F914</f>
        <v/>
      </c>
    </row>
    <row r="915">
      <c r="A915" s="0" t="inlineStr">
        <is>
          <t>'Reference sheet'!N917</t>
        </is>
      </c>
      <c r="B915" s="0" t="inlineStr">
        <is>
          <t>Structure Docking Bay</t>
        </is>
      </c>
      <c r="C915" s="0" t="inlineStr">
        <is>
          <t>Silicon</t>
        </is>
      </c>
      <c r="D915" s="0" t="n">
        <v>480</v>
      </c>
      <c r="E915" s="0">
        <f>VLOOKUP(C915,'Item Tier Lookup'!$A:$B,2,FALSE)</f>
        <v/>
      </c>
      <c r="F915" s="0">
        <f>VLOOKUP(E915,'Tier Params'!$A:$B,2,FALSE)</f>
        <v/>
      </c>
      <c r="G915" s="0">
        <f>VLOOKUP(E915,'Tier Params'!$A:$C,3,FALSE)</f>
        <v/>
      </c>
      <c r="H915" s="0">
        <f>CEILING(D915/G915,1)</f>
        <v/>
      </c>
      <c r="I915" s="0">
        <f>H915*F915</f>
        <v/>
      </c>
    </row>
    <row r="916">
      <c r="A916" s="0" t="inlineStr">
        <is>
          <t>'Reference sheet'!N918</t>
        </is>
      </c>
      <c r="B916" s="0" t="inlineStr">
        <is>
          <t>Structure Docking Bay</t>
        </is>
      </c>
      <c r="C916" s="0" t="inlineStr">
        <is>
          <t>Felsic Magma</t>
        </is>
      </c>
      <c r="D916" s="0" t="n">
        <v>72000</v>
      </c>
      <c r="E916" s="0">
        <f>VLOOKUP(C916,'Item Tier Lookup'!$A:$B,2,FALSE)</f>
        <v/>
      </c>
      <c r="F916" s="0">
        <f>VLOOKUP(E916,'Tier Params'!$A:$B,2,FALSE)</f>
        <v/>
      </c>
      <c r="G916" s="0">
        <f>VLOOKUP(E916,'Tier Params'!$A:$C,3,FALSE)</f>
        <v/>
      </c>
      <c r="H916" s="0">
        <f>CEILING(D916/G916,1)</f>
        <v/>
      </c>
      <c r="I916" s="0">
        <f>H916*F916</f>
        <v/>
      </c>
    </row>
    <row r="917">
      <c r="A917" s="0" t="inlineStr">
        <is>
          <t>'Reference sheet'!N919</t>
        </is>
      </c>
      <c r="B917" s="0" t="inlineStr">
        <is>
          <t>Structure Docking Bay</t>
        </is>
      </c>
      <c r="C917" s="0" t="inlineStr">
        <is>
          <t>Organic Mortar Applicators</t>
        </is>
      </c>
      <c r="D917" s="0" t="n">
        <v>3</v>
      </c>
      <c r="E917" s="0">
        <f>VLOOKUP(C917,'Item Tier Lookup'!$A:$B,2,FALSE)</f>
        <v/>
      </c>
      <c r="F917" s="0">
        <f>VLOOKUP(E917,'Tier Params'!$A:$B,2,FALSE)</f>
        <v/>
      </c>
      <c r="G917" s="0">
        <f>VLOOKUP(E917,'Tier Params'!$A:$C,3,FALSE)</f>
        <v/>
      </c>
      <c r="H917" s="0">
        <f>CEILING(D917/G917,1)</f>
        <v/>
      </c>
      <c r="I917" s="0">
        <f>H917*F917</f>
        <v/>
      </c>
    </row>
    <row r="918">
      <c r="A918" s="0" t="inlineStr">
        <is>
          <t>'Reference sheet'!N920</t>
        </is>
      </c>
      <c r="B918" s="0" t="inlineStr">
        <is>
          <t>Structure Docking Bay</t>
        </is>
      </c>
      <c r="C918" s="0" t="inlineStr">
        <is>
          <t>Condensates</t>
        </is>
      </c>
      <c r="D918" s="0" t="n">
        <v>18</v>
      </c>
      <c r="E918" s="0">
        <f>VLOOKUP(C918,'Item Tier Lookup'!$A:$B,2,FALSE)</f>
        <v/>
      </c>
      <c r="F918" s="0">
        <f>VLOOKUP(E918,'Tier Params'!$A:$B,2,FALSE)</f>
        <v/>
      </c>
      <c r="G918" s="0">
        <f>VLOOKUP(E918,'Tier Params'!$A:$C,3,FALSE)</f>
        <v/>
      </c>
      <c r="H918" s="0">
        <f>CEILING(D918/G918,1)</f>
        <v/>
      </c>
      <c r="I918" s="0">
        <f>H918*F918</f>
        <v/>
      </c>
    </row>
    <row r="919">
      <c r="A919" s="0" t="inlineStr">
        <is>
          <t>'Reference sheet'!N921</t>
        </is>
      </c>
      <c r="B919" s="0" t="inlineStr">
        <is>
          <t>Structure Docking Bay</t>
        </is>
      </c>
      <c r="C919" s="0" t="inlineStr">
        <is>
          <t>Coolant</t>
        </is>
      </c>
      <c r="D919" s="0" t="n">
        <v>60</v>
      </c>
      <c r="E919" s="0">
        <f>VLOOKUP(C919,'Item Tier Lookup'!$A:$B,2,FALSE)</f>
        <v/>
      </c>
      <c r="F919" s="0">
        <f>VLOOKUP(E919,'Tier Params'!$A:$B,2,FALSE)</f>
        <v/>
      </c>
      <c r="G919" s="0">
        <f>VLOOKUP(E919,'Tier Params'!$A:$C,3,FALSE)</f>
        <v/>
      </c>
      <c r="H919" s="0">
        <f>CEILING(D919/G919,1)</f>
        <v/>
      </c>
      <c r="I919" s="0">
        <f>H919*F919</f>
        <v/>
      </c>
    </row>
    <row r="920">
      <c r="A920" s="0" t="inlineStr">
        <is>
          <t>'Reference sheet'!N922</t>
        </is>
      </c>
      <c r="B920" s="0" t="inlineStr">
        <is>
          <t>Structure Docking Bay</t>
        </is>
      </c>
      <c r="C920" s="0" t="inlineStr">
        <is>
          <t>Water</t>
        </is>
      </c>
      <c r="D920" s="0" t="n">
        <v>480</v>
      </c>
      <c r="E920" s="0">
        <f>VLOOKUP(C920,'Item Tier Lookup'!$A:$B,2,FALSE)</f>
        <v/>
      </c>
      <c r="F920" s="0">
        <f>VLOOKUP(E920,'Tier Params'!$A:$B,2,FALSE)</f>
        <v/>
      </c>
      <c r="G920" s="0">
        <f>VLOOKUP(E920,'Tier Params'!$A:$C,3,FALSE)</f>
        <v/>
      </c>
      <c r="H920" s="0">
        <f>CEILING(D920/G920,1)</f>
        <v/>
      </c>
      <c r="I920" s="0">
        <f>H920*F920</f>
        <v/>
      </c>
    </row>
    <row r="921">
      <c r="A921" s="0" t="inlineStr">
        <is>
          <t>'Reference sheet'!N923</t>
        </is>
      </c>
      <c r="B921" s="0" t="inlineStr">
        <is>
          <t>Structure Docking Bay</t>
        </is>
      </c>
      <c r="C921" s="0" t="inlineStr">
        <is>
          <t>Aqueous Liquids</t>
        </is>
      </c>
      <c r="D921" s="0" t="n">
        <v>72000</v>
      </c>
      <c r="E921" s="0">
        <f>VLOOKUP(C921,'Item Tier Lookup'!$A:$B,2,FALSE)</f>
        <v/>
      </c>
      <c r="F921" s="0">
        <f>VLOOKUP(E921,'Tier Params'!$A:$B,2,FALSE)</f>
        <v/>
      </c>
      <c r="G921" s="0">
        <f>VLOOKUP(E921,'Tier Params'!$A:$C,3,FALSE)</f>
        <v/>
      </c>
      <c r="H921" s="0">
        <f>CEILING(D921/G921,1)</f>
        <v/>
      </c>
      <c r="I921" s="0">
        <f>H921*F921</f>
        <v/>
      </c>
    </row>
    <row r="922">
      <c r="A922" s="0" t="inlineStr">
        <is>
          <t>'Reference sheet'!N924</t>
        </is>
      </c>
      <c r="B922" s="0" t="inlineStr">
        <is>
          <t>Structure Docking Bay</t>
        </is>
      </c>
      <c r="C922" s="0" t="inlineStr">
        <is>
          <t>Electrolytes</t>
        </is>
      </c>
      <c r="D922" s="0" t="n">
        <v>480</v>
      </c>
      <c r="E922" s="0">
        <f>VLOOKUP(C922,'Item Tier Lookup'!$A:$B,2,FALSE)</f>
        <v/>
      </c>
      <c r="F922" s="0">
        <f>VLOOKUP(E922,'Tier Params'!$A:$B,2,FALSE)</f>
        <v/>
      </c>
      <c r="G922" s="0">
        <f>VLOOKUP(E922,'Tier Params'!$A:$C,3,FALSE)</f>
        <v/>
      </c>
      <c r="H922" s="0">
        <f>CEILING(D922/G922,1)</f>
        <v/>
      </c>
      <c r="I922" s="0">
        <f>H922*F922</f>
        <v/>
      </c>
    </row>
    <row r="923">
      <c r="A923" s="0" t="inlineStr">
        <is>
          <t>'Reference sheet'!N925</t>
        </is>
      </c>
      <c r="B923" s="0" t="inlineStr">
        <is>
          <t>Structure Docking Bay</t>
        </is>
      </c>
      <c r="C923" s="0" t="inlineStr">
        <is>
          <t>Ionic Solutions</t>
        </is>
      </c>
      <c r="D923" s="0" t="n">
        <v>72000</v>
      </c>
      <c r="E923" s="0">
        <f>VLOOKUP(C923,'Item Tier Lookup'!$A:$B,2,FALSE)</f>
        <v/>
      </c>
      <c r="F923" s="0">
        <f>VLOOKUP(E923,'Tier Params'!$A:$B,2,FALSE)</f>
        <v/>
      </c>
      <c r="G923" s="0">
        <f>VLOOKUP(E923,'Tier Params'!$A:$C,3,FALSE)</f>
        <v/>
      </c>
      <c r="H923" s="0">
        <f>CEILING(D923/G923,1)</f>
        <v/>
      </c>
      <c r="I923" s="0">
        <f>H923*F923</f>
        <v/>
      </c>
    </row>
    <row r="924">
      <c r="A924" s="0" t="inlineStr">
        <is>
          <t>'Reference sheet'!N926</t>
        </is>
      </c>
      <c r="B924" s="0" t="inlineStr">
        <is>
          <t>Structure Docking Bay</t>
        </is>
      </c>
      <c r="C924" s="0" t="inlineStr">
        <is>
          <t>Oxides</t>
        </is>
      </c>
      <c r="D924" s="0" t="n">
        <v>60</v>
      </c>
      <c r="E924" s="0">
        <f>VLOOKUP(C924,'Item Tier Lookup'!$A:$B,2,FALSE)</f>
        <v/>
      </c>
      <c r="F924" s="0">
        <f>VLOOKUP(E924,'Tier Params'!$A:$B,2,FALSE)</f>
        <v/>
      </c>
      <c r="G924" s="0">
        <f>VLOOKUP(E924,'Tier Params'!$A:$C,3,FALSE)</f>
        <v/>
      </c>
      <c r="H924" s="0">
        <f>CEILING(D924/G924,1)</f>
        <v/>
      </c>
      <c r="I924" s="0">
        <f>H924*F924</f>
        <v/>
      </c>
    </row>
    <row r="925">
      <c r="A925" s="0" t="inlineStr">
        <is>
          <t>'Reference sheet'!N927</t>
        </is>
      </c>
      <c r="B925" s="0" t="inlineStr">
        <is>
          <t>Structure Docking Bay</t>
        </is>
      </c>
      <c r="C925" s="0" t="inlineStr">
        <is>
          <t>Oxidizing Compound</t>
        </is>
      </c>
      <c r="D925" s="0" t="n">
        <v>480</v>
      </c>
      <c r="E925" s="0">
        <f>VLOOKUP(C925,'Item Tier Lookup'!$A:$B,2,FALSE)</f>
        <v/>
      </c>
      <c r="F925" s="0">
        <f>VLOOKUP(E925,'Tier Params'!$A:$B,2,FALSE)</f>
        <v/>
      </c>
      <c r="G925" s="0">
        <f>VLOOKUP(E925,'Tier Params'!$A:$C,3,FALSE)</f>
        <v/>
      </c>
      <c r="H925" s="0">
        <f>CEILING(D925/G925,1)</f>
        <v/>
      </c>
      <c r="I925" s="0">
        <f>H925*F925</f>
        <v/>
      </c>
    </row>
    <row r="926">
      <c r="A926" s="0" t="inlineStr">
        <is>
          <t>'Reference sheet'!N928</t>
        </is>
      </c>
      <c r="B926" s="0" t="inlineStr">
        <is>
          <t>Structure Docking Bay</t>
        </is>
      </c>
      <c r="C926" s="0" t="inlineStr">
        <is>
          <t>Reactive Gas</t>
        </is>
      </c>
      <c r="D926" s="0" t="n">
        <v>72000</v>
      </c>
      <c r="E926" s="0">
        <f>VLOOKUP(C926,'Item Tier Lookup'!$A:$B,2,FALSE)</f>
        <v/>
      </c>
      <c r="F926" s="0">
        <f>VLOOKUP(E926,'Tier Params'!$A:$B,2,FALSE)</f>
        <v/>
      </c>
      <c r="G926" s="0">
        <f>VLOOKUP(E926,'Tier Params'!$A:$C,3,FALSE)</f>
        <v/>
      </c>
      <c r="H926" s="0">
        <f>CEILING(D926/G926,1)</f>
        <v/>
      </c>
      <c r="I926" s="0">
        <f>H926*F926</f>
        <v/>
      </c>
    </row>
    <row r="927">
      <c r="A927" s="0" t="inlineStr">
        <is>
          <t>'Reference sheet'!N929</t>
        </is>
      </c>
      <c r="B927" s="0" t="inlineStr">
        <is>
          <t>Structure Docking Bay</t>
        </is>
      </c>
      <c r="C927" s="0" t="inlineStr">
        <is>
          <t>Oxygen</t>
        </is>
      </c>
      <c r="D927" s="0" t="n">
        <v>480</v>
      </c>
      <c r="E927" s="0">
        <f>VLOOKUP(C927,'Item Tier Lookup'!$A:$B,2,FALSE)</f>
        <v/>
      </c>
      <c r="F927" s="0">
        <f>VLOOKUP(E927,'Tier Params'!$A:$B,2,FALSE)</f>
        <v/>
      </c>
      <c r="G927" s="0">
        <f>VLOOKUP(E927,'Tier Params'!$A:$C,3,FALSE)</f>
        <v/>
      </c>
      <c r="H927" s="0">
        <f>CEILING(D927/G927,1)</f>
        <v/>
      </c>
      <c r="I927" s="0">
        <f>H927*F927</f>
        <v/>
      </c>
    </row>
    <row r="928">
      <c r="A928" s="0" t="inlineStr">
        <is>
          <t>'Reference sheet'!N930</t>
        </is>
      </c>
      <c r="B928" s="0" t="inlineStr">
        <is>
          <t>Structure Docking Bay</t>
        </is>
      </c>
      <c r="C928" s="0" t="inlineStr">
        <is>
          <t>Noble Gas</t>
        </is>
      </c>
      <c r="D928" s="0" t="n">
        <v>72000</v>
      </c>
      <c r="E928" s="0">
        <f>VLOOKUP(C928,'Item Tier Lookup'!$A:$B,2,FALSE)</f>
        <v/>
      </c>
      <c r="F928" s="0">
        <f>VLOOKUP(E928,'Tier Params'!$A:$B,2,FALSE)</f>
        <v/>
      </c>
      <c r="G928" s="0">
        <f>VLOOKUP(E928,'Tier Params'!$A:$C,3,FALSE)</f>
        <v/>
      </c>
      <c r="H928" s="0">
        <f>CEILING(D928/G928,1)</f>
        <v/>
      </c>
      <c r="I928" s="0">
        <f>H928*F928</f>
        <v/>
      </c>
    </row>
    <row r="929">
      <c r="A929" s="0" t="inlineStr">
        <is>
          <t>'Reference sheet'!N931</t>
        </is>
      </c>
      <c r="B929" s="0" t="inlineStr">
        <is>
          <t>Structure Docking Bay</t>
        </is>
      </c>
      <c r="C929" s="0" t="inlineStr">
        <is>
          <t>Bacteria</t>
        </is>
      </c>
      <c r="D929" s="0" t="n">
        <v>120</v>
      </c>
      <c r="E929" s="0">
        <f>VLOOKUP(C929,'Item Tier Lookup'!$A:$B,2,FALSE)</f>
        <v/>
      </c>
      <c r="F929" s="0">
        <f>VLOOKUP(E929,'Tier Params'!$A:$B,2,FALSE)</f>
        <v/>
      </c>
      <c r="G929" s="0">
        <f>VLOOKUP(E929,'Tier Params'!$A:$C,3,FALSE)</f>
        <v/>
      </c>
      <c r="H929" s="0">
        <f>CEILING(D929/G929,1)</f>
        <v/>
      </c>
      <c r="I929" s="0">
        <f>H929*F929</f>
        <v/>
      </c>
    </row>
    <row r="930">
      <c r="A930" s="0" t="inlineStr">
        <is>
          <t>'Reference sheet'!N932</t>
        </is>
      </c>
      <c r="B930" s="0" t="inlineStr">
        <is>
          <t>Structure Docking Bay</t>
        </is>
      </c>
      <c r="C930" s="0" t="inlineStr">
        <is>
          <t>Microorganisms</t>
        </is>
      </c>
      <c r="D930" s="0" t="n">
        <v>18000</v>
      </c>
      <c r="E930" s="0">
        <f>VLOOKUP(C930,'Item Tier Lookup'!$A:$B,2,FALSE)</f>
        <v/>
      </c>
      <c r="F930" s="0">
        <f>VLOOKUP(E930,'Tier Params'!$A:$B,2,FALSE)</f>
        <v/>
      </c>
      <c r="G930" s="0">
        <f>VLOOKUP(E930,'Tier Params'!$A:$C,3,FALSE)</f>
        <v/>
      </c>
      <c r="H930" s="0">
        <f>CEILING(D930/G930,1)</f>
        <v/>
      </c>
      <c r="I930" s="0">
        <f>H930*F930</f>
        <v/>
      </c>
    </row>
    <row r="931">
      <c r="A931" s="0" t="inlineStr">
        <is>
          <t>'Reference sheet'!N933</t>
        </is>
      </c>
      <c r="B931" s="0" t="inlineStr">
        <is>
          <t>Structure Docking Bay</t>
        </is>
      </c>
      <c r="C931" s="0" t="inlineStr">
        <is>
          <t>Robotics</t>
        </is>
      </c>
      <c r="D931" s="0" t="n">
        <v>18</v>
      </c>
      <c r="E931" s="0">
        <f>VLOOKUP(C931,'Item Tier Lookup'!$A:$B,2,FALSE)</f>
        <v/>
      </c>
      <c r="F931" s="0">
        <f>VLOOKUP(E931,'Tier Params'!$A:$B,2,FALSE)</f>
        <v/>
      </c>
      <c r="G931" s="0">
        <f>VLOOKUP(E931,'Tier Params'!$A:$C,3,FALSE)</f>
        <v/>
      </c>
      <c r="H931" s="0">
        <f>CEILING(D931/G931,1)</f>
        <v/>
      </c>
      <c r="I931" s="0">
        <f>H931*F931</f>
        <v/>
      </c>
    </row>
    <row r="932">
      <c r="A932" s="0" t="inlineStr">
        <is>
          <t>'Reference sheet'!N934</t>
        </is>
      </c>
      <c r="B932" s="0" t="inlineStr">
        <is>
          <t>Structure Docking Bay</t>
        </is>
      </c>
      <c r="C932" s="0" t="inlineStr">
        <is>
          <t>Mechanical Parts</t>
        </is>
      </c>
      <c r="D932" s="0" t="n">
        <v>60</v>
      </c>
      <c r="E932" s="0">
        <f>VLOOKUP(C932,'Item Tier Lookup'!$A:$B,2,FALSE)</f>
        <v/>
      </c>
      <c r="F932" s="0">
        <f>VLOOKUP(E932,'Tier Params'!$A:$B,2,FALSE)</f>
        <v/>
      </c>
      <c r="G932" s="0">
        <f>VLOOKUP(E932,'Tier Params'!$A:$C,3,FALSE)</f>
        <v/>
      </c>
      <c r="H932" s="0">
        <f>CEILING(D932/G932,1)</f>
        <v/>
      </c>
      <c r="I932" s="0">
        <f>H932*F932</f>
        <v/>
      </c>
    </row>
    <row r="933">
      <c r="A933" s="0" t="inlineStr">
        <is>
          <t>'Reference sheet'!N935</t>
        </is>
      </c>
      <c r="B933" s="0" t="inlineStr">
        <is>
          <t>Structure Docking Bay</t>
        </is>
      </c>
      <c r="C933" s="0" t="inlineStr">
        <is>
          <t>Reactive Metals</t>
        </is>
      </c>
      <c r="D933" s="0" t="n">
        <v>480</v>
      </c>
      <c r="E933" s="0">
        <f>VLOOKUP(C933,'Item Tier Lookup'!$A:$B,2,FALSE)</f>
        <v/>
      </c>
      <c r="F933" s="0">
        <f>VLOOKUP(E933,'Tier Params'!$A:$B,2,FALSE)</f>
        <v/>
      </c>
      <c r="G933" s="0">
        <f>VLOOKUP(E933,'Tier Params'!$A:$C,3,FALSE)</f>
        <v/>
      </c>
      <c r="H933" s="0">
        <f>CEILING(D933/G933,1)</f>
        <v/>
      </c>
      <c r="I933" s="0">
        <f>H933*F933</f>
        <v/>
      </c>
    </row>
    <row r="934">
      <c r="A934" s="0" t="inlineStr">
        <is>
          <t>'Reference sheet'!N936</t>
        </is>
      </c>
      <c r="B934" s="0" t="inlineStr">
        <is>
          <t>Structure Docking Bay</t>
        </is>
      </c>
      <c r="C934" s="0" t="inlineStr">
        <is>
          <t>Base Metals</t>
        </is>
      </c>
      <c r="D934" s="0" t="n">
        <v>72000</v>
      </c>
      <c r="E934" s="0">
        <f>VLOOKUP(C934,'Item Tier Lookup'!$A:$B,2,FALSE)</f>
        <v/>
      </c>
      <c r="F934" s="0">
        <f>VLOOKUP(E934,'Tier Params'!$A:$B,2,FALSE)</f>
        <v/>
      </c>
      <c r="G934" s="0">
        <f>VLOOKUP(E934,'Tier Params'!$A:$C,3,FALSE)</f>
        <v/>
      </c>
      <c r="H934" s="0">
        <f>CEILING(D934/G934,1)</f>
        <v/>
      </c>
      <c r="I934" s="0">
        <f>H934*F934</f>
        <v/>
      </c>
    </row>
    <row r="935">
      <c r="A935" s="0" t="inlineStr">
        <is>
          <t>'Reference sheet'!N937</t>
        </is>
      </c>
      <c r="B935" s="0" t="inlineStr">
        <is>
          <t>Structure Docking Bay</t>
        </is>
      </c>
      <c r="C935" s="0" t="inlineStr">
        <is>
          <t>Precious Metals</t>
        </is>
      </c>
      <c r="D935" s="0" t="n">
        <v>480</v>
      </c>
      <c r="E935" s="0">
        <f>VLOOKUP(C935,'Item Tier Lookup'!$A:$B,2,FALSE)</f>
        <v/>
      </c>
      <c r="F935" s="0">
        <f>VLOOKUP(E935,'Tier Params'!$A:$B,2,FALSE)</f>
        <v/>
      </c>
      <c r="G935" s="0">
        <f>VLOOKUP(E935,'Tier Params'!$A:$C,3,FALSE)</f>
        <v/>
      </c>
      <c r="H935" s="0">
        <f>CEILING(D935/G935,1)</f>
        <v/>
      </c>
      <c r="I935" s="0">
        <f>H935*F935</f>
        <v/>
      </c>
    </row>
    <row r="936">
      <c r="A936" s="0" t="inlineStr">
        <is>
          <t>'Reference sheet'!N938</t>
        </is>
      </c>
      <c r="B936" s="0" t="inlineStr">
        <is>
          <t>Structure Docking Bay</t>
        </is>
      </c>
      <c r="C936" s="0" t="inlineStr">
        <is>
          <t>Noble Metals</t>
        </is>
      </c>
      <c r="D936" s="0" t="n">
        <v>72000</v>
      </c>
      <c r="E936" s="0">
        <f>VLOOKUP(C936,'Item Tier Lookup'!$A:$B,2,FALSE)</f>
        <v/>
      </c>
      <c r="F936" s="0">
        <f>VLOOKUP(E936,'Tier Params'!$A:$B,2,FALSE)</f>
        <v/>
      </c>
      <c r="G936" s="0">
        <f>VLOOKUP(E936,'Tier Params'!$A:$C,3,FALSE)</f>
        <v/>
      </c>
      <c r="H936" s="0">
        <f>CEILING(D936/G936,1)</f>
        <v/>
      </c>
      <c r="I936" s="0">
        <f>H936*F936</f>
        <v/>
      </c>
    </row>
    <row r="937">
      <c r="A937" s="0" t="inlineStr">
        <is>
          <t>'Reference sheet'!N939</t>
        </is>
      </c>
      <c r="B937" s="0" t="inlineStr">
        <is>
          <t>Structure Docking Bay</t>
        </is>
      </c>
      <c r="C937" s="0" t="inlineStr">
        <is>
          <t>Consumer Electronics</t>
        </is>
      </c>
      <c r="D937" s="0" t="n">
        <v>60</v>
      </c>
      <c r="E937" s="0">
        <f>VLOOKUP(C937,'Item Tier Lookup'!$A:$B,2,FALSE)</f>
        <v/>
      </c>
      <c r="F937" s="0">
        <f>VLOOKUP(E937,'Tier Params'!$A:$B,2,FALSE)</f>
        <v/>
      </c>
      <c r="G937" s="0">
        <f>VLOOKUP(E937,'Tier Params'!$A:$C,3,FALSE)</f>
        <v/>
      </c>
      <c r="H937" s="0">
        <f>CEILING(D937/G937,1)</f>
        <v/>
      </c>
      <c r="I937" s="0">
        <f>H937*F937</f>
        <v/>
      </c>
    </row>
    <row r="938">
      <c r="A938" s="0" t="inlineStr">
        <is>
          <t>'Reference sheet'!N940</t>
        </is>
      </c>
      <c r="B938" s="0" t="inlineStr">
        <is>
          <t>Structure Docking Bay</t>
        </is>
      </c>
      <c r="C938" s="0" t="inlineStr">
        <is>
          <t>Toxic Metals</t>
        </is>
      </c>
      <c r="D938" s="0" t="n">
        <v>480</v>
      </c>
      <c r="E938" s="0">
        <f>VLOOKUP(C938,'Item Tier Lookup'!$A:$B,2,FALSE)</f>
        <v/>
      </c>
      <c r="F938" s="0">
        <f>VLOOKUP(E938,'Tier Params'!$A:$B,2,FALSE)</f>
        <v/>
      </c>
      <c r="G938" s="0">
        <f>VLOOKUP(E938,'Tier Params'!$A:$C,3,FALSE)</f>
        <v/>
      </c>
      <c r="H938" s="0">
        <f>CEILING(D938/G938,1)</f>
        <v/>
      </c>
      <c r="I938" s="0">
        <f>H938*F938</f>
        <v/>
      </c>
    </row>
    <row r="939">
      <c r="A939" s="0" t="inlineStr">
        <is>
          <t>'Reference sheet'!N941</t>
        </is>
      </c>
      <c r="B939" s="0" t="inlineStr">
        <is>
          <t>Structure Docking Bay</t>
        </is>
      </c>
      <c r="C939" s="0" t="inlineStr">
        <is>
          <t>Heavy Metals</t>
        </is>
      </c>
      <c r="D939" s="0" t="n">
        <v>72000</v>
      </c>
      <c r="E939" s="0">
        <f>VLOOKUP(C939,'Item Tier Lookup'!$A:$B,2,FALSE)</f>
        <v/>
      </c>
      <c r="F939" s="0">
        <f>VLOOKUP(E939,'Tier Params'!$A:$B,2,FALSE)</f>
        <v/>
      </c>
      <c r="G939" s="0">
        <f>VLOOKUP(E939,'Tier Params'!$A:$C,3,FALSE)</f>
        <v/>
      </c>
      <c r="H939" s="0">
        <f>CEILING(D939/G939,1)</f>
        <v/>
      </c>
      <c r="I939" s="0">
        <f>H939*F939</f>
        <v/>
      </c>
    </row>
    <row r="940">
      <c r="A940" s="0" t="inlineStr">
        <is>
          <t>'Reference sheet'!N942</t>
        </is>
      </c>
      <c r="B940" s="0" t="inlineStr">
        <is>
          <t>Structure Docking Bay</t>
        </is>
      </c>
      <c r="C940" s="0" t="inlineStr">
        <is>
          <t>Chiral Structures</t>
        </is>
      </c>
      <c r="D940" s="0" t="n">
        <v>480</v>
      </c>
      <c r="E940" s="0">
        <f>VLOOKUP(C940,'Item Tier Lookup'!$A:$B,2,FALSE)</f>
        <v/>
      </c>
      <c r="F940" s="0">
        <f>VLOOKUP(E940,'Tier Params'!$A:$B,2,FALSE)</f>
        <v/>
      </c>
      <c r="G940" s="0">
        <f>VLOOKUP(E940,'Tier Params'!$A:$C,3,FALSE)</f>
        <v/>
      </c>
      <c r="H940" s="0">
        <f>CEILING(D940/G940,1)</f>
        <v/>
      </c>
      <c r="I940" s="0">
        <f>H940*F940</f>
        <v/>
      </c>
    </row>
    <row r="941">
      <c r="A941" s="0" t="inlineStr">
        <is>
          <t>'Reference sheet'!N943</t>
        </is>
      </c>
      <c r="B941" s="0" t="inlineStr">
        <is>
          <t>Structure Docking Bay</t>
        </is>
      </c>
      <c r="C941" s="0" t="inlineStr">
        <is>
          <t>Non-CS Crystals</t>
        </is>
      </c>
      <c r="D941" s="0" t="n">
        <v>72000</v>
      </c>
      <c r="E941" s="0">
        <f>VLOOKUP(C941,'Item Tier Lookup'!$A:$B,2,FALSE)</f>
        <v/>
      </c>
      <c r="F941" s="0">
        <f>VLOOKUP(E941,'Tier Params'!$A:$B,2,FALSE)</f>
        <v/>
      </c>
      <c r="G941" s="0">
        <f>VLOOKUP(E941,'Tier Params'!$A:$C,3,FALSE)</f>
        <v/>
      </c>
      <c r="H941" s="0">
        <f>CEILING(D941/G941,1)</f>
        <v/>
      </c>
      <c r="I941" s="0">
        <f>H941*F941</f>
        <v/>
      </c>
    </row>
    <row r="942">
      <c r="A942" s="0" t="inlineStr">
        <is>
          <t>'Reference sheet'!N944</t>
        </is>
      </c>
      <c r="B942" s="0" t="inlineStr">
        <is>
          <t>Structure Docking Bay</t>
        </is>
      </c>
      <c r="C942" s="0" t="inlineStr">
        <is>
          <t>Recursive Computing Module</t>
        </is>
      </c>
      <c r="D942" s="0" t="n">
        <v>5</v>
      </c>
      <c r="E942" s="0">
        <f>VLOOKUP(C942,'Item Tier Lookup'!$A:$B,2,FALSE)</f>
        <v/>
      </c>
      <c r="F942" s="0">
        <f>VLOOKUP(E942,'Tier Params'!$A:$B,2,FALSE)</f>
        <v/>
      </c>
      <c r="G942" s="0">
        <f>VLOOKUP(E942,'Tier Params'!$A:$C,3,FALSE)</f>
        <v/>
      </c>
      <c r="H942" s="0">
        <f>CEILING(D942/G942,1)</f>
        <v/>
      </c>
      <c r="I942" s="0">
        <f>H942*F942</f>
        <v/>
      </c>
    </row>
    <row r="943">
      <c r="A943" s="0" t="inlineStr">
        <is>
          <t>'Reference sheet'!N945</t>
        </is>
      </c>
      <c r="B943" s="0" t="inlineStr">
        <is>
          <t>Structure Docking Bay</t>
        </is>
      </c>
      <c r="C943" s="0" t="inlineStr">
        <is>
          <t>Synthetic Synapses</t>
        </is>
      </c>
      <c r="D943" s="0" t="n">
        <v>30</v>
      </c>
      <c r="E943" s="0">
        <f>VLOOKUP(C943,'Item Tier Lookup'!$A:$B,2,FALSE)</f>
        <v/>
      </c>
      <c r="F943" s="0">
        <f>VLOOKUP(E943,'Tier Params'!$A:$B,2,FALSE)</f>
        <v/>
      </c>
      <c r="G943" s="0">
        <f>VLOOKUP(E943,'Tier Params'!$A:$C,3,FALSE)</f>
        <v/>
      </c>
      <c r="H943" s="0">
        <f>CEILING(D943/G943,1)</f>
        <v/>
      </c>
      <c r="I943" s="0">
        <f>H943*F943</f>
        <v/>
      </c>
    </row>
    <row r="944">
      <c r="A944" s="0" t="inlineStr">
        <is>
          <t>'Reference sheet'!N946</t>
        </is>
      </c>
      <c r="B944" s="0" t="inlineStr">
        <is>
          <t>Structure Docking Bay</t>
        </is>
      </c>
      <c r="C944" s="0" t="inlineStr">
        <is>
          <t>Supertensile Plastics</t>
        </is>
      </c>
      <c r="D944" s="0" t="n">
        <v>100</v>
      </c>
      <c r="E944" s="0">
        <f>VLOOKUP(C944,'Item Tier Lookup'!$A:$B,2,FALSE)</f>
        <v/>
      </c>
      <c r="F944" s="0">
        <f>VLOOKUP(E944,'Tier Params'!$A:$B,2,FALSE)</f>
        <v/>
      </c>
      <c r="G944" s="0">
        <f>VLOOKUP(E944,'Tier Params'!$A:$C,3,FALSE)</f>
        <v/>
      </c>
      <c r="H944" s="0">
        <f>CEILING(D944/G944,1)</f>
        <v/>
      </c>
      <c r="I944" s="0">
        <f>H944*F944</f>
        <v/>
      </c>
    </row>
    <row r="945">
      <c r="A945" s="0" t="inlineStr">
        <is>
          <t>'Reference sheet'!N947</t>
        </is>
      </c>
      <c r="B945" s="0" t="inlineStr">
        <is>
          <t>Structure Docking Bay</t>
        </is>
      </c>
      <c r="C945" s="0" t="inlineStr">
        <is>
          <t>Oxygen</t>
        </is>
      </c>
      <c r="D945" s="0" t="n">
        <v>800</v>
      </c>
      <c r="E945" s="0">
        <f>VLOOKUP(C945,'Item Tier Lookup'!$A:$B,2,FALSE)</f>
        <v/>
      </c>
      <c r="F945" s="0">
        <f>VLOOKUP(E945,'Tier Params'!$A:$B,2,FALSE)</f>
        <v/>
      </c>
      <c r="G945" s="0">
        <f>VLOOKUP(E945,'Tier Params'!$A:$C,3,FALSE)</f>
        <v/>
      </c>
      <c r="H945" s="0">
        <f>CEILING(D945/G945,1)</f>
        <v/>
      </c>
      <c r="I945" s="0">
        <f>H945*F945</f>
        <v/>
      </c>
    </row>
    <row r="946">
      <c r="A946" s="0" t="inlineStr">
        <is>
          <t>'Reference sheet'!N948</t>
        </is>
      </c>
      <c r="B946" s="0" t="inlineStr">
        <is>
          <t>Structure Docking Bay</t>
        </is>
      </c>
      <c r="C946" s="0" t="inlineStr">
        <is>
          <t>Noble Gas</t>
        </is>
      </c>
      <c r="D946" s="0" t="n">
        <v>120000</v>
      </c>
      <c r="E946" s="0">
        <f>VLOOKUP(C946,'Item Tier Lookup'!$A:$B,2,FALSE)</f>
        <v/>
      </c>
      <c r="F946" s="0">
        <f>VLOOKUP(E946,'Tier Params'!$A:$B,2,FALSE)</f>
        <v/>
      </c>
      <c r="G946" s="0">
        <f>VLOOKUP(E946,'Tier Params'!$A:$C,3,FALSE)</f>
        <v/>
      </c>
      <c r="H946" s="0">
        <f>CEILING(D946/G946,1)</f>
        <v/>
      </c>
      <c r="I946" s="0">
        <f>H946*F946</f>
        <v/>
      </c>
    </row>
    <row r="947">
      <c r="A947" s="0" t="inlineStr">
        <is>
          <t>'Reference sheet'!N949</t>
        </is>
      </c>
      <c r="B947" s="0" t="inlineStr">
        <is>
          <t>Structure Docking Bay</t>
        </is>
      </c>
      <c r="C947" s="0" t="inlineStr">
        <is>
          <t>Biomass</t>
        </is>
      </c>
      <c r="D947" s="0" t="n">
        <v>800</v>
      </c>
      <c r="E947" s="0">
        <f>VLOOKUP(C947,'Item Tier Lookup'!$A:$B,2,FALSE)</f>
        <v/>
      </c>
      <c r="F947" s="0">
        <f>VLOOKUP(E947,'Tier Params'!$A:$B,2,FALSE)</f>
        <v/>
      </c>
      <c r="G947" s="0">
        <f>VLOOKUP(E947,'Tier Params'!$A:$C,3,FALSE)</f>
        <v/>
      </c>
      <c r="H947" s="0">
        <f>CEILING(D947/G947,1)</f>
        <v/>
      </c>
      <c r="I947" s="0">
        <f>H947*F947</f>
        <v/>
      </c>
    </row>
    <row r="948">
      <c r="A948" s="0" t="inlineStr">
        <is>
          <t>'Reference sheet'!N950</t>
        </is>
      </c>
      <c r="B948" s="0" t="inlineStr">
        <is>
          <t>Structure Docking Bay</t>
        </is>
      </c>
      <c r="C948" s="0" t="inlineStr">
        <is>
          <t>Planktic Colonies</t>
        </is>
      </c>
      <c r="D948" s="0" t="n">
        <v>120000</v>
      </c>
      <c r="E948" s="0">
        <f>VLOOKUP(C948,'Item Tier Lookup'!$A:$B,2,FALSE)</f>
        <v/>
      </c>
      <c r="F948" s="0">
        <f>VLOOKUP(E948,'Tier Params'!$A:$B,2,FALSE)</f>
        <v/>
      </c>
      <c r="G948" s="0">
        <f>VLOOKUP(E948,'Tier Params'!$A:$C,3,FALSE)</f>
        <v/>
      </c>
      <c r="H948" s="0">
        <f>CEILING(D948/G948,1)</f>
        <v/>
      </c>
      <c r="I948" s="0">
        <f>H948*F948</f>
        <v/>
      </c>
    </row>
    <row r="949">
      <c r="A949" s="0" t="inlineStr">
        <is>
          <t>'Reference sheet'!N951</t>
        </is>
      </c>
      <c r="B949" s="0" t="inlineStr">
        <is>
          <t>Structure Docking Bay</t>
        </is>
      </c>
      <c r="C949" s="0" t="inlineStr">
        <is>
          <t>Test Cultures</t>
        </is>
      </c>
      <c r="D949" s="0" t="n">
        <v>100</v>
      </c>
      <c r="E949" s="0">
        <f>VLOOKUP(C949,'Item Tier Lookup'!$A:$B,2,FALSE)</f>
        <v/>
      </c>
      <c r="F949" s="0">
        <f>VLOOKUP(E949,'Tier Params'!$A:$B,2,FALSE)</f>
        <v/>
      </c>
      <c r="G949" s="0">
        <f>VLOOKUP(E949,'Tier Params'!$A:$C,3,FALSE)</f>
        <v/>
      </c>
      <c r="H949" s="0">
        <f>CEILING(D949/G949,1)</f>
        <v/>
      </c>
      <c r="I949" s="0">
        <f>H949*F949</f>
        <v/>
      </c>
    </row>
    <row r="950">
      <c r="A950" s="0" t="inlineStr">
        <is>
          <t>'Reference sheet'!N952</t>
        </is>
      </c>
      <c r="B950" s="0" t="inlineStr">
        <is>
          <t>Structure Docking Bay</t>
        </is>
      </c>
      <c r="C950" s="0" t="inlineStr">
        <is>
          <t>Bacteria</t>
        </is>
      </c>
      <c r="D950" s="0" t="n">
        <v>800</v>
      </c>
      <c r="E950" s="0">
        <f>VLOOKUP(C950,'Item Tier Lookup'!$A:$B,2,FALSE)</f>
        <v/>
      </c>
      <c r="F950" s="0">
        <f>VLOOKUP(E950,'Tier Params'!$A:$B,2,FALSE)</f>
        <v/>
      </c>
      <c r="G950" s="0">
        <f>VLOOKUP(E950,'Tier Params'!$A:$C,3,FALSE)</f>
        <v/>
      </c>
      <c r="H950" s="0">
        <f>CEILING(D950/G950,1)</f>
        <v/>
      </c>
      <c r="I950" s="0">
        <f>H950*F950</f>
        <v/>
      </c>
    </row>
    <row r="951">
      <c r="A951" s="0" t="inlineStr">
        <is>
          <t>'Reference sheet'!N953</t>
        </is>
      </c>
      <c r="B951" s="0" t="inlineStr">
        <is>
          <t>Structure Docking Bay</t>
        </is>
      </c>
      <c r="C951" s="0" t="inlineStr">
        <is>
          <t>Microorganisms</t>
        </is>
      </c>
      <c r="D951" s="0" t="n">
        <v>120000</v>
      </c>
      <c r="E951" s="0">
        <f>VLOOKUP(C951,'Item Tier Lookup'!$A:$B,2,FALSE)</f>
        <v/>
      </c>
      <c r="F951" s="0">
        <f>VLOOKUP(E951,'Tier Params'!$A:$B,2,FALSE)</f>
        <v/>
      </c>
      <c r="G951" s="0">
        <f>VLOOKUP(E951,'Tier Params'!$A:$C,3,FALSE)</f>
        <v/>
      </c>
      <c r="H951" s="0">
        <f>CEILING(D951/G951,1)</f>
        <v/>
      </c>
      <c r="I951" s="0">
        <f>H951*F951</f>
        <v/>
      </c>
    </row>
    <row r="952">
      <c r="A952" s="0" t="inlineStr">
        <is>
          <t>'Reference sheet'!N954</t>
        </is>
      </c>
      <c r="B952" s="0" t="inlineStr">
        <is>
          <t>Structure Docking Bay</t>
        </is>
      </c>
      <c r="C952" s="0" t="inlineStr">
        <is>
          <t>Water</t>
        </is>
      </c>
      <c r="D952" s="0" t="n">
        <v>800</v>
      </c>
      <c r="E952" s="0">
        <f>VLOOKUP(C952,'Item Tier Lookup'!$A:$B,2,FALSE)</f>
        <v/>
      </c>
      <c r="F952" s="0">
        <f>VLOOKUP(E952,'Tier Params'!$A:$B,2,FALSE)</f>
        <v/>
      </c>
      <c r="G952" s="0">
        <f>VLOOKUP(E952,'Tier Params'!$A:$C,3,FALSE)</f>
        <v/>
      </c>
      <c r="H952" s="0">
        <f>CEILING(D952/G952,1)</f>
        <v/>
      </c>
      <c r="I952" s="0">
        <f>H952*F952</f>
        <v/>
      </c>
    </row>
    <row r="953">
      <c r="A953" s="0" t="inlineStr">
        <is>
          <t>'Reference sheet'!N955</t>
        </is>
      </c>
      <c r="B953" s="0" t="inlineStr">
        <is>
          <t>Structure Docking Bay</t>
        </is>
      </c>
      <c r="C953" s="0" t="inlineStr">
        <is>
          <t>Aqueous Liquids</t>
        </is>
      </c>
      <c r="D953" s="0" t="n">
        <v>120000</v>
      </c>
      <c r="E953" s="0">
        <f>VLOOKUP(C953,'Item Tier Lookup'!$A:$B,2,FALSE)</f>
        <v/>
      </c>
      <c r="F953" s="0">
        <f>VLOOKUP(E953,'Tier Params'!$A:$B,2,FALSE)</f>
        <v/>
      </c>
      <c r="G953" s="0">
        <f>VLOOKUP(E953,'Tier Params'!$A:$C,3,FALSE)</f>
        <v/>
      </c>
      <c r="H953" s="0">
        <f>CEILING(D953/G953,1)</f>
        <v/>
      </c>
      <c r="I953" s="0">
        <f>H953*F953</f>
        <v/>
      </c>
    </row>
    <row r="954">
      <c r="A954" s="0" t="inlineStr">
        <is>
          <t>'Reference sheet'!N956</t>
        </is>
      </c>
      <c r="B954" s="0" t="inlineStr">
        <is>
          <t>Structure Docking Bay</t>
        </is>
      </c>
      <c r="C954" s="0" t="inlineStr">
        <is>
          <t>Transcranial Microcontrollers</t>
        </is>
      </c>
      <c r="D954" s="0" t="n">
        <v>30</v>
      </c>
      <c r="E954" s="0">
        <f>VLOOKUP(C954,'Item Tier Lookup'!$A:$B,2,FALSE)</f>
        <v/>
      </c>
      <c r="F954" s="0">
        <f>VLOOKUP(E954,'Tier Params'!$A:$B,2,FALSE)</f>
        <v/>
      </c>
      <c r="G954" s="0">
        <f>VLOOKUP(E954,'Tier Params'!$A:$C,3,FALSE)</f>
        <v/>
      </c>
      <c r="H954" s="0">
        <f>CEILING(D954/G954,1)</f>
        <v/>
      </c>
      <c r="I954" s="0">
        <f>H954*F954</f>
        <v/>
      </c>
    </row>
    <row r="955">
      <c r="A955" s="0" t="inlineStr">
        <is>
          <t>'Reference sheet'!N957</t>
        </is>
      </c>
      <c r="B955" s="0" t="inlineStr">
        <is>
          <t>Structure Docking Bay</t>
        </is>
      </c>
      <c r="C955" s="0" t="inlineStr">
        <is>
          <t>Biocells</t>
        </is>
      </c>
      <c r="D955" s="0" t="n">
        <v>100</v>
      </c>
      <c r="E955" s="0">
        <f>VLOOKUP(C955,'Item Tier Lookup'!$A:$B,2,FALSE)</f>
        <v/>
      </c>
      <c r="F955" s="0">
        <f>VLOOKUP(E955,'Tier Params'!$A:$B,2,FALSE)</f>
        <v/>
      </c>
      <c r="G955" s="0">
        <f>VLOOKUP(E955,'Tier Params'!$A:$C,3,FALSE)</f>
        <v/>
      </c>
      <c r="H955" s="0">
        <f>CEILING(D955/G955,1)</f>
        <v/>
      </c>
      <c r="I955" s="0">
        <f>H955*F955</f>
        <v/>
      </c>
    </row>
    <row r="956">
      <c r="A956" s="0" t="inlineStr">
        <is>
          <t>'Reference sheet'!N958</t>
        </is>
      </c>
      <c r="B956" s="0" t="inlineStr">
        <is>
          <t>Structure Docking Bay</t>
        </is>
      </c>
      <c r="C956" s="0" t="inlineStr">
        <is>
          <t>Biofuels</t>
        </is>
      </c>
      <c r="D956" s="0" t="n">
        <v>800</v>
      </c>
      <c r="E956" s="0">
        <f>VLOOKUP(C956,'Item Tier Lookup'!$A:$B,2,FALSE)</f>
        <v/>
      </c>
      <c r="F956" s="0">
        <f>VLOOKUP(E956,'Tier Params'!$A:$B,2,FALSE)</f>
        <v/>
      </c>
      <c r="G956" s="0">
        <f>VLOOKUP(E956,'Tier Params'!$A:$C,3,FALSE)</f>
        <v/>
      </c>
      <c r="H956" s="0">
        <f>CEILING(D956/G956,1)</f>
        <v/>
      </c>
      <c r="I956" s="0">
        <f>H956*F956</f>
        <v/>
      </c>
    </row>
    <row r="957">
      <c r="A957" s="0" t="inlineStr">
        <is>
          <t>'Reference sheet'!N959</t>
        </is>
      </c>
      <c r="B957" s="0" t="inlineStr">
        <is>
          <t>Structure Docking Bay</t>
        </is>
      </c>
      <c r="C957" s="0" t="inlineStr">
        <is>
          <t>Carbon Compounds</t>
        </is>
      </c>
      <c r="D957" s="0" t="n">
        <v>120000</v>
      </c>
      <c r="E957" s="0">
        <f>VLOOKUP(C957,'Item Tier Lookup'!$A:$B,2,FALSE)</f>
        <v/>
      </c>
      <c r="F957" s="0">
        <f>VLOOKUP(E957,'Tier Params'!$A:$B,2,FALSE)</f>
        <v/>
      </c>
      <c r="G957" s="0">
        <f>VLOOKUP(E957,'Tier Params'!$A:$C,3,FALSE)</f>
        <v/>
      </c>
      <c r="H957" s="0">
        <f>CEILING(D957/G957,1)</f>
        <v/>
      </c>
      <c r="I957" s="0">
        <f>H957*F957</f>
        <v/>
      </c>
    </row>
    <row r="958">
      <c r="A958" s="0" t="inlineStr">
        <is>
          <t>'Reference sheet'!N960</t>
        </is>
      </c>
      <c r="B958" s="0" t="inlineStr">
        <is>
          <t>Structure Docking Bay</t>
        </is>
      </c>
      <c r="C958" s="0" t="inlineStr">
        <is>
          <t>Precious Metals</t>
        </is>
      </c>
      <c r="D958" s="0" t="n">
        <v>800</v>
      </c>
      <c r="E958" s="0">
        <f>VLOOKUP(C958,'Item Tier Lookup'!$A:$B,2,FALSE)</f>
        <v/>
      </c>
      <c r="F958" s="0">
        <f>VLOOKUP(E958,'Tier Params'!$A:$B,2,FALSE)</f>
        <v/>
      </c>
      <c r="G958" s="0">
        <f>VLOOKUP(E958,'Tier Params'!$A:$C,3,FALSE)</f>
        <v/>
      </c>
      <c r="H958" s="0">
        <f>CEILING(D958/G958,1)</f>
        <v/>
      </c>
      <c r="I958" s="0">
        <f>H958*F958</f>
        <v/>
      </c>
    </row>
    <row r="959">
      <c r="A959" s="0" t="inlineStr">
        <is>
          <t>'Reference sheet'!N961</t>
        </is>
      </c>
      <c r="B959" s="0" t="inlineStr">
        <is>
          <t>Structure Docking Bay</t>
        </is>
      </c>
      <c r="C959" s="0" t="inlineStr">
        <is>
          <t>Noble Metals</t>
        </is>
      </c>
      <c r="D959" s="0" t="n">
        <v>120000</v>
      </c>
      <c r="E959" s="0">
        <f>VLOOKUP(C959,'Item Tier Lookup'!$A:$B,2,FALSE)</f>
        <v/>
      </c>
      <c r="F959" s="0">
        <f>VLOOKUP(E959,'Tier Params'!$A:$B,2,FALSE)</f>
        <v/>
      </c>
      <c r="G959" s="0">
        <f>VLOOKUP(E959,'Tier Params'!$A:$C,3,FALSE)</f>
        <v/>
      </c>
      <c r="H959" s="0">
        <f>CEILING(D959/G959,1)</f>
        <v/>
      </c>
      <c r="I959" s="0">
        <f>H959*F959</f>
        <v/>
      </c>
    </row>
    <row r="960">
      <c r="A960" s="0" t="inlineStr">
        <is>
          <t>'Reference sheet'!N962</t>
        </is>
      </c>
      <c r="B960" s="0" t="inlineStr">
        <is>
          <t>Structure Docking Bay</t>
        </is>
      </c>
      <c r="C960" s="0" t="inlineStr">
        <is>
          <t>Nanites</t>
        </is>
      </c>
      <c r="D960" s="0" t="n">
        <v>100</v>
      </c>
      <c r="E960" s="0">
        <f>VLOOKUP(C960,'Item Tier Lookup'!$A:$B,2,FALSE)</f>
        <v/>
      </c>
      <c r="F960" s="0">
        <f>VLOOKUP(E960,'Tier Params'!$A:$B,2,FALSE)</f>
        <v/>
      </c>
      <c r="G960" s="0">
        <f>VLOOKUP(E960,'Tier Params'!$A:$C,3,FALSE)</f>
        <v/>
      </c>
      <c r="H960" s="0">
        <f>CEILING(D960/G960,1)</f>
        <v/>
      </c>
      <c r="I960" s="0">
        <f>H960*F960</f>
        <v/>
      </c>
    </row>
    <row r="961">
      <c r="A961" s="0" t="inlineStr">
        <is>
          <t>'Reference sheet'!N963</t>
        </is>
      </c>
      <c r="B961" s="0" t="inlineStr">
        <is>
          <t>Structure Docking Bay</t>
        </is>
      </c>
      <c r="C961" s="0" t="inlineStr">
        <is>
          <t>Bacteria</t>
        </is>
      </c>
      <c r="D961" s="0" t="n">
        <v>800</v>
      </c>
      <c r="E961" s="0">
        <f>VLOOKUP(C961,'Item Tier Lookup'!$A:$B,2,FALSE)</f>
        <v/>
      </c>
      <c r="F961" s="0">
        <f>VLOOKUP(E961,'Tier Params'!$A:$B,2,FALSE)</f>
        <v/>
      </c>
      <c r="G961" s="0">
        <f>VLOOKUP(E961,'Tier Params'!$A:$C,3,FALSE)</f>
        <v/>
      </c>
      <c r="H961" s="0">
        <f>CEILING(D961/G961,1)</f>
        <v/>
      </c>
      <c r="I961" s="0">
        <f>H961*F961</f>
        <v/>
      </c>
    </row>
    <row r="962">
      <c r="A962" s="0" t="inlineStr">
        <is>
          <t>'Reference sheet'!N964</t>
        </is>
      </c>
      <c r="B962" s="0" t="inlineStr">
        <is>
          <t>Structure Docking Bay</t>
        </is>
      </c>
      <c r="C962" s="0" t="inlineStr">
        <is>
          <t>Microorganisms</t>
        </is>
      </c>
      <c r="D962" s="0" t="n">
        <v>120000</v>
      </c>
      <c r="E962" s="0">
        <f>VLOOKUP(C962,'Item Tier Lookup'!$A:$B,2,FALSE)</f>
        <v/>
      </c>
      <c r="F962" s="0">
        <f>VLOOKUP(E962,'Tier Params'!$A:$B,2,FALSE)</f>
        <v/>
      </c>
      <c r="G962" s="0">
        <f>VLOOKUP(E962,'Tier Params'!$A:$C,3,FALSE)</f>
        <v/>
      </c>
      <c r="H962" s="0">
        <f>CEILING(D962/G962,1)</f>
        <v/>
      </c>
      <c r="I962" s="0">
        <f>H962*F962</f>
        <v/>
      </c>
    </row>
    <row r="963">
      <c r="A963" s="0" t="inlineStr">
        <is>
          <t>'Reference sheet'!N965</t>
        </is>
      </c>
      <c r="B963" s="0" t="inlineStr">
        <is>
          <t>Structure Docking Bay</t>
        </is>
      </c>
      <c r="C963" s="0" t="inlineStr">
        <is>
          <t>Reactive Metals</t>
        </is>
      </c>
      <c r="D963" s="0" t="n">
        <v>800</v>
      </c>
      <c r="E963" s="0">
        <f>VLOOKUP(C963,'Item Tier Lookup'!$A:$B,2,FALSE)</f>
        <v/>
      </c>
      <c r="F963" s="0">
        <f>VLOOKUP(E963,'Tier Params'!$A:$B,2,FALSE)</f>
        <v/>
      </c>
      <c r="G963" s="0">
        <f>VLOOKUP(E963,'Tier Params'!$A:$C,3,FALSE)</f>
        <v/>
      </c>
      <c r="H963" s="0">
        <f>CEILING(D963/G963,1)</f>
        <v/>
      </c>
      <c r="I963" s="0">
        <f>H963*F963</f>
        <v/>
      </c>
    </row>
    <row r="964">
      <c r="A964" s="0" t="inlineStr">
        <is>
          <t>'Reference sheet'!N966</t>
        </is>
      </c>
      <c r="B964" s="0" t="inlineStr">
        <is>
          <t>Structure Docking Bay</t>
        </is>
      </c>
      <c r="C964" s="0" t="inlineStr">
        <is>
          <t>Base Metals</t>
        </is>
      </c>
      <c r="D964" s="0" t="n">
        <v>120000</v>
      </c>
      <c r="E964" s="0">
        <f>VLOOKUP(C964,'Item Tier Lookup'!$A:$B,2,FALSE)</f>
        <v/>
      </c>
      <c r="F964" s="0">
        <f>VLOOKUP(E964,'Tier Params'!$A:$B,2,FALSE)</f>
        <v/>
      </c>
      <c r="G964" s="0">
        <f>VLOOKUP(E964,'Tier Params'!$A:$C,3,FALSE)</f>
        <v/>
      </c>
      <c r="H964" s="0">
        <f>CEILING(D964/G964,1)</f>
        <v/>
      </c>
      <c r="I964" s="0">
        <f>H964*F964</f>
        <v/>
      </c>
    </row>
    <row r="965">
      <c r="A965" s="0" t="inlineStr">
        <is>
          <t>'Reference sheet'!N967</t>
        </is>
      </c>
      <c r="B965" s="0" t="inlineStr">
        <is>
          <t>Structure Docking Bay</t>
        </is>
      </c>
      <c r="C965" s="0" t="inlineStr">
        <is>
          <t>Guidance Systems</t>
        </is>
      </c>
      <c r="D965" s="0" t="n">
        <v>30</v>
      </c>
      <c r="E965" s="0">
        <f>VLOOKUP(C965,'Item Tier Lookup'!$A:$B,2,FALSE)</f>
        <v/>
      </c>
      <c r="F965" s="0">
        <f>VLOOKUP(E965,'Tier Params'!$A:$B,2,FALSE)</f>
        <v/>
      </c>
      <c r="G965" s="0">
        <f>VLOOKUP(E965,'Tier Params'!$A:$C,3,FALSE)</f>
        <v/>
      </c>
      <c r="H965" s="0">
        <f>CEILING(D965/G965,1)</f>
        <v/>
      </c>
      <c r="I965" s="0">
        <f>H965*F965</f>
        <v/>
      </c>
    </row>
    <row r="966">
      <c r="A966" s="0" t="inlineStr">
        <is>
          <t>'Reference sheet'!N968</t>
        </is>
      </c>
      <c r="B966" s="0" t="inlineStr">
        <is>
          <t>Structure Docking Bay</t>
        </is>
      </c>
      <c r="C966" s="0" t="inlineStr">
        <is>
          <t>Water-Cooled CPU</t>
        </is>
      </c>
      <c r="D966" s="0" t="n">
        <v>100</v>
      </c>
      <c r="E966" s="0">
        <f>VLOOKUP(C966,'Item Tier Lookup'!$A:$B,2,FALSE)</f>
        <v/>
      </c>
      <c r="F966" s="0">
        <f>VLOOKUP(E966,'Tier Params'!$A:$B,2,FALSE)</f>
        <v/>
      </c>
      <c r="G966" s="0">
        <f>VLOOKUP(E966,'Tier Params'!$A:$C,3,FALSE)</f>
        <v/>
      </c>
      <c r="H966" s="0">
        <f>CEILING(D966/G966,1)</f>
        <v/>
      </c>
      <c r="I966" s="0">
        <f>H966*F966</f>
        <v/>
      </c>
    </row>
    <row r="967">
      <c r="A967" s="0" t="inlineStr">
        <is>
          <t>'Reference sheet'!N969</t>
        </is>
      </c>
      <c r="B967" s="0" t="inlineStr">
        <is>
          <t>Structure Docking Bay</t>
        </is>
      </c>
      <c r="C967" s="0" t="inlineStr">
        <is>
          <t>Water</t>
        </is>
      </c>
      <c r="D967" s="0" t="n">
        <v>800</v>
      </c>
      <c r="E967" s="0">
        <f>VLOOKUP(C967,'Item Tier Lookup'!$A:$B,2,FALSE)</f>
        <v/>
      </c>
      <c r="F967" s="0">
        <f>VLOOKUP(E967,'Tier Params'!$A:$B,2,FALSE)</f>
        <v/>
      </c>
      <c r="G967" s="0">
        <f>VLOOKUP(E967,'Tier Params'!$A:$C,3,FALSE)</f>
        <v/>
      </c>
      <c r="H967" s="0">
        <f>CEILING(D967/G967,1)</f>
        <v/>
      </c>
      <c r="I967" s="0">
        <f>H967*F967</f>
        <v/>
      </c>
    </row>
    <row r="968">
      <c r="A968" s="0" t="inlineStr">
        <is>
          <t>'Reference sheet'!N970</t>
        </is>
      </c>
      <c r="B968" s="0" t="inlineStr">
        <is>
          <t>Structure Docking Bay</t>
        </is>
      </c>
      <c r="C968" s="0" t="inlineStr">
        <is>
          <t>Aqueous Liquids</t>
        </is>
      </c>
      <c r="D968" s="0" t="n">
        <v>120000</v>
      </c>
      <c r="E968" s="0">
        <f>VLOOKUP(C968,'Item Tier Lookup'!$A:$B,2,FALSE)</f>
        <v/>
      </c>
      <c r="F968" s="0">
        <f>VLOOKUP(E968,'Tier Params'!$A:$B,2,FALSE)</f>
        <v/>
      </c>
      <c r="G968" s="0">
        <f>VLOOKUP(E968,'Tier Params'!$A:$C,3,FALSE)</f>
        <v/>
      </c>
      <c r="H968" s="0">
        <f>CEILING(D968/G968,1)</f>
        <v/>
      </c>
      <c r="I968" s="0">
        <f>H968*F968</f>
        <v/>
      </c>
    </row>
    <row r="969">
      <c r="A969" s="0" t="inlineStr">
        <is>
          <t>'Reference sheet'!N971</t>
        </is>
      </c>
      <c r="B969" s="0" t="inlineStr">
        <is>
          <t>Structure Docking Bay</t>
        </is>
      </c>
      <c r="C969" s="0" t="inlineStr">
        <is>
          <t>Reactive Metals</t>
        </is>
      </c>
      <c r="D969" s="0" t="n">
        <v>800</v>
      </c>
      <c r="E969" s="0">
        <f>VLOOKUP(C969,'Item Tier Lookup'!$A:$B,2,FALSE)</f>
        <v/>
      </c>
      <c r="F969" s="0">
        <f>VLOOKUP(E969,'Tier Params'!$A:$B,2,FALSE)</f>
        <v/>
      </c>
      <c r="G969" s="0">
        <f>VLOOKUP(E969,'Tier Params'!$A:$C,3,FALSE)</f>
        <v/>
      </c>
      <c r="H969" s="0">
        <f>CEILING(D969/G969,1)</f>
        <v/>
      </c>
      <c r="I969" s="0">
        <f>H969*F969</f>
        <v/>
      </c>
    </row>
    <row r="970">
      <c r="A970" s="0" t="inlineStr">
        <is>
          <t>'Reference sheet'!N972</t>
        </is>
      </c>
      <c r="B970" s="0" t="inlineStr">
        <is>
          <t>Structure Docking Bay</t>
        </is>
      </c>
      <c r="C970" s="0" t="inlineStr">
        <is>
          <t>Base Metals</t>
        </is>
      </c>
      <c r="D970" s="0" t="n">
        <v>120000</v>
      </c>
      <c r="E970" s="0">
        <f>VLOOKUP(C970,'Item Tier Lookup'!$A:$B,2,FALSE)</f>
        <v/>
      </c>
      <c r="F970" s="0">
        <f>VLOOKUP(E970,'Tier Params'!$A:$B,2,FALSE)</f>
        <v/>
      </c>
      <c r="G970" s="0">
        <f>VLOOKUP(E970,'Tier Params'!$A:$C,3,FALSE)</f>
        <v/>
      </c>
      <c r="H970" s="0">
        <f>CEILING(D970/G970,1)</f>
        <v/>
      </c>
      <c r="I970" s="0">
        <f>H970*F970</f>
        <v/>
      </c>
    </row>
    <row r="971">
      <c r="A971" s="0" t="inlineStr">
        <is>
          <t>'Reference sheet'!N973</t>
        </is>
      </c>
      <c r="B971" s="0" t="inlineStr">
        <is>
          <t>Structure Docking Bay</t>
        </is>
      </c>
      <c r="C971" s="0" t="inlineStr">
        <is>
          <t>Transmitter</t>
        </is>
      </c>
      <c r="D971" s="0" t="n">
        <v>100</v>
      </c>
      <c r="E971" s="0">
        <f>VLOOKUP(C971,'Item Tier Lookup'!$A:$B,2,FALSE)</f>
        <v/>
      </c>
      <c r="F971" s="0">
        <f>VLOOKUP(E971,'Tier Params'!$A:$B,2,FALSE)</f>
        <v/>
      </c>
      <c r="G971" s="0">
        <f>VLOOKUP(E971,'Tier Params'!$A:$C,3,FALSE)</f>
        <v/>
      </c>
      <c r="H971" s="0">
        <f>CEILING(D971/G971,1)</f>
        <v/>
      </c>
      <c r="I971" s="0">
        <f>H971*F971</f>
        <v/>
      </c>
    </row>
    <row r="972">
      <c r="A972" s="0" t="inlineStr">
        <is>
          <t>'Reference sheet'!N974</t>
        </is>
      </c>
      <c r="B972" s="0" t="inlineStr">
        <is>
          <t>Structure Docking Bay</t>
        </is>
      </c>
      <c r="C972" s="0" t="inlineStr">
        <is>
          <t>Chiral Structures</t>
        </is>
      </c>
      <c r="D972" s="0" t="n">
        <v>800</v>
      </c>
      <c r="E972" s="0">
        <f>VLOOKUP(C972,'Item Tier Lookup'!$A:$B,2,FALSE)</f>
        <v/>
      </c>
      <c r="F972" s="0">
        <f>VLOOKUP(E972,'Tier Params'!$A:$B,2,FALSE)</f>
        <v/>
      </c>
      <c r="G972" s="0">
        <f>VLOOKUP(E972,'Tier Params'!$A:$C,3,FALSE)</f>
        <v/>
      </c>
      <c r="H972" s="0">
        <f>CEILING(D972/G972,1)</f>
        <v/>
      </c>
      <c r="I972" s="0">
        <f>H972*F972</f>
        <v/>
      </c>
    </row>
    <row r="973">
      <c r="A973" s="0" t="inlineStr">
        <is>
          <t>'Reference sheet'!N975</t>
        </is>
      </c>
      <c r="B973" s="0" t="inlineStr">
        <is>
          <t>Structure Docking Bay</t>
        </is>
      </c>
      <c r="C973" s="0" t="inlineStr">
        <is>
          <t>Non-CS Crystals</t>
        </is>
      </c>
      <c r="D973" s="0" t="n">
        <v>120000</v>
      </c>
      <c r="E973" s="0">
        <f>VLOOKUP(C973,'Item Tier Lookup'!$A:$B,2,FALSE)</f>
        <v/>
      </c>
      <c r="F973" s="0">
        <f>VLOOKUP(E973,'Tier Params'!$A:$B,2,FALSE)</f>
        <v/>
      </c>
      <c r="G973" s="0">
        <f>VLOOKUP(E973,'Tier Params'!$A:$C,3,FALSE)</f>
        <v/>
      </c>
      <c r="H973" s="0">
        <f>CEILING(D973/G973,1)</f>
        <v/>
      </c>
      <c r="I973" s="0">
        <f>H973*F973</f>
        <v/>
      </c>
    </row>
    <row r="974">
      <c r="A974" s="0" t="inlineStr">
        <is>
          <t>'Reference sheet'!N976</t>
        </is>
      </c>
      <c r="B974" s="0" t="inlineStr">
        <is>
          <t>Structure Docking Bay</t>
        </is>
      </c>
      <c r="C974" s="0" t="inlineStr">
        <is>
          <t>Plasmoids</t>
        </is>
      </c>
      <c r="D974" s="0" t="n">
        <v>800</v>
      </c>
      <c r="E974" s="0">
        <f>VLOOKUP(C974,'Item Tier Lookup'!$A:$B,2,FALSE)</f>
        <v/>
      </c>
      <c r="F974" s="0">
        <f>VLOOKUP(E974,'Tier Params'!$A:$B,2,FALSE)</f>
        <v/>
      </c>
      <c r="G974" s="0">
        <f>VLOOKUP(E974,'Tier Params'!$A:$C,3,FALSE)</f>
        <v/>
      </c>
      <c r="H974" s="0">
        <f>CEILING(D974/G974,1)</f>
        <v/>
      </c>
      <c r="I974" s="0">
        <f>H974*F974</f>
        <v/>
      </c>
    </row>
    <row r="975">
      <c r="A975" s="0" t="inlineStr">
        <is>
          <t>'Reference sheet'!N977</t>
        </is>
      </c>
      <c r="B975" s="0" t="inlineStr">
        <is>
          <t>Structure Docking Bay</t>
        </is>
      </c>
      <c r="C975" s="0" t="inlineStr">
        <is>
          <t>Suspended Plasma</t>
        </is>
      </c>
      <c r="D975" s="0" t="n">
        <v>120000</v>
      </c>
      <c r="E975" s="0">
        <f>VLOOKUP(C975,'Item Tier Lookup'!$A:$B,2,FALSE)</f>
        <v/>
      </c>
      <c r="F975" s="0">
        <f>VLOOKUP(E975,'Tier Params'!$A:$B,2,FALSE)</f>
        <v/>
      </c>
      <c r="G975" s="0">
        <f>VLOOKUP(E975,'Tier Params'!$A:$C,3,FALSE)</f>
        <v/>
      </c>
      <c r="H975" s="0">
        <f>CEILING(D975/G975,1)</f>
        <v/>
      </c>
      <c r="I975" s="0">
        <f>H975*F975</f>
        <v/>
      </c>
    </row>
    <row r="976">
      <c r="A976" s="0" t="inlineStr">
        <is>
          <t>'Reference sheet'!N978</t>
        </is>
      </c>
      <c r="B976" s="0" t="inlineStr">
        <is>
          <t>Structure Docking Bay</t>
        </is>
      </c>
      <c r="C976" s="0" t="inlineStr">
        <is>
          <t>Self-Harmonizing Power Core</t>
        </is>
      </c>
      <c r="D976" s="0" t="n">
        <v>5</v>
      </c>
      <c r="E976" s="0">
        <f>VLOOKUP(C976,'Item Tier Lookup'!$A:$B,2,FALSE)</f>
        <v/>
      </c>
      <c r="F976" s="0">
        <f>VLOOKUP(E976,'Tier Params'!$A:$B,2,FALSE)</f>
        <v/>
      </c>
      <c r="G976" s="0">
        <f>VLOOKUP(E976,'Tier Params'!$A:$C,3,FALSE)</f>
        <v/>
      </c>
      <c r="H976" s="0">
        <f>CEILING(D976/G976,1)</f>
        <v/>
      </c>
      <c r="I976" s="0">
        <f>H976*F976</f>
        <v/>
      </c>
    </row>
    <row r="977">
      <c r="A977" s="0" t="inlineStr">
        <is>
          <t>'Reference sheet'!N979</t>
        </is>
      </c>
      <c r="B977" s="0" t="inlineStr">
        <is>
          <t>Structure Docking Bay</t>
        </is>
      </c>
      <c r="C977" s="0" t="inlineStr">
        <is>
          <t>Nuclear Reactors</t>
        </is>
      </c>
      <c r="D977" s="0" t="n">
        <v>30</v>
      </c>
      <c r="E977" s="0">
        <f>VLOOKUP(C977,'Item Tier Lookup'!$A:$B,2,FALSE)</f>
        <v/>
      </c>
      <c r="F977" s="0">
        <f>VLOOKUP(E977,'Tier Params'!$A:$B,2,FALSE)</f>
        <v/>
      </c>
      <c r="G977" s="0">
        <f>VLOOKUP(E977,'Tier Params'!$A:$C,3,FALSE)</f>
        <v/>
      </c>
      <c r="H977" s="0">
        <f>CEILING(D977/G977,1)</f>
        <v/>
      </c>
      <c r="I977" s="0">
        <f>H977*F977</f>
        <v/>
      </c>
    </row>
    <row r="978">
      <c r="A978" s="0" t="inlineStr">
        <is>
          <t>'Reference sheet'!N980</t>
        </is>
      </c>
      <c r="B978" s="0" t="inlineStr">
        <is>
          <t>Structure Docking Bay</t>
        </is>
      </c>
      <c r="C978" s="0" t="inlineStr">
        <is>
          <t>Enriched Uranium</t>
        </is>
      </c>
      <c r="D978" s="0" t="n">
        <v>100</v>
      </c>
      <c r="E978" s="0">
        <f>VLOOKUP(C978,'Item Tier Lookup'!$A:$B,2,FALSE)</f>
        <v/>
      </c>
      <c r="F978" s="0">
        <f>VLOOKUP(E978,'Tier Params'!$A:$B,2,FALSE)</f>
        <v/>
      </c>
      <c r="G978" s="0">
        <f>VLOOKUP(E978,'Tier Params'!$A:$C,3,FALSE)</f>
        <v/>
      </c>
      <c r="H978" s="0">
        <f>CEILING(D978/G978,1)</f>
        <v/>
      </c>
      <c r="I978" s="0">
        <f>H978*F978</f>
        <v/>
      </c>
    </row>
    <row r="979">
      <c r="A979" s="0" t="inlineStr">
        <is>
          <t>'Reference sheet'!N981</t>
        </is>
      </c>
      <c r="B979" s="0" t="inlineStr">
        <is>
          <t>Structure Docking Bay</t>
        </is>
      </c>
      <c r="C979" s="0" t="inlineStr">
        <is>
          <t>Toxic Metals</t>
        </is>
      </c>
      <c r="D979" s="0" t="n">
        <v>800</v>
      </c>
      <c r="E979" s="0">
        <f>VLOOKUP(C979,'Item Tier Lookup'!$A:$B,2,FALSE)</f>
        <v/>
      </c>
      <c r="F979" s="0">
        <f>VLOOKUP(E979,'Tier Params'!$A:$B,2,FALSE)</f>
        <v/>
      </c>
      <c r="G979" s="0">
        <f>VLOOKUP(E979,'Tier Params'!$A:$C,3,FALSE)</f>
        <v/>
      </c>
      <c r="H979" s="0">
        <f>CEILING(D979/G979,1)</f>
        <v/>
      </c>
      <c r="I979" s="0">
        <f>H979*F979</f>
        <v/>
      </c>
    </row>
    <row r="980">
      <c r="A980" s="0" t="inlineStr">
        <is>
          <t>'Reference sheet'!N982</t>
        </is>
      </c>
      <c r="B980" s="0" t="inlineStr">
        <is>
          <t>Structure Docking Bay</t>
        </is>
      </c>
      <c r="C980" s="0" t="inlineStr">
        <is>
          <t>Heavy Metals</t>
        </is>
      </c>
      <c r="D980" s="0" t="n">
        <v>120000</v>
      </c>
      <c r="E980" s="0">
        <f>VLOOKUP(C980,'Item Tier Lookup'!$A:$B,2,FALSE)</f>
        <v/>
      </c>
      <c r="F980" s="0">
        <f>VLOOKUP(E980,'Tier Params'!$A:$B,2,FALSE)</f>
        <v/>
      </c>
      <c r="G980" s="0">
        <f>VLOOKUP(E980,'Tier Params'!$A:$C,3,FALSE)</f>
        <v/>
      </c>
      <c r="H980" s="0">
        <f>CEILING(D980/G980,1)</f>
        <v/>
      </c>
      <c r="I980" s="0">
        <f>H980*F980</f>
        <v/>
      </c>
    </row>
    <row r="981">
      <c r="A981" s="0" t="inlineStr">
        <is>
          <t>'Reference sheet'!N983</t>
        </is>
      </c>
      <c r="B981" s="0" t="inlineStr">
        <is>
          <t>Structure Docking Bay</t>
        </is>
      </c>
      <c r="C981" s="0" t="inlineStr">
        <is>
          <t>Precious Metals</t>
        </is>
      </c>
      <c r="D981" s="0" t="n">
        <v>800</v>
      </c>
      <c r="E981" s="0">
        <f>VLOOKUP(C981,'Item Tier Lookup'!$A:$B,2,FALSE)</f>
        <v/>
      </c>
      <c r="F981" s="0">
        <f>VLOOKUP(E981,'Tier Params'!$A:$B,2,FALSE)</f>
        <v/>
      </c>
      <c r="G981" s="0">
        <f>VLOOKUP(E981,'Tier Params'!$A:$C,3,FALSE)</f>
        <v/>
      </c>
      <c r="H981" s="0">
        <f>CEILING(D981/G981,1)</f>
        <v/>
      </c>
      <c r="I981" s="0">
        <f>H981*F981</f>
        <v/>
      </c>
    </row>
    <row r="982">
      <c r="A982" s="0" t="inlineStr">
        <is>
          <t>'Reference sheet'!N984</t>
        </is>
      </c>
      <c r="B982" s="0" t="inlineStr">
        <is>
          <t>Structure Docking Bay</t>
        </is>
      </c>
      <c r="C982" s="0" t="inlineStr">
        <is>
          <t>Noble Metals</t>
        </is>
      </c>
      <c r="D982" s="0" t="n">
        <v>120000</v>
      </c>
      <c r="E982" s="0">
        <f>VLOOKUP(C982,'Item Tier Lookup'!$A:$B,2,FALSE)</f>
        <v/>
      </c>
      <c r="F982" s="0">
        <f>VLOOKUP(E982,'Tier Params'!$A:$B,2,FALSE)</f>
        <v/>
      </c>
      <c r="G982" s="0">
        <f>VLOOKUP(E982,'Tier Params'!$A:$C,3,FALSE)</f>
        <v/>
      </c>
      <c r="H982" s="0">
        <f>CEILING(D982/G982,1)</f>
        <v/>
      </c>
      <c r="I982" s="0">
        <f>H982*F982</f>
        <v/>
      </c>
    </row>
    <row r="983">
      <c r="A983" s="0" t="inlineStr">
        <is>
          <t>'Reference sheet'!N985</t>
        </is>
      </c>
      <c r="B983" s="0" t="inlineStr">
        <is>
          <t>Structure Docking Bay</t>
        </is>
      </c>
      <c r="C983" s="0" t="inlineStr">
        <is>
          <t>Microfiber Shielding</t>
        </is>
      </c>
      <c r="D983" s="0" t="n">
        <v>100</v>
      </c>
      <c r="E983" s="0">
        <f>VLOOKUP(C983,'Item Tier Lookup'!$A:$B,2,FALSE)</f>
        <v/>
      </c>
      <c r="F983" s="0">
        <f>VLOOKUP(E983,'Tier Params'!$A:$B,2,FALSE)</f>
        <v/>
      </c>
      <c r="G983" s="0">
        <f>VLOOKUP(E983,'Tier Params'!$A:$C,3,FALSE)</f>
        <v/>
      </c>
      <c r="H983" s="0">
        <f>CEILING(D983/G983,1)</f>
        <v/>
      </c>
      <c r="I983" s="0">
        <f>H983*F983</f>
        <v/>
      </c>
    </row>
    <row r="984">
      <c r="A984" s="0" t="inlineStr">
        <is>
          <t>'Reference sheet'!N986</t>
        </is>
      </c>
      <c r="B984" s="0" t="inlineStr">
        <is>
          <t>Structure Docking Bay</t>
        </is>
      </c>
      <c r="C984" s="0" t="inlineStr">
        <is>
          <t>Silicon</t>
        </is>
      </c>
      <c r="D984" s="0" t="n">
        <v>800</v>
      </c>
      <c r="E984" s="0">
        <f>VLOOKUP(C984,'Item Tier Lookup'!$A:$B,2,FALSE)</f>
        <v/>
      </c>
      <c r="F984" s="0">
        <f>VLOOKUP(E984,'Tier Params'!$A:$B,2,FALSE)</f>
        <v/>
      </c>
      <c r="G984" s="0">
        <f>VLOOKUP(E984,'Tier Params'!$A:$C,3,FALSE)</f>
        <v/>
      </c>
      <c r="H984" s="0">
        <f>CEILING(D984/G984,1)</f>
        <v/>
      </c>
      <c r="I984" s="0">
        <f>H984*F984</f>
        <v/>
      </c>
    </row>
    <row r="985">
      <c r="A985" s="0" t="inlineStr">
        <is>
          <t>'Reference sheet'!N987</t>
        </is>
      </c>
      <c r="B985" s="0" t="inlineStr">
        <is>
          <t>Structure Docking Bay</t>
        </is>
      </c>
      <c r="C985" s="0" t="inlineStr">
        <is>
          <t>Felsic Magma</t>
        </is>
      </c>
      <c r="D985" s="0" t="n">
        <v>120000</v>
      </c>
      <c r="E985" s="0">
        <f>VLOOKUP(C985,'Item Tier Lookup'!$A:$B,2,FALSE)</f>
        <v/>
      </c>
      <c r="F985" s="0">
        <f>VLOOKUP(E985,'Tier Params'!$A:$B,2,FALSE)</f>
        <v/>
      </c>
      <c r="G985" s="0">
        <f>VLOOKUP(E985,'Tier Params'!$A:$C,3,FALSE)</f>
        <v/>
      </c>
      <c r="H985" s="0">
        <f>CEILING(D985/G985,1)</f>
        <v/>
      </c>
      <c r="I985" s="0">
        <f>H985*F985</f>
        <v/>
      </c>
    </row>
    <row r="986">
      <c r="A986" s="0" t="inlineStr">
        <is>
          <t>'Reference sheet'!N988</t>
        </is>
      </c>
      <c r="B986" s="0" t="inlineStr">
        <is>
          <t>Structure Docking Bay</t>
        </is>
      </c>
      <c r="C986" s="0" t="inlineStr">
        <is>
          <t>Industrial Fibers</t>
        </is>
      </c>
      <c r="D986" s="0" t="n">
        <v>800</v>
      </c>
      <c r="E986" s="0">
        <f>VLOOKUP(C986,'Item Tier Lookup'!$A:$B,2,FALSE)</f>
        <v/>
      </c>
      <c r="F986" s="0">
        <f>VLOOKUP(E986,'Tier Params'!$A:$B,2,FALSE)</f>
        <v/>
      </c>
      <c r="G986" s="0">
        <f>VLOOKUP(E986,'Tier Params'!$A:$C,3,FALSE)</f>
        <v/>
      </c>
      <c r="H986" s="0">
        <f>CEILING(D986/G986,1)</f>
        <v/>
      </c>
      <c r="I986" s="0">
        <f>H986*F986</f>
        <v/>
      </c>
    </row>
    <row r="987">
      <c r="A987" s="0" t="inlineStr">
        <is>
          <t>'Reference sheet'!N989</t>
        </is>
      </c>
      <c r="B987" s="0" t="inlineStr">
        <is>
          <t>Structure Docking Bay</t>
        </is>
      </c>
      <c r="C987" s="0" t="inlineStr">
        <is>
          <t>Autotrophs</t>
        </is>
      </c>
      <c r="D987" s="0" t="n">
        <v>120000</v>
      </c>
      <c r="E987" s="0">
        <f>VLOOKUP(C987,'Item Tier Lookup'!$A:$B,2,FALSE)</f>
        <v/>
      </c>
      <c r="F987" s="0">
        <f>VLOOKUP(E987,'Tier Params'!$A:$B,2,FALSE)</f>
        <v/>
      </c>
      <c r="G987" s="0">
        <f>VLOOKUP(E987,'Tier Params'!$A:$C,3,FALSE)</f>
        <v/>
      </c>
      <c r="H987" s="0">
        <f>CEILING(D987/G987,1)</f>
        <v/>
      </c>
      <c r="I987" s="0">
        <f>H987*F987</f>
        <v/>
      </c>
    </row>
    <row r="988">
      <c r="A988" s="0" t="inlineStr">
        <is>
          <t>'Reference sheet'!N990</t>
        </is>
      </c>
      <c r="B988" s="0" t="inlineStr">
        <is>
          <t>Structure Docking Bay</t>
        </is>
      </c>
      <c r="C988" s="0" t="inlineStr">
        <is>
          <t>Camera Drones</t>
        </is>
      </c>
      <c r="D988" s="0" t="n">
        <v>30</v>
      </c>
      <c r="E988" s="0">
        <f>VLOOKUP(C988,'Item Tier Lookup'!$A:$B,2,FALSE)</f>
        <v/>
      </c>
      <c r="F988" s="0">
        <f>VLOOKUP(E988,'Tier Params'!$A:$B,2,FALSE)</f>
        <v/>
      </c>
      <c r="G988" s="0">
        <f>VLOOKUP(E988,'Tier Params'!$A:$C,3,FALSE)</f>
        <v/>
      </c>
      <c r="H988" s="0">
        <f>CEILING(D988/G988,1)</f>
        <v/>
      </c>
      <c r="I988" s="0">
        <f>H988*F988</f>
        <v/>
      </c>
    </row>
    <row r="989">
      <c r="A989" s="0" t="inlineStr">
        <is>
          <t>'Reference sheet'!N991</t>
        </is>
      </c>
      <c r="B989" s="0" t="inlineStr">
        <is>
          <t>Structure Docking Bay</t>
        </is>
      </c>
      <c r="C989" s="0" t="inlineStr">
        <is>
          <t>Rocket Fuel</t>
        </is>
      </c>
      <c r="D989" s="0" t="n">
        <v>100</v>
      </c>
      <c r="E989" s="0">
        <f>VLOOKUP(C989,'Item Tier Lookup'!$A:$B,2,FALSE)</f>
        <v/>
      </c>
      <c r="F989" s="0">
        <f>VLOOKUP(E989,'Tier Params'!$A:$B,2,FALSE)</f>
        <v/>
      </c>
      <c r="G989" s="0">
        <f>VLOOKUP(E989,'Tier Params'!$A:$C,3,FALSE)</f>
        <v/>
      </c>
      <c r="H989" s="0">
        <f>CEILING(D989/G989,1)</f>
        <v/>
      </c>
      <c r="I989" s="0">
        <f>H989*F989</f>
        <v/>
      </c>
    </row>
    <row r="990">
      <c r="A990" s="0" t="inlineStr">
        <is>
          <t>'Reference sheet'!N992</t>
        </is>
      </c>
      <c r="B990" s="0" t="inlineStr">
        <is>
          <t>Structure Docking Bay</t>
        </is>
      </c>
      <c r="C990" s="0" t="inlineStr">
        <is>
          <t>Electrolytes</t>
        </is>
      </c>
      <c r="D990" s="0" t="n">
        <v>800</v>
      </c>
      <c r="E990" s="0">
        <f>VLOOKUP(C990,'Item Tier Lookup'!$A:$B,2,FALSE)</f>
        <v/>
      </c>
      <c r="F990" s="0">
        <f>VLOOKUP(E990,'Tier Params'!$A:$B,2,FALSE)</f>
        <v/>
      </c>
      <c r="G990" s="0">
        <f>VLOOKUP(E990,'Tier Params'!$A:$C,3,FALSE)</f>
        <v/>
      </c>
      <c r="H990" s="0">
        <f>CEILING(D990/G990,1)</f>
        <v/>
      </c>
      <c r="I990" s="0">
        <f>H990*F990</f>
        <v/>
      </c>
    </row>
    <row r="991">
      <c r="A991" s="0" t="inlineStr">
        <is>
          <t>'Reference sheet'!N993</t>
        </is>
      </c>
      <c r="B991" s="0" t="inlineStr">
        <is>
          <t>Structure Docking Bay</t>
        </is>
      </c>
      <c r="C991" s="0" t="inlineStr">
        <is>
          <t>Ionic Solutions</t>
        </is>
      </c>
      <c r="D991" s="0" t="n">
        <v>120000</v>
      </c>
      <c r="E991" s="0">
        <f>VLOOKUP(C991,'Item Tier Lookup'!$A:$B,2,FALSE)</f>
        <v/>
      </c>
      <c r="F991" s="0">
        <f>VLOOKUP(E991,'Tier Params'!$A:$B,2,FALSE)</f>
        <v/>
      </c>
      <c r="G991" s="0">
        <f>VLOOKUP(E991,'Tier Params'!$A:$C,3,FALSE)</f>
        <v/>
      </c>
      <c r="H991" s="0">
        <f>CEILING(D991/G991,1)</f>
        <v/>
      </c>
      <c r="I991" s="0">
        <f>H991*F991</f>
        <v/>
      </c>
    </row>
    <row r="992">
      <c r="A992" s="0" t="inlineStr">
        <is>
          <t>'Reference sheet'!N994</t>
        </is>
      </c>
      <c r="B992" s="0" t="inlineStr">
        <is>
          <t>Structure Docking Bay</t>
        </is>
      </c>
      <c r="C992" s="0" t="inlineStr">
        <is>
          <t>Plasmoids</t>
        </is>
      </c>
      <c r="D992" s="0" t="n">
        <v>800</v>
      </c>
      <c r="E992" s="0">
        <f>VLOOKUP(C992,'Item Tier Lookup'!$A:$B,2,FALSE)</f>
        <v/>
      </c>
      <c r="F992" s="0">
        <f>VLOOKUP(E992,'Tier Params'!$A:$B,2,FALSE)</f>
        <v/>
      </c>
      <c r="G992" s="0">
        <f>VLOOKUP(E992,'Tier Params'!$A:$C,3,FALSE)</f>
        <v/>
      </c>
      <c r="H992" s="0">
        <f>CEILING(D992/G992,1)</f>
        <v/>
      </c>
      <c r="I992" s="0">
        <f>H992*F992</f>
        <v/>
      </c>
    </row>
    <row r="993">
      <c r="A993" s="0" t="inlineStr">
        <is>
          <t>'Reference sheet'!N995</t>
        </is>
      </c>
      <c r="B993" s="0" t="inlineStr">
        <is>
          <t>Structure Docking Bay</t>
        </is>
      </c>
      <c r="C993" s="0" t="inlineStr">
        <is>
          <t>Suspended Plasma</t>
        </is>
      </c>
      <c r="D993" s="0" t="n">
        <v>120000</v>
      </c>
      <c r="E993" s="0">
        <f>VLOOKUP(C993,'Item Tier Lookup'!$A:$B,2,FALSE)</f>
        <v/>
      </c>
      <c r="F993" s="0">
        <f>VLOOKUP(E993,'Tier Params'!$A:$B,2,FALSE)</f>
        <v/>
      </c>
      <c r="G993" s="0">
        <f>VLOOKUP(E993,'Tier Params'!$A:$C,3,FALSE)</f>
        <v/>
      </c>
      <c r="H993" s="0">
        <f>CEILING(D993/G993,1)</f>
        <v/>
      </c>
      <c r="I993" s="0">
        <f>H993*F993</f>
        <v/>
      </c>
    </row>
    <row r="994">
      <c r="A994" s="0" t="inlineStr">
        <is>
          <t>'Reference sheet'!N996</t>
        </is>
      </c>
      <c r="B994" s="0" t="inlineStr">
        <is>
          <t>Structure Docking Bay</t>
        </is>
      </c>
      <c r="C994" s="0" t="inlineStr">
        <is>
          <t>Silicate Glass</t>
        </is>
      </c>
      <c r="D994" s="0" t="n">
        <v>100</v>
      </c>
      <c r="E994" s="0">
        <f>VLOOKUP(C994,'Item Tier Lookup'!$A:$B,2,FALSE)</f>
        <v/>
      </c>
      <c r="F994" s="0">
        <f>VLOOKUP(E994,'Tier Params'!$A:$B,2,FALSE)</f>
        <v/>
      </c>
      <c r="G994" s="0">
        <f>VLOOKUP(E994,'Tier Params'!$A:$C,3,FALSE)</f>
        <v/>
      </c>
      <c r="H994" s="0">
        <f>CEILING(D994/G994,1)</f>
        <v/>
      </c>
      <c r="I994" s="0">
        <f>H994*F994</f>
        <v/>
      </c>
    </row>
    <row r="995">
      <c r="A995" s="0" t="inlineStr">
        <is>
          <t>'Reference sheet'!N997</t>
        </is>
      </c>
      <c r="B995" s="0" t="inlineStr">
        <is>
          <t>Structure Docking Bay</t>
        </is>
      </c>
      <c r="C995" s="0" t="inlineStr">
        <is>
          <t>Oxidizing Compound</t>
        </is>
      </c>
      <c r="D995" s="0" t="n">
        <v>800</v>
      </c>
      <c r="E995" s="0">
        <f>VLOOKUP(C995,'Item Tier Lookup'!$A:$B,2,FALSE)</f>
        <v/>
      </c>
      <c r="F995" s="0">
        <f>VLOOKUP(E995,'Tier Params'!$A:$B,2,FALSE)</f>
        <v/>
      </c>
      <c r="G995" s="0">
        <f>VLOOKUP(E995,'Tier Params'!$A:$C,3,FALSE)</f>
        <v/>
      </c>
      <c r="H995" s="0">
        <f>CEILING(D995/G995,1)</f>
        <v/>
      </c>
      <c r="I995" s="0">
        <f>H995*F995</f>
        <v/>
      </c>
    </row>
    <row r="996">
      <c r="A996" s="0" t="inlineStr">
        <is>
          <t>'Reference sheet'!N998</t>
        </is>
      </c>
      <c r="B996" s="0" t="inlineStr">
        <is>
          <t>Structure Docking Bay</t>
        </is>
      </c>
      <c r="C996" s="0" t="inlineStr">
        <is>
          <t>Reactive Gas</t>
        </is>
      </c>
      <c r="D996" s="0" t="n">
        <v>120000</v>
      </c>
      <c r="E996" s="0">
        <f>VLOOKUP(C996,'Item Tier Lookup'!$A:$B,2,FALSE)</f>
        <v/>
      </c>
      <c r="F996" s="0">
        <f>VLOOKUP(E996,'Tier Params'!$A:$B,2,FALSE)</f>
        <v/>
      </c>
      <c r="G996" s="0">
        <f>VLOOKUP(E996,'Tier Params'!$A:$C,3,FALSE)</f>
        <v/>
      </c>
      <c r="H996" s="0">
        <f>CEILING(D996/G996,1)</f>
        <v/>
      </c>
      <c r="I996" s="0">
        <f>H996*F996</f>
        <v/>
      </c>
    </row>
    <row r="997">
      <c r="A997" s="0" t="inlineStr">
        <is>
          <t>'Reference sheet'!N999</t>
        </is>
      </c>
      <c r="B997" s="0" t="inlineStr">
        <is>
          <t>Structure Docking Bay</t>
        </is>
      </c>
      <c r="C997" s="0" t="inlineStr">
        <is>
          <t>Silicon</t>
        </is>
      </c>
      <c r="D997" s="0" t="n">
        <v>800</v>
      </c>
      <c r="E997" s="0">
        <f>VLOOKUP(C997,'Item Tier Lookup'!$A:$B,2,FALSE)</f>
        <v/>
      </c>
      <c r="F997" s="0">
        <f>VLOOKUP(E997,'Tier Params'!$A:$B,2,FALSE)</f>
        <v/>
      </c>
      <c r="G997" s="0">
        <f>VLOOKUP(E997,'Tier Params'!$A:$C,3,FALSE)</f>
        <v/>
      </c>
      <c r="H997" s="0">
        <f>CEILING(D997/G997,1)</f>
        <v/>
      </c>
      <c r="I997" s="0">
        <f>H997*F997</f>
        <v/>
      </c>
    </row>
    <row r="998">
      <c r="A998" s="0" t="inlineStr">
        <is>
          <t>'Reference sheet'!N1000</t>
        </is>
      </c>
      <c r="B998" s="0" t="inlineStr">
        <is>
          <t>Structure Docking Bay</t>
        </is>
      </c>
      <c r="C998" s="0" t="inlineStr">
        <is>
          <t>Felsic Magma</t>
        </is>
      </c>
      <c r="D998" s="0" t="n">
        <v>120000</v>
      </c>
      <c r="E998" s="0">
        <f>VLOOKUP(C998,'Item Tier Lookup'!$A:$B,2,FALSE)</f>
        <v/>
      </c>
      <c r="F998" s="0">
        <f>VLOOKUP(E998,'Tier Params'!$A:$B,2,FALSE)</f>
        <v/>
      </c>
      <c r="G998" s="0">
        <f>VLOOKUP(E998,'Tier Params'!$A:$C,3,FALSE)</f>
        <v/>
      </c>
      <c r="H998" s="0">
        <f>CEILING(D998/G998,1)</f>
        <v/>
      </c>
      <c r="I998" s="0">
        <f>H998*F998</f>
        <v/>
      </c>
    </row>
    <row r="999">
      <c r="A999" s="0" t="inlineStr">
        <is>
          <t>'Reference sheet'!N1001</t>
        </is>
      </c>
      <c r="B999" s="0" t="inlineStr">
        <is>
          <t>Structure Docking Bay</t>
        </is>
      </c>
      <c r="C999" s="0" t="inlineStr">
        <is>
          <t>Hermetic Membranes</t>
        </is>
      </c>
      <c r="D999" s="0" t="n">
        <v>30</v>
      </c>
      <c r="E999" s="0">
        <f>VLOOKUP(C999,'Item Tier Lookup'!$A:$B,2,FALSE)</f>
        <v/>
      </c>
      <c r="F999" s="0">
        <f>VLOOKUP(E999,'Tier Params'!$A:$B,2,FALSE)</f>
        <v/>
      </c>
      <c r="G999" s="0">
        <f>VLOOKUP(E999,'Tier Params'!$A:$C,3,FALSE)</f>
        <v/>
      </c>
      <c r="H999" s="0">
        <f>CEILING(D999/G999,1)</f>
        <v/>
      </c>
      <c r="I999" s="0">
        <f>H999*F999</f>
        <v/>
      </c>
    </row>
    <row r="1000">
      <c r="A1000" s="0" t="inlineStr">
        <is>
          <t>'Reference sheet'!N1002</t>
        </is>
      </c>
      <c r="B1000" s="0" t="inlineStr">
        <is>
          <t>Structure Docking Bay</t>
        </is>
      </c>
      <c r="C1000" s="0" t="inlineStr">
        <is>
          <t>Polyaramids</t>
        </is>
      </c>
      <c r="D1000" s="0" t="n">
        <v>100</v>
      </c>
      <c r="E1000" s="0">
        <f>VLOOKUP(C1000,'Item Tier Lookup'!$A:$B,2,FALSE)</f>
        <v/>
      </c>
      <c r="F1000" s="0">
        <f>VLOOKUP(E1000,'Tier Params'!$A:$B,2,FALSE)</f>
        <v/>
      </c>
      <c r="G1000" s="0">
        <f>VLOOKUP(E1000,'Tier Params'!$A:$C,3,FALSE)</f>
        <v/>
      </c>
      <c r="H1000" s="0">
        <f>CEILING(D1000/G1000,1)</f>
        <v/>
      </c>
      <c r="I1000" s="0">
        <f>H1000*F1000</f>
        <v/>
      </c>
    </row>
    <row r="1001">
      <c r="A1001" s="0" t="inlineStr">
        <is>
          <t>'Reference sheet'!N1003</t>
        </is>
      </c>
      <c r="B1001" s="0" t="inlineStr">
        <is>
          <t>Structure Docking Bay</t>
        </is>
      </c>
      <c r="C1001" s="0" t="inlineStr">
        <is>
          <t>Oxidizing Compound</t>
        </is>
      </c>
      <c r="D1001" s="0" t="n">
        <v>800</v>
      </c>
      <c r="E1001" s="0">
        <f>VLOOKUP(C1001,'Item Tier Lookup'!$A:$B,2,FALSE)</f>
        <v/>
      </c>
      <c r="F1001" s="0">
        <f>VLOOKUP(E1001,'Tier Params'!$A:$B,2,FALSE)</f>
        <v/>
      </c>
      <c r="G1001" s="0">
        <f>VLOOKUP(E1001,'Tier Params'!$A:$C,3,FALSE)</f>
        <v/>
      </c>
      <c r="H1001" s="0">
        <f>CEILING(D1001/G1001,1)</f>
        <v/>
      </c>
      <c r="I1001" s="0">
        <f>H1001*F1001</f>
        <v/>
      </c>
    </row>
    <row r="1002">
      <c r="A1002" s="0" t="inlineStr">
        <is>
          <t>'Reference sheet'!N1004</t>
        </is>
      </c>
      <c r="B1002" s="0" t="inlineStr">
        <is>
          <t>Structure Docking Bay</t>
        </is>
      </c>
      <c r="C1002" s="0" t="inlineStr">
        <is>
          <t>Reactive Gas</t>
        </is>
      </c>
      <c r="D1002" s="0" t="n">
        <v>120000</v>
      </c>
      <c r="E1002" s="0">
        <f>VLOOKUP(C1002,'Item Tier Lookup'!$A:$B,2,FALSE)</f>
        <v/>
      </c>
      <c r="F1002" s="0">
        <f>VLOOKUP(E1002,'Tier Params'!$A:$B,2,FALSE)</f>
        <v/>
      </c>
      <c r="G1002" s="0">
        <f>VLOOKUP(E1002,'Tier Params'!$A:$C,3,FALSE)</f>
        <v/>
      </c>
      <c r="H1002" s="0">
        <f>CEILING(D1002/G1002,1)</f>
        <v/>
      </c>
      <c r="I1002" s="0">
        <f>H1002*F1002</f>
        <v/>
      </c>
    </row>
    <row r="1003">
      <c r="A1003" s="0" t="inlineStr">
        <is>
          <t>'Reference sheet'!N1005</t>
        </is>
      </c>
      <c r="B1003" s="0" t="inlineStr">
        <is>
          <t>Structure Docking Bay</t>
        </is>
      </c>
      <c r="C1003" s="0" t="inlineStr">
        <is>
          <t>Industrial Fibers</t>
        </is>
      </c>
      <c r="D1003" s="0" t="n">
        <v>800</v>
      </c>
      <c r="E1003" s="0">
        <f>VLOOKUP(C1003,'Item Tier Lookup'!$A:$B,2,FALSE)</f>
        <v/>
      </c>
      <c r="F1003" s="0">
        <f>VLOOKUP(E1003,'Tier Params'!$A:$B,2,FALSE)</f>
        <v/>
      </c>
      <c r="G1003" s="0">
        <f>VLOOKUP(E1003,'Tier Params'!$A:$C,3,FALSE)</f>
        <v/>
      </c>
      <c r="H1003" s="0">
        <f>CEILING(D1003/G1003,1)</f>
        <v/>
      </c>
      <c r="I1003" s="0">
        <f>H1003*F1003</f>
        <v/>
      </c>
    </row>
    <row r="1004">
      <c r="A1004" s="0" t="inlineStr">
        <is>
          <t>'Reference sheet'!N1006</t>
        </is>
      </c>
      <c r="B1004" s="0" t="inlineStr">
        <is>
          <t>Structure Docking Bay</t>
        </is>
      </c>
      <c r="C1004" s="0" t="inlineStr">
        <is>
          <t>Autotrophs</t>
        </is>
      </c>
      <c r="D1004" s="0" t="n">
        <v>120000</v>
      </c>
      <c r="E1004" s="0">
        <f>VLOOKUP(C1004,'Item Tier Lookup'!$A:$B,2,FALSE)</f>
        <v/>
      </c>
      <c r="F1004" s="0">
        <f>VLOOKUP(E1004,'Tier Params'!$A:$B,2,FALSE)</f>
        <v/>
      </c>
      <c r="G1004" s="0">
        <f>VLOOKUP(E1004,'Tier Params'!$A:$C,3,FALSE)</f>
        <v/>
      </c>
      <c r="H1004" s="0">
        <f>CEILING(D1004/G1004,1)</f>
        <v/>
      </c>
      <c r="I1004" s="0">
        <f>H1004*F1004</f>
        <v/>
      </c>
    </row>
    <row r="1005">
      <c r="A1005" s="0" t="inlineStr">
        <is>
          <t>'Reference sheet'!N1007</t>
        </is>
      </c>
      <c r="B1005" s="0" t="inlineStr">
        <is>
          <t>Structure Docking Bay</t>
        </is>
      </c>
      <c r="C1005" s="0" t="inlineStr">
        <is>
          <t>Genetically Enhanced Livestock</t>
        </is>
      </c>
      <c r="D1005" s="0" t="n">
        <v>100</v>
      </c>
      <c r="E1005" s="0">
        <f>VLOOKUP(C1005,'Item Tier Lookup'!$A:$B,2,FALSE)</f>
        <v/>
      </c>
      <c r="F1005" s="0">
        <f>VLOOKUP(E1005,'Tier Params'!$A:$B,2,FALSE)</f>
        <v/>
      </c>
      <c r="G1005" s="0">
        <f>VLOOKUP(E1005,'Tier Params'!$A:$C,3,FALSE)</f>
        <v/>
      </c>
      <c r="H1005" s="0">
        <f>CEILING(D1005/G1005,1)</f>
        <v/>
      </c>
      <c r="I1005" s="0">
        <f>H1005*F1005</f>
        <v/>
      </c>
    </row>
    <row r="1006">
      <c r="A1006" s="0" t="inlineStr">
        <is>
          <t>'Reference sheet'!N1008</t>
        </is>
      </c>
      <c r="B1006" s="0" t="inlineStr">
        <is>
          <t>Structure Docking Bay</t>
        </is>
      </c>
      <c r="C1006" s="0" t="inlineStr">
        <is>
          <t>Proteins</t>
        </is>
      </c>
      <c r="D1006" s="0" t="n">
        <v>800</v>
      </c>
      <c r="E1006" s="0">
        <f>VLOOKUP(C1006,'Item Tier Lookup'!$A:$B,2,FALSE)</f>
        <v/>
      </c>
      <c r="F1006" s="0">
        <f>VLOOKUP(E1006,'Tier Params'!$A:$B,2,FALSE)</f>
        <v/>
      </c>
      <c r="G1006" s="0">
        <f>VLOOKUP(E1006,'Tier Params'!$A:$C,3,FALSE)</f>
        <v/>
      </c>
      <c r="H1006" s="0">
        <f>CEILING(D1006/G1006,1)</f>
        <v/>
      </c>
      <c r="I1006" s="0">
        <f>H1006*F1006</f>
        <v/>
      </c>
    </row>
    <row r="1007">
      <c r="A1007" s="0" t="inlineStr">
        <is>
          <t>'Reference sheet'!N1009</t>
        </is>
      </c>
      <c r="B1007" s="0" t="inlineStr">
        <is>
          <t>Structure Docking Bay</t>
        </is>
      </c>
      <c r="C1007" s="0" t="inlineStr">
        <is>
          <t>Complex Organisms</t>
        </is>
      </c>
      <c r="D1007" s="0" t="n">
        <v>120000</v>
      </c>
      <c r="E1007" s="0">
        <f>VLOOKUP(C1007,'Item Tier Lookup'!$A:$B,2,FALSE)</f>
        <v/>
      </c>
      <c r="F1007" s="0">
        <f>VLOOKUP(E1007,'Tier Params'!$A:$B,2,FALSE)</f>
        <v/>
      </c>
      <c r="G1007" s="0">
        <f>VLOOKUP(E1007,'Tier Params'!$A:$C,3,FALSE)</f>
        <v/>
      </c>
      <c r="H1007" s="0">
        <f>CEILING(D1007/G1007,1)</f>
        <v/>
      </c>
      <c r="I1007" s="0">
        <f>H1007*F1007</f>
        <v/>
      </c>
    </row>
    <row r="1008">
      <c r="A1008" s="0" t="inlineStr">
        <is>
          <t>'Reference sheet'!N1010</t>
        </is>
      </c>
      <c r="B1008" s="0" t="inlineStr">
        <is>
          <t>Structure Docking Bay</t>
        </is>
      </c>
      <c r="C1008" s="0" t="inlineStr">
        <is>
          <t>Biomass</t>
        </is>
      </c>
      <c r="D1008" s="0" t="n">
        <v>800</v>
      </c>
      <c r="E1008" s="0">
        <f>VLOOKUP(C1008,'Item Tier Lookup'!$A:$B,2,FALSE)</f>
        <v/>
      </c>
      <c r="F1008" s="0">
        <f>VLOOKUP(E1008,'Tier Params'!$A:$B,2,FALSE)</f>
        <v/>
      </c>
      <c r="G1008" s="0">
        <f>VLOOKUP(E1008,'Tier Params'!$A:$C,3,FALSE)</f>
        <v/>
      </c>
      <c r="H1008" s="0">
        <f>CEILING(D1008/G1008,1)</f>
        <v/>
      </c>
      <c r="I1008" s="0">
        <f>H1008*F1008</f>
        <v/>
      </c>
    </row>
    <row r="1009">
      <c r="A1009" s="0" t="inlineStr">
        <is>
          <t>'Reference sheet'!N1011</t>
        </is>
      </c>
      <c r="B1009" s="0" t="inlineStr">
        <is>
          <t>Structure Docking Bay</t>
        </is>
      </c>
      <c r="C1009" s="0" t="inlineStr">
        <is>
          <t>Planktic Colonies</t>
        </is>
      </c>
      <c r="D1009" s="0" t="n">
        <v>120000</v>
      </c>
      <c r="E1009" s="0">
        <f>VLOOKUP(C1009,'Item Tier Lookup'!$A:$B,2,FALSE)</f>
        <v/>
      </c>
      <c r="F1009" s="0">
        <f>VLOOKUP(E1009,'Tier Params'!$A:$B,2,FALSE)</f>
        <v/>
      </c>
      <c r="G1009" s="0">
        <f>VLOOKUP(E1009,'Tier Params'!$A:$C,3,FALSE)</f>
        <v/>
      </c>
      <c r="H1009" s="0">
        <f>CEILING(D1009/G1009,1)</f>
        <v/>
      </c>
      <c r="I1009" s="0">
        <f>H1009*F1009</f>
        <v/>
      </c>
    </row>
    <row r="1010">
      <c r="A1010" s="0" t="inlineStr">
        <is>
          <t>'Reference sheet'!N1012</t>
        </is>
      </c>
      <c r="B1010" s="0" t="inlineStr">
        <is>
          <t>Structure Docking Bay</t>
        </is>
      </c>
      <c r="C1010" s="0" t="inlineStr">
        <is>
          <t>Wetware Mainframe</t>
        </is>
      </c>
      <c r="D1010" s="0" t="n">
        <v>3</v>
      </c>
      <c r="E1010" s="0">
        <f>VLOOKUP(C1010,'Item Tier Lookup'!$A:$B,2,FALSE)</f>
        <v/>
      </c>
      <c r="F1010" s="0">
        <f>VLOOKUP(E1010,'Tier Params'!$A:$B,2,FALSE)</f>
        <v/>
      </c>
      <c r="G1010" s="0">
        <f>VLOOKUP(E1010,'Tier Params'!$A:$C,3,FALSE)</f>
        <v/>
      </c>
      <c r="H1010" s="0">
        <f>CEILING(D1010/G1010,1)</f>
        <v/>
      </c>
      <c r="I1010" s="0">
        <f>H1010*F1010</f>
        <v/>
      </c>
    </row>
    <row r="1011">
      <c r="A1011" s="0" t="inlineStr">
        <is>
          <t>'Reference sheet'!N1013</t>
        </is>
      </c>
      <c r="B1011" s="0" t="inlineStr">
        <is>
          <t>Structure Docking Bay</t>
        </is>
      </c>
      <c r="C1011" s="0" t="inlineStr">
        <is>
          <t>Supercomputers</t>
        </is>
      </c>
      <c r="D1011" s="0" t="n">
        <v>18</v>
      </c>
      <c r="E1011" s="0">
        <f>VLOOKUP(C1011,'Item Tier Lookup'!$A:$B,2,FALSE)</f>
        <v/>
      </c>
      <c r="F1011" s="0">
        <f>VLOOKUP(E1011,'Tier Params'!$A:$B,2,FALSE)</f>
        <v/>
      </c>
      <c r="G1011" s="0">
        <f>VLOOKUP(E1011,'Tier Params'!$A:$C,3,FALSE)</f>
        <v/>
      </c>
      <c r="H1011" s="0">
        <f>CEILING(D1011/G1011,1)</f>
        <v/>
      </c>
      <c r="I1011" s="0">
        <f>H1011*F1011</f>
        <v/>
      </c>
    </row>
    <row r="1012">
      <c r="A1012" s="0" t="inlineStr">
        <is>
          <t>'Reference sheet'!N1014</t>
        </is>
      </c>
      <c r="B1012" s="0" t="inlineStr">
        <is>
          <t>Structure Docking Bay</t>
        </is>
      </c>
      <c r="C1012" s="0" t="inlineStr">
        <is>
          <t>Water-Cooled CPU</t>
        </is>
      </c>
      <c r="D1012" s="0" t="n">
        <v>60</v>
      </c>
      <c r="E1012" s="0">
        <f>VLOOKUP(C1012,'Item Tier Lookup'!$A:$B,2,FALSE)</f>
        <v/>
      </c>
      <c r="F1012" s="0">
        <f>VLOOKUP(E1012,'Tier Params'!$A:$B,2,FALSE)</f>
        <v/>
      </c>
      <c r="G1012" s="0">
        <f>VLOOKUP(E1012,'Tier Params'!$A:$C,3,FALSE)</f>
        <v/>
      </c>
      <c r="H1012" s="0">
        <f>CEILING(D1012/G1012,1)</f>
        <v/>
      </c>
      <c r="I1012" s="0">
        <f>H1012*F1012</f>
        <v/>
      </c>
    </row>
    <row r="1013">
      <c r="A1013" s="0" t="inlineStr">
        <is>
          <t>'Reference sheet'!N1015</t>
        </is>
      </c>
      <c r="B1013" s="0" t="inlineStr">
        <is>
          <t>Structure Docking Bay</t>
        </is>
      </c>
      <c r="C1013" s="0" t="inlineStr">
        <is>
          <t>Water</t>
        </is>
      </c>
      <c r="D1013" s="0" t="n">
        <v>480</v>
      </c>
      <c r="E1013" s="0">
        <f>VLOOKUP(C1013,'Item Tier Lookup'!$A:$B,2,FALSE)</f>
        <v/>
      </c>
      <c r="F1013" s="0">
        <f>VLOOKUP(E1013,'Tier Params'!$A:$B,2,FALSE)</f>
        <v/>
      </c>
      <c r="G1013" s="0">
        <f>VLOOKUP(E1013,'Tier Params'!$A:$C,3,FALSE)</f>
        <v/>
      </c>
      <c r="H1013" s="0">
        <f>CEILING(D1013/G1013,1)</f>
        <v/>
      </c>
      <c r="I1013" s="0">
        <f>H1013*F1013</f>
        <v/>
      </c>
    </row>
    <row r="1014">
      <c r="A1014" s="0" t="inlineStr">
        <is>
          <t>'Reference sheet'!N1016</t>
        </is>
      </c>
      <c r="B1014" s="0" t="inlineStr">
        <is>
          <t>Structure Docking Bay</t>
        </is>
      </c>
      <c r="C1014" s="0" t="inlineStr">
        <is>
          <t>Aqueous Liquids</t>
        </is>
      </c>
      <c r="D1014" s="0" t="n">
        <v>72000</v>
      </c>
      <c r="E1014" s="0">
        <f>VLOOKUP(C1014,'Item Tier Lookup'!$A:$B,2,FALSE)</f>
        <v/>
      </c>
      <c r="F1014" s="0">
        <f>VLOOKUP(E1014,'Tier Params'!$A:$B,2,FALSE)</f>
        <v/>
      </c>
      <c r="G1014" s="0">
        <f>VLOOKUP(E1014,'Tier Params'!$A:$C,3,FALSE)</f>
        <v/>
      </c>
      <c r="H1014" s="0">
        <f>CEILING(D1014/G1014,1)</f>
        <v/>
      </c>
      <c r="I1014" s="0">
        <f>H1014*F1014</f>
        <v/>
      </c>
    </row>
    <row r="1015">
      <c r="A1015" s="0" t="inlineStr">
        <is>
          <t>'Reference sheet'!N1017</t>
        </is>
      </c>
      <c r="B1015" s="0" t="inlineStr">
        <is>
          <t>Structure Docking Bay</t>
        </is>
      </c>
      <c r="C1015" s="0" t="inlineStr">
        <is>
          <t>Reactive Metals</t>
        </is>
      </c>
      <c r="D1015" s="0" t="n">
        <v>480</v>
      </c>
      <c r="E1015" s="0">
        <f>VLOOKUP(C1015,'Item Tier Lookup'!$A:$B,2,FALSE)</f>
        <v/>
      </c>
      <c r="F1015" s="0">
        <f>VLOOKUP(E1015,'Tier Params'!$A:$B,2,FALSE)</f>
        <v/>
      </c>
      <c r="G1015" s="0">
        <f>VLOOKUP(E1015,'Tier Params'!$A:$C,3,FALSE)</f>
        <v/>
      </c>
      <c r="H1015" s="0">
        <f>CEILING(D1015/G1015,1)</f>
        <v/>
      </c>
      <c r="I1015" s="0">
        <f>H1015*F1015</f>
        <v/>
      </c>
    </row>
    <row r="1016">
      <c r="A1016" s="0" t="inlineStr">
        <is>
          <t>'Reference sheet'!N1018</t>
        </is>
      </c>
      <c r="B1016" s="0" t="inlineStr">
        <is>
          <t>Structure Docking Bay</t>
        </is>
      </c>
      <c r="C1016" s="0" t="inlineStr">
        <is>
          <t>Base Metals</t>
        </is>
      </c>
      <c r="D1016" s="0" t="n">
        <v>72000</v>
      </c>
      <c r="E1016" s="0">
        <f>VLOOKUP(C1016,'Item Tier Lookup'!$A:$B,2,FALSE)</f>
        <v/>
      </c>
      <c r="F1016" s="0">
        <f>VLOOKUP(E1016,'Tier Params'!$A:$B,2,FALSE)</f>
        <v/>
      </c>
      <c r="G1016" s="0">
        <f>VLOOKUP(E1016,'Tier Params'!$A:$C,3,FALSE)</f>
        <v/>
      </c>
      <c r="H1016" s="0">
        <f>CEILING(D1016/G1016,1)</f>
        <v/>
      </c>
      <c r="I1016" s="0">
        <f>H1016*F1016</f>
        <v/>
      </c>
    </row>
    <row r="1017">
      <c r="A1017" s="0" t="inlineStr">
        <is>
          <t>'Reference sheet'!N1019</t>
        </is>
      </c>
      <c r="B1017" s="0" t="inlineStr">
        <is>
          <t>Structure Docking Bay</t>
        </is>
      </c>
      <c r="C1017" s="0" t="inlineStr">
        <is>
          <t>Coolant</t>
        </is>
      </c>
      <c r="D1017" s="0" t="n">
        <v>60</v>
      </c>
      <c r="E1017" s="0">
        <f>VLOOKUP(C1017,'Item Tier Lookup'!$A:$B,2,FALSE)</f>
        <v/>
      </c>
      <c r="F1017" s="0">
        <f>VLOOKUP(E1017,'Tier Params'!$A:$B,2,FALSE)</f>
        <v/>
      </c>
      <c r="G1017" s="0">
        <f>VLOOKUP(E1017,'Tier Params'!$A:$C,3,FALSE)</f>
        <v/>
      </c>
      <c r="H1017" s="0">
        <f>CEILING(D1017/G1017,1)</f>
        <v/>
      </c>
      <c r="I1017" s="0">
        <f>H1017*F1017</f>
        <v/>
      </c>
    </row>
    <row r="1018">
      <c r="A1018" s="0" t="inlineStr">
        <is>
          <t>'Reference sheet'!N1020</t>
        </is>
      </c>
      <c r="B1018" s="0" t="inlineStr">
        <is>
          <t>Structure Docking Bay</t>
        </is>
      </c>
      <c r="C1018" s="0" t="inlineStr">
        <is>
          <t>Water</t>
        </is>
      </c>
      <c r="D1018" s="0" t="n">
        <v>480</v>
      </c>
      <c r="E1018" s="0">
        <f>VLOOKUP(C1018,'Item Tier Lookup'!$A:$B,2,FALSE)</f>
        <v/>
      </c>
      <c r="F1018" s="0">
        <f>VLOOKUP(E1018,'Tier Params'!$A:$B,2,FALSE)</f>
        <v/>
      </c>
      <c r="G1018" s="0">
        <f>VLOOKUP(E1018,'Tier Params'!$A:$C,3,FALSE)</f>
        <v/>
      </c>
      <c r="H1018" s="0">
        <f>CEILING(D1018/G1018,1)</f>
        <v/>
      </c>
      <c r="I1018" s="0">
        <f>H1018*F1018</f>
        <v/>
      </c>
    </row>
    <row r="1019">
      <c r="A1019" s="0" t="inlineStr">
        <is>
          <t>'Reference sheet'!N1021</t>
        </is>
      </c>
      <c r="B1019" s="0" t="inlineStr">
        <is>
          <t>Structure Docking Bay</t>
        </is>
      </c>
      <c r="C1019" s="0" t="inlineStr">
        <is>
          <t>Aqueous Liquids</t>
        </is>
      </c>
      <c r="D1019" s="0" t="n">
        <v>72000</v>
      </c>
      <c r="E1019" s="0">
        <f>VLOOKUP(C1019,'Item Tier Lookup'!$A:$B,2,FALSE)</f>
        <v/>
      </c>
      <c r="F1019" s="0">
        <f>VLOOKUP(E1019,'Tier Params'!$A:$B,2,FALSE)</f>
        <v/>
      </c>
      <c r="G1019" s="0">
        <f>VLOOKUP(E1019,'Tier Params'!$A:$C,3,FALSE)</f>
        <v/>
      </c>
      <c r="H1019" s="0">
        <f>CEILING(D1019/G1019,1)</f>
        <v/>
      </c>
      <c r="I1019" s="0">
        <f>H1019*F1019</f>
        <v/>
      </c>
    </row>
    <row r="1020">
      <c r="A1020" s="0" t="inlineStr">
        <is>
          <t>'Reference sheet'!N1022</t>
        </is>
      </c>
      <c r="B1020" s="0" t="inlineStr">
        <is>
          <t>Structure Docking Bay</t>
        </is>
      </c>
      <c r="C1020" s="0" t="inlineStr">
        <is>
          <t>Electrolytes</t>
        </is>
      </c>
      <c r="D1020" s="0" t="n">
        <v>480</v>
      </c>
      <c r="E1020" s="0">
        <f>VLOOKUP(C1020,'Item Tier Lookup'!$A:$B,2,FALSE)</f>
        <v/>
      </c>
      <c r="F1020" s="0">
        <f>VLOOKUP(E1020,'Tier Params'!$A:$B,2,FALSE)</f>
        <v/>
      </c>
      <c r="G1020" s="0">
        <f>VLOOKUP(E1020,'Tier Params'!$A:$C,3,FALSE)</f>
        <v/>
      </c>
      <c r="H1020" s="0">
        <f>CEILING(D1020/G1020,1)</f>
        <v/>
      </c>
      <c r="I1020" s="0">
        <f>H1020*F1020</f>
        <v/>
      </c>
    </row>
    <row r="1021">
      <c r="A1021" s="0" t="inlineStr">
        <is>
          <t>'Reference sheet'!N1023</t>
        </is>
      </c>
      <c r="B1021" s="0" t="inlineStr">
        <is>
          <t>Structure Docking Bay</t>
        </is>
      </c>
      <c r="C1021" s="0" t="inlineStr">
        <is>
          <t>Ionic Solutions</t>
        </is>
      </c>
      <c r="D1021" s="0" t="n">
        <v>72000</v>
      </c>
      <c r="E1021" s="0">
        <f>VLOOKUP(C1021,'Item Tier Lookup'!$A:$B,2,FALSE)</f>
        <v/>
      </c>
      <c r="F1021" s="0">
        <f>VLOOKUP(E1021,'Tier Params'!$A:$B,2,FALSE)</f>
        <v/>
      </c>
      <c r="G1021" s="0">
        <f>VLOOKUP(E1021,'Tier Params'!$A:$C,3,FALSE)</f>
        <v/>
      </c>
      <c r="H1021" s="0">
        <f>CEILING(D1021/G1021,1)</f>
        <v/>
      </c>
      <c r="I1021" s="0">
        <f>H1021*F1021</f>
        <v/>
      </c>
    </row>
    <row r="1022">
      <c r="A1022" s="0" t="inlineStr">
        <is>
          <t>'Reference sheet'!N1024</t>
        </is>
      </c>
      <c r="B1022" s="0" t="inlineStr">
        <is>
          <t>Structure Docking Bay</t>
        </is>
      </c>
      <c r="C1022" s="0" t="inlineStr">
        <is>
          <t>Consumer Electronics</t>
        </is>
      </c>
      <c r="D1022" s="0" t="n">
        <v>60</v>
      </c>
      <c r="E1022" s="0">
        <f>VLOOKUP(C1022,'Item Tier Lookup'!$A:$B,2,FALSE)</f>
        <v/>
      </c>
      <c r="F1022" s="0">
        <f>VLOOKUP(E1022,'Tier Params'!$A:$B,2,FALSE)</f>
        <v/>
      </c>
      <c r="G1022" s="0">
        <f>VLOOKUP(E1022,'Tier Params'!$A:$C,3,FALSE)</f>
        <v/>
      </c>
      <c r="H1022" s="0">
        <f>CEILING(D1022/G1022,1)</f>
        <v/>
      </c>
      <c r="I1022" s="0">
        <f>H1022*F1022</f>
        <v/>
      </c>
    </row>
    <row r="1023">
      <c r="A1023" s="0" t="inlineStr">
        <is>
          <t>'Reference sheet'!N1025</t>
        </is>
      </c>
      <c r="B1023" s="0" t="inlineStr">
        <is>
          <t>Structure Docking Bay</t>
        </is>
      </c>
      <c r="C1023" s="0" t="inlineStr">
        <is>
          <t>Toxic Metals</t>
        </is>
      </c>
      <c r="D1023" s="0" t="n">
        <v>480</v>
      </c>
      <c r="E1023" s="0">
        <f>VLOOKUP(C1023,'Item Tier Lookup'!$A:$B,2,FALSE)</f>
        <v/>
      </c>
      <c r="F1023" s="0">
        <f>VLOOKUP(E1023,'Tier Params'!$A:$B,2,FALSE)</f>
        <v/>
      </c>
      <c r="G1023" s="0">
        <f>VLOOKUP(E1023,'Tier Params'!$A:$C,3,FALSE)</f>
        <v/>
      </c>
      <c r="H1023" s="0">
        <f>CEILING(D1023/G1023,1)</f>
        <v/>
      </c>
      <c r="I1023" s="0">
        <f>H1023*F1023</f>
        <v/>
      </c>
    </row>
    <row r="1024">
      <c r="A1024" s="0" t="inlineStr">
        <is>
          <t>'Reference sheet'!N1026</t>
        </is>
      </c>
      <c r="B1024" s="0" t="inlineStr">
        <is>
          <t>Structure Docking Bay</t>
        </is>
      </c>
      <c r="C1024" s="0" t="inlineStr">
        <is>
          <t>Heavy Metals</t>
        </is>
      </c>
      <c r="D1024" s="0" t="n">
        <v>72000</v>
      </c>
      <c r="E1024" s="0">
        <f>VLOOKUP(C1024,'Item Tier Lookup'!$A:$B,2,FALSE)</f>
        <v/>
      </c>
      <c r="F1024" s="0">
        <f>VLOOKUP(E1024,'Tier Params'!$A:$B,2,FALSE)</f>
        <v/>
      </c>
      <c r="G1024" s="0">
        <f>VLOOKUP(E1024,'Tier Params'!$A:$C,3,FALSE)</f>
        <v/>
      </c>
      <c r="H1024" s="0">
        <f>CEILING(D1024/G1024,1)</f>
        <v/>
      </c>
      <c r="I1024" s="0">
        <f>H1024*F1024</f>
        <v/>
      </c>
    </row>
    <row r="1025">
      <c r="A1025" s="0" t="inlineStr">
        <is>
          <t>'Reference sheet'!N1027</t>
        </is>
      </c>
      <c r="B1025" s="0" t="inlineStr">
        <is>
          <t>Structure Docking Bay</t>
        </is>
      </c>
      <c r="C1025" s="0" t="inlineStr">
        <is>
          <t>Chiral Structures</t>
        </is>
      </c>
      <c r="D1025" s="0" t="n">
        <v>480</v>
      </c>
      <c r="E1025" s="0">
        <f>VLOOKUP(C1025,'Item Tier Lookup'!$A:$B,2,FALSE)</f>
        <v/>
      </c>
      <c r="F1025" s="0">
        <f>VLOOKUP(E1025,'Tier Params'!$A:$B,2,FALSE)</f>
        <v/>
      </c>
      <c r="G1025" s="0">
        <f>VLOOKUP(E1025,'Tier Params'!$A:$C,3,FALSE)</f>
        <v/>
      </c>
      <c r="H1025" s="0">
        <f>CEILING(D1025/G1025,1)</f>
        <v/>
      </c>
      <c r="I1025" s="0">
        <f>H1025*F1025</f>
        <v/>
      </c>
    </row>
    <row r="1026">
      <c r="A1026" s="0" t="inlineStr">
        <is>
          <t>'Reference sheet'!N1028</t>
        </is>
      </c>
      <c r="B1026" s="0" t="inlineStr">
        <is>
          <t>Structure Docking Bay</t>
        </is>
      </c>
      <c r="C1026" s="0" t="inlineStr">
        <is>
          <t>Non-CS Crystals</t>
        </is>
      </c>
      <c r="D1026" s="0" t="n">
        <v>72000</v>
      </c>
      <c r="E1026" s="0">
        <f>VLOOKUP(C1026,'Item Tier Lookup'!$A:$B,2,FALSE)</f>
        <v/>
      </c>
      <c r="F1026" s="0">
        <f>VLOOKUP(E1026,'Tier Params'!$A:$B,2,FALSE)</f>
        <v/>
      </c>
      <c r="G1026" s="0">
        <f>VLOOKUP(E1026,'Tier Params'!$A:$C,3,FALSE)</f>
        <v/>
      </c>
      <c r="H1026" s="0">
        <f>CEILING(D1026/G1026,1)</f>
        <v/>
      </c>
      <c r="I1026" s="0">
        <f>H1026*F1026</f>
        <v/>
      </c>
    </row>
    <row r="1027">
      <c r="A1027" s="0" t="inlineStr">
        <is>
          <t>'Reference sheet'!N1029</t>
        </is>
      </c>
      <c r="B1027" s="0" t="inlineStr">
        <is>
          <t>Structure Docking Bay</t>
        </is>
      </c>
      <c r="C1027" s="0" t="inlineStr">
        <is>
          <t>Biotech Research Reports</t>
        </is>
      </c>
      <c r="D1027" s="0" t="n">
        <v>18</v>
      </c>
      <c r="E1027" s="0">
        <f>VLOOKUP(C1027,'Item Tier Lookup'!$A:$B,2,FALSE)</f>
        <v/>
      </c>
      <c r="F1027" s="0">
        <f>VLOOKUP(E1027,'Tier Params'!$A:$B,2,FALSE)</f>
        <v/>
      </c>
      <c r="G1027" s="0">
        <f>VLOOKUP(E1027,'Tier Params'!$A:$C,3,FALSE)</f>
        <v/>
      </c>
      <c r="H1027" s="0">
        <f>CEILING(D1027/G1027,1)</f>
        <v/>
      </c>
      <c r="I1027" s="0">
        <f>H1027*F1027</f>
        <v/>
      </c>
    </row>
    <row r="1028">
      <c r="A1028" s="0" t="inlineStr">
        <is>
          <t>'Reference sheet'!N1030</t>
        </is>
      </c>
      <c r="B1028" s="0" t="inlineStr">
        <is>
          <t>Structure Docking Bay</t>
        </is>
      </c>
      <c r="C1028" s="0" t="inlineStr">
        <is>
          <t>Construction Blocks</t>
        </is>
      </c>
      <c r="D1028" s="0" t="n">
        <v>60</v>
      </c>
      <c r="E1028" s="0">
        <f>VLOOKUP(C1028,'Item Tier Lookup'!$A:$B,2,FALSE)</f>
        <v/>
      </c>
      <c r="F1028" s="0">
        <f>VLOOKUP(E1028,'Tier Params'!$A:$B,2,FALSE)</f>
        <v/>
      </c>
      <c r="G1028" s="0">
        <f>VLOOKUP(E1028,'Tier Params'!$A:$C,3,FALSE)</f>
        <v/>
      </c>
      <c r="H1028" s="0">
        <f>CEILING(D1028/G1028,1)</f>
        <v/>
      </c>
      <c r="I1028" s="0">
        <f>H1028*F1028</f>
        <v/>
      </c>
    </row>
    <row r="1029">
      <c r="A1029" s="0" t="inlineStr">
        <is>
          <t>'Reference sheet'!N1031</t>
        </is>
      </c>
      <c r="B1029" s="0" t="inlineStr">
        <is>
          <t>Structure Docking Bay</t>
        </is>
      </c>
      <c r="C1029" s="0" t="inlineStr">
        <is>
          <t>Toxic Metals</t>
        </is>
      </c>
      <c r="D1029" s="0" t="n">
        <v>480</v>
      </c>
      <c r="E1029" s="0">
        <f>VLOOKUP(C1029,'Item Tier Lookup'!$A:$B,2,FALSE)</f>
        <v/>
      </c>
      <c r="F1029" s="0">
        <f>VLOOKUP(E1029,'Tier Params'!$A:$B,2,FALSE)</f>
        <v/>
      </c>
      <c r="G1029" s="0">
        <f>VLOOKUP(E1029,'Tier Params'!$A:$C,3,FALSE)</f>
        <v/>
      </c>
      <c r="H1029" s="0">
        <f>CEILING(D1029/G1029,1)</f>
        <v/>
      </c>
      <c r="I1029" s="0">
        <f>H1029*F1029</f>
        <v/>
      </c>
    </row>
    <row r="1030">
      <c r="A1030" s="0" t="inlineStr">
        <is>
          <t>'Reference sheet'!N1032</t>
        </is>
      </c>
      <c r="B1030" s="0" t="inlineStr">
        <is>
          <t>Structure Docking Bay</t>
        </is>
      </c>
      <c r="C1030" s="0" t="inlineStr">
        <is>
          <t>Heavy Metals</t>
        </is>
      </c>
      <c r="D1030" s="0" t="n">
        <v>72000</v>
      </c>
      <c r="E1030" s="0">
        <f>VLOOKUP(C1030,'Item Tier Lookup'!$A:$B,2,FALSE)</f>
        <v/>
      </c>
      <c r="F1030" s="0">
        <f>VLOOKUP(E1030,'Tier Params'!$A:$B,2,FALSE)</f>
        <v/>
      </c>
      <c r="G1030" s="0">
        <f>VLOOKUP(E1030,'Tier Params'!$A:$C,3,FALSE)</f>
        <v/>
      </c>
      <c r="H1030" s="0">
        <f>CEILING(D1030/G1030,1)</f>
        <v/>
      </c>
      <c r="I1030" s="0">
        <f>H1030*F1030</f>
        <v/>
      </c>
    </row>
    <row r="1031">
      <c r="A1031" s="0" t="inlineStr">
        <is>
          <t>'Reference sheet'!N1033</t>
        </is>
      </c>
      <c r="B1031" s="0" t="inlineStr">
        <is>
          <t>Structure Docking Bay</t>
        </is>
      </c>
      <c r="C1031" s="0" t="inlineStr">
        <is>
          <t>Reactive Metals</t>
        </is>
      </c>
      <c r="D1031" s="0" t="n">
        <v>480</v>
      </c>
      <c r="E1031" s="0">
        <f>VLOOKUP(C1031,'Item Tier Lookup'!$A:$B,2,FALSE)</f>
        <v/>
      </c>
      <c r="F1031" s="0">
        <f>VLOOKUP(E1031,'Tier Params'!$A:$B,2,FALSE)</f>
        <v/>
      </c>
      <c r="G1031" s="0">
        <f>VLOOKUP(E1031,'Tier Params'!$A:$C,3,FALSE)</f>
        <v/>
      </c>
      <c r="H1031" s="0">
        <f>CEILING(D1031/G1031,1)</f>
        <v/>
      </c>
      <c r="I1031" s="0">
        <f>H1031*F1031</f>
        <v/>
      </c>
    </row>
    <row r="1032">
      <c r="A1032" s="0" t="inlineStr">
        <is>
          <t>'Reference sheet'!N1034</t>
        </is>
      </c>
      <c r="B1032" s="0" t="inlineStr">
        <is>
          <t>Structure Docking Bay</t>
        </is>
      </c>
      <c r="C1032" s="0" t="inlineStr">
        <is>
          <t>Base Metals</t>
        </is>
      </c>
      <c r="D1032" s="0" t="n">
        <v>72000</v>
      </c>
      <c r="E1032" s="0">
        <f>VLOOKUP(C1032,'Item Tier Lookup'!$A:$B,2,FALSE)</f>
        <v/>
      </c>
      <c r="F1032" s="0">
        <f>VLOOKUP(E1032,'Tier Params'!$A:$B,2,FALSE)</f>
        <v/>
      </c>
      <c r="G1032" s="0">
        <f>VLOOKUP(E1032,'Tier Params'!$A:$C,3,FALSE)</f>
        <v/>
      </c>
      <c r="H1032" s="0">
        <f>CEILING(D1032/G1032,1)</f>
        <v/>
      </c>
      <c r="I1032" s="0">
        <f>H1032*F1032</f>
        <v/>
      </c>
    </row>
    <row r="1033">
      <c r="A1033" s="0" t="inlineStr">
        <is>
          <t>'Reference sheet'!N1035</t>
        </is>
      </c>
      <c r="B1033" s="0" t="inlineStr">
        <is>
          <t>Structure Docking Bay</t>
        </is>
      </c>
      <c r="C1033" s="0" t="inlineStr">
        <is>
          <t>Livestock</t>
        </is>
      </c>
      <c r="D1033" s="0" t="n">
        <v>60</v>
      </c>
      <c r="E1033" s="0">
        <f>VLOOKUP(C1033,'Item Tier Lookup'!$A:$B,2,FALSE)</f>
        <v/>
      </c>
      <c r="F1033" s="0">
        <f>VLOOKUP(E1033,'Tier Params'!$A:$B,2,FALSE)</f>
        <v/>
      </c>
      <c r="G1033" s="0">
        <f>VLOOKUP(E1033,'Tier Params'!$A:$C,3,FALSE)</f>
        <v/>
      </c>
      <c r="H1033" s="0">
        <f>CEILING(D1033/G1033,1)</f>
        <v/>
      </c>
      <c r="I1033" s="0">
        <f>H1033*F1033</f>
        <v/>
      </c>
    </row>
    <row r="1034">
      <c r="A1034" s="0" t="inlineStr">
        <is>
          <t>'Reference sheet'!N1036</t>
        </is>
      </c>
      <c r="B1034" s="0" t="inlineStr">
        <is>
          <t>Structure Docking Bay</t>
        </is>
      </c>
      <c r="C1034" s="0" t="inlineStr">
        <is>
          <t>Proteins</t>
        </is>
      </c>
      <c r="D1034" s="0" t="n">
        <v>480</v>
      </c>
      <c r="E1034" s="0">
        <f>VLOOKUP(C1034,'Item Tier Lookup'!$A:$B,2,FALSE)</f>
        <v/>
      </c>
      <c r="F1034" s="0">
        <f>VLOOKUP(E1034,'Tier Params'!$A:$B,2,FALSE)</f>
        <v/>
      </c>
      <c r="G1034" s="0">
        <f>VLOOKUP(E1034,'Tier Params'!$A:$C,3,FALSE)</f>
        <v/>
      </c>
      <c r="H1034" s="0">
        <f>CEILING(D1034/G1034,1)</f>
        <v/>
      </c>
      <c r="I1034" s="0">
        <f>H1034*F1034</f>
        <v/>
      </c>
    </row>
    <row r="1035">
      <c r="A1035" s="0" t="inlineStr">
        <is>
          <t>'Reference sheet'!N1037</t>
        </is>
      </c>
      <c r="B1035" s="0" t="inlineStr">
        <is>
          <t>Structure Docking Bay</t>
        </is>
      </c>
      <c r="C1035" s="0" t="inlineStr">
        <is>
          <t>Complex Organisms</t>
        </is>
      </c>
      <c r="D1035" s="0" t="n">
        <v>72000</v>
      </c>
      <c r="E1035" s="0">
        <f>VLOOKUP(C1035,'Item Tier Lookup'!$A:$B,2,FALSE)</f>
        <v/>
      </c>
      <c r="F1035" s="0">
        <f>VLOOKUP(E1035,'Tier Params'!$A:$B,2,FALSE)</f>
        <v/>
      </c>
      <c r="G1035" s="0">
        <f>VLOOKUP(E1035,'Tier Params'!$A:$C,3,FALSE)</f>
        <v/>
      </c>
      <c r="H1035" s="0">
        <f>CEILING(D1035/G1035,1)</f>
        <v/>
      </c>
      <c r="I1035" s="0">
        <f>H1035*F1035</f>
        <v/>
      </c>
    </row>
    <row r="1036">
      <c r="A1036" s="0" t="inlineStr">
        <is>
          <t>'Reference sheet'!N1038</t>
        </is>
      </c>
      <c r="B1036" s="0" t="inlineStr">
        <is>
          <t>Structure Docking Bay</t>
        </is>
      </c>
      <c r="C1036" s="0" t="inlineStr">
        <is>
          <t>Biofuels</t>
        </is>
      </c>
      <c r="D1036" s="0" t="n">
        <v>480</v>
      </c>
      <c r="E1036" s="0">
        <f>VLOOKUP(C1036,'Item Tier Lookup'!$A:$B,2,FALSE)</f>
        <v/>
      </c>
      <c r="F1036" s="0">
        <f>VLOOKUP(E1036,'Tier Params'!$A:$B,2,FALSE)</f>
        <v/>
      </c>
      <c r="G1036" s="0">
        <f>VLOOKUP(E1036,'Tier Params'!$A:$C,3,FALSE)</f>
        <v/>
      </c>
      <c r="H1036" s="0">
        <f>CEILING(D1036/G1036,1)</f>
        <v/>
      </c>
      <c r="I1036" s="0">
        <f>H1036*F1036</f>
        <v/>
      </c>
    </row>
    <row r="1037">
      <c r="A1037" s="0" t="inlineStr">
        <is>
          <t>'Reference sheet'!N1039</t>
        </is>
      </c>
      <c r="B1037" s="0" t="inlineStr">
        <is>
          <t>Structure Docking Bay</t>
        </is>
      </c>
      <c r="C1037" s="0" t="inlineStr">
        <is>
          <t>Carbon Compounds</t>
        </is>
      </c>
      <c r="D1037" s="0" t="n">
        <v>72000</v>
      </c>
      <c r="E1037" s="0">
        <f>VLOOKUP(C1037,'Item Tier Lookup'!$A:$B,2,FALSE)</f>
        <v/>
      </c>
      <c r="F1037" s="0">
        <f>VLOOKUP(E1037,'Tier Params'!$A:$B,2,FALSE)</f>
        <v/>
      </c>
      <c r="G1037" s="0">
        <f>VLOOKUP(E1037,'Tier Params'!$A:$C,3,FALSE)</f>
        <v/>
      </c>
      <c r="H1037" s="0">
        <f>CEILING(D1037/G1037,1)</f>
        <v/>
      </c>
      <c r="I1037" s="0">
        <f>H1037*F1037</f>
        <v/>
      </c>
    </row>
    <row r="1038">
      <c r="A1038" s="0" t="inlineStr">
        <is>
          <t>'Reference sheet'!N1040</t>
        </is>
      </c>
      <c r="B1038" s="0" t="inlineStr">
        <is>
          <t>Structure Docking Bay</t>
        </is>
      </c>
      <c r="C1038" s="0" t="inlineStr">
        <is>
          <t>Nanites</t>
        </is>
      </c>
      <c r="D1038" s="0" t="n">
        <v>60</v>
      </c>
      <c r="E1038" s="0">
        <f>VLOOKUP(C1038,'Item Tier Lookup'!$A:$B,2,FALSE)</f>
        <v/>
      </c>
      <c r="F1038" s="0">
        <f>VLOOKUP(E1038,'Tier Params'!$A:$B,2,FALSE)</f>
        <v/>
      </c>
      <c r="G1038" s="0">
        <f>VLOOKUP(E1038,'Tier Params'!$A:$C,3,FALSE)</f>
        <v/>
      </c>
      <c r="H1038" s="0">
        <f>CEILING(D1038/G1038,1)</f>
        <v/>
      </c>
      <c r="I1038" s="0">
        <f>H1038*F1038</f>
        <v/>
      </c>
    </row>
    <row r="1039">
      <c r="A1039" s="0" t="inlineStr">
        <is>
          <t>'Reference sheet'!N1041</t>
        </is>
      </c>
      <c r="B1039" s="0" t="inlineStr">
        <is>
          <t>Structure Docking Bay</t>
        </is>
      </c>
      <c r="C1039" s="0" t="inlineStr">
        <is>
          <t>Bacteria</t>
        </is>
      </c>
      <c r="D1039" s="0" t="n">
        <v>480</v>
      </c>
      <c r="E1039" s="0">
        <f>VLOOKUP(C1039,'Item Tier Lookup'!$A:$B,2,FALSE)</f>
        <v/>
      </c>
      <c r="F1039" s="0">
        <f>VLOOKUP(E1039,'Tier Params'!$A:$B,2,FALSE)</f>
        <v/>
      </c>
      <c r="G1039" s="0">
        <f>VLOOKUP(E1039,'Tier Params'!$A:$C,3,FALSE)</f>
        <v/>
      </c>
      <c r="H1039" s="0">
        <f>CEILING(D1039/G1039,1)</f>
        <v/>
      </c>
      <c r="I1039" s="0">
        <f>H1039*F1039</f>
        <v/>
      </c>
    </row>
    <row r="1040">
      <c r="A1040" s="0" t="inlineStr">
        <is>
          <t>'Reference sheet'!N1042</t>
        </is>
      </c>
      <c r="B1040" s="0" t="inlineStr">
        <is>
          <t>Structure Docking Bay</t>
        </is>
      </c>
      <c r="C1040" s="0" t="inlineStr">
        <is>
          <t>Microorganisms</t>
        </is>
      </c>
      <c r="D1040" s="0" t="n">
        <v>72000</v>
      </c>
      <c r="E1040" s="0">
        <f>VLOOKUP(C1040,'Item Tier Lookup'!$A:$B,2,FALSE)</f>
        <v/>
      </c>
      <c r="F1040" s="0">
        <f>VLOOKUP(E1040,'Tier Params'!$A:$B,2,FALSE)</f>
        <v/>
      </c>
      <c r="G1040" s="0">
        <f>VLOOKUP(E1040,'Tier Params'!$A:$C,3,FALSE)</f>
        <v/>
      </c>
      <c r="H1040" s="0">
        <f>CEILING(D1040/G1040,1)</f>
        <v/>
      </c>
      <c r="I1040" s="0">
        <f>H1040*F1040</f>
        <v/>
      </c>
    </row>
    <row r="1041">
      <c r="A1041" s="0" t="inlineStr">
        <is>
          <t>'Reference sheet'!N1043</t>
        </is>
      </c>
      <c r="B1041" s="0" t="inlineStr">
        <is>
          <t>Structure Docking Bay</t>
        </is>
      </c>
      <c r="C1041" s="0" t="inlineStr">
        <is>
          <t>Reactive Metals</t>
        </is>
      </c>
      <c r="D1041" s="0" t="n">
        <v>480</v>
      </c>
      <c r="E1041" s="0">
        <f>VLOOKUP(C1041,'Item Tier Lookup'!$A:$B,2,FALSE)</f>
        <v/>
      </c>
      <c r="F1041" s="0">
        <f>VLOOKUP(E1041,'Tier Params'!$A:$B,2,FALSE)</f>
        <v/>
      </c>
      <c r="G1041" s="0">
        <f>VLOOKUP(E1041,'Tier Params'!$A:$C,3,FALSE)</f>
        <v/>
      </c>
      <c r="H1041" s="0">
        <f>CEILING(D1041/G1041,1)</f>
        <v/>
      </c>
      <c r="I1041" s="0">
        <f>H1041*F1041</f>
        <v/>
      </c>
    </row>
    <row r="1042">
      <c r="A1042" s="0" t="inlineStr">
        <is>
          <t>'Reference sheet'!N1044</t>
        </is>
      </c>
      <c r="B1042" s="0" t="inlineStr">
        <is>
          <t>Structure Docking Bay</t>
        </is>
      </c>
      <c r="C1042" s="0" t="inlineStr">
        <is>
          <t>Base Metals</t>
        </is>
      </c>
      <c r="D1042" s="0" t="n">
        <v>72000</v>
      </c>
      <c r="E1042" s="0">
        <f>VLOOKUP(C1042,'Item Tier Lookup'!$A:$B,2,FALSE)</f>
        <v/>
      </c>
      <c r="F1042" s="0">
        <f>VLOOKUP(E1042,'Tier Params'!$A:$B,2,FALSE)</f>
        <v/>
      </c>
      <c r="G1042" s="0">
        <f>VLOOKUP(E1042,'Tier Params'!$A:$C,3,FALSE)</f>
        <v/>
      </c>
      <c r="H1042" s="0">
        <f>CEILING(D1042/G1042,1)</f>
        <v/>
      </c>
      <c r="I1042" s="0">
        <f>H1042*F1042</f>
        <v/>
      </c>
    </row>
    <row r="1043">
      <c r="A1043" s="0" t="inlineStr">
        <is>
          <t>'Reference sheet'!N1045</t>
        </is>
      </c>
      <c r="B1043" s="0" t="inlineStr">
        <is>
          <t>Structure Docking Bay</t>
        </is>
      </c>
      <c r="C1043" s="0" t="inlineStr">
        <is>
          <t>Cryoprotectant Solution</t>
        </is>
      </c>
      <c r="D1043" s="0" t="n">
        <v>18</v>
      </c>
      <c r="E1043" s="0">
        <f>VLOOKUP(C1043,'Item Tier Lookup'!$A:$B,2,FALSE)</f>
        <v/>
      </c>
      <c r="F1043" s="0">
        <f>VLOOKUP(E1043,'Tier Params'!$A:$B,2,FALSE)</f>
        <v/>
      </c>
      <c r="G1043" s="0">
        <f>VLOOKUP(E1043,'Tier Params'!$A:$C,3,FALSE)</f>
        <v/>
      </c>
      <c r="H1043" s="0">
        <f>CEILING(D1043/G1043,1)</f>
        <v/>
      </c>
      <c r="I1043" s="0">
        <f>H1043*F1043</f>
        <v/>
      </c>
    </row>
    <row r="1044">
      <c r="A1044" s="0" t="inlineStr">
        <is>
          <t>'Reference sheet'!N1046</t>
        </is>
      </c>
      <c r="B1044" s="0" t="inlineStr">
        <is>
          <t>Structure Docking Bay</t>
        </is>
      </c>
      <c r="C1044" s="0" t="inlineStr">
        <is>
          <t>Test Cultures</t>
        </is>
      </c>
      <c r="D1044" s="0" t="n">
        <v>60</v>
      </c>
      <c r="E1044" s="0">
        <f>VLOOKUP(C1044,'Item Tier Lookup'!$A:$B,2,FALSE)</f>
        <v/>
      </c>
      <c r="F1044" s="0">
        <f>VLOOKUP(E1044,'Tier Params'!$A:$B,2,FALSE)</f>
        <v/>
      </c>
      <c r="G1044" s="0">
        <f>VLOOKUP(E1044,'Tier Params'!$A:$C,3,FALSE)</f>
        <v/>
      </c>
      <c r="H1044" s="0">
        <f>CEILING(D1044/G1044,1)</f>
        <v/>
      </c>
      <c r="I1044" s="0">
        <f>H1044*F1044</f>
        <v/>
      </c>
    </row>
    <row r="1045">
      <c r="A1045" s="0" t="inlineStr">
        <is>
          <t>'Reference sheet'!N1047</t>
        </is>
      </c>
      <c r="B1045" s="0" t="inlineStr">
        <is>
          <t>Structure Docking Bay</t>
        </is>
      </c>
      <c r="C1045" s="0" t="inlineStr">
        <is>
          <t>Bacteria</t>
        </is>
      </c>
      <c r="D1045" s="0" t="n">
        <v>480</v>
      </c>
      <c r="E1045" s="0">
        <f>VLOOKUP(C1045,'Item Tier Lookup'!$A:$B,2,FALSE)</f>
        <v/>
      </c>
      <c r="F1045" s="0">
        <f>VLOOKUP(E1045,'Tier Params'!$A:$B,2,FALSE)</f>
        <v/>
      </c>
      <c r="G1045" s="0">
        <f>VLOOKUP(E1045,'Tier Params'!$A:$C,3,FALSE)</f>
        <v/>
      </c>
      <c r="H1045" s="0">
        <f>CEILING(D1045/G1045,1)</f>
        <v/>
      </c>
      <c r="I1045" s="0">
        <f>H1045*F1045</f>
        <v/>
      </c>
    </row>
    <row r="1046">
      <c r="A1046" s="0" t="inlineStr">
        <is>
          <t>'Reference sheet'!N1048</t>
        </is>
      </c>
      <c r="B1046" s="0" t="inlineStr">
        <is>
          <t>Structure Docking Bay</t>
        </is>
      </c>
      <c r="C1046" s="0" t="inlineStr">
        <is>
          <t>Microorganisms</t>
        </is>
      </c>
      <c r="D1046" s="0" t="n">
        <v>72000</v>
      </c>
      <c r="E1046" s="0">
        <f>VLOOKUP(C1046,'Item Tier Lookup'!$A:$B,2,FALSE)</f>
        <v/>
      </c>
      <c r="F1046" s="0">
        <f>VLOOKUP(E1046,'Tier Params'!$A:$B,2,FALSE)</f>
        <v/>
      </c>
      <c r="G1046" s="0">
        <f>VLOOKUP(E1046,'Tier Params'!$A:$C,3,FALSE)</f>
        <v/>
      </c>
      <c r="H1046" s="0">
        <f>CEILING(D1046/G1046,1)</f>
        <v/>
      </c>
      <c r="I1046" s="0">
        <f>H1046*F1046</f>
        <v/>
      </c>
    </row>
    <row r="1047">
      <c r="A1047" s="0" t="inlineStr">
        <is>
          <t>'Reference sheet'!N1049</t>
        </is>
      </c>
      <c r="B1047" s="0" t="inlineStr">
        <is>
          <t>Structure Docking Bay</t>
        </is>
      </c>
      <c r="C1047" s="0" t="inlineStr">
        <is>
          <t>Water</t>
        </is>
      </c>
      <c r="D1047" s="0" t="n">
        <v>480</v>
      </c>
      <c r="E1047" s="0">
        <f>VLOOKUP(C1047,'Item Tier Lookup'!$A:$B,2,FALSE)</f>
        <v/>
      </c>
      <c r="F1047" s="0">
        <f>VLOOKUP(E1047,'Tier Params'!$A:$B,2,FALSE)</f>
        <v/>
      </c>
      <c r="G1047" s="0">
        <f>VLOOKUP(E1047,'Tier Params'!$A:$C,3,FALSE)</f>
        <v/>
      </c>
      <c r="H1047" s="0">
        <f>CEILING(D1047/G1047,1)</f>
        <v/>
      </c>
      <c r="I1047" s="0">
        <f>H1047*F1047</f>
        <v/>
      </c>
    </row>
    <row r="1048">
      <c r="A1048" s="0" t="inlineStr">
        <is>
          <t>'Reference sheet'!N1050</t>
        </is>
      </c>
      <c r="B1048" s="0" t="inlineStr">
        <is>
          <t>Structure Docking Bay</t>
        </is>
      </c>
      <c r="C1048" s="0" t="inlineStr">
        <is>
          <t>Aqueous Liquids</t>
        </is>
      </c>
      <c r="D1048" s="0" t="n">
        <v>72000</v>
      </c>
      <c r="E1048" s="0">
        <f>VLOOKUP(C1048,'Item Tier Lookup'!$A:$B,2,FALSE)</f>
        <v/>
      </c>
      <c r="F1048" s="0">
        <f>VLOOKUP(E1048,'Tier Params'!$A:$B,2,FALSE)</f>
        <v/>
      </c>
      <c r="G1048" s="0">
        <f>VLOOKUP(E1048,'Tier Params'!$A:$C,3,FALSE)</f>
        <v/>
      </c>
      <c r="H1048" s="0">
        <f>CEILING(D1048/G1048,1)</f>
        <v/>
      </c>
      <c r="I1048" s="0">
        <f>H1048*F1048</f>
        <v/>
      </c>
    </row>
    <row r="1049">
      <c r="A1049" s="0" t="inlineStr">
        <is>
          <t>'Reference sheet'!N1051</t>
        </is>
      </c>
      <c r="B1049" s="0" t="inlineStr">
        <is>
          <t>Structure Docking Bay</t>
        </is>
      </c>
      <c r="C1049" s="0" t="inlineStr">
        <is>
          <t>Synthetic Oil</t>
        </is>
      </c>
      <c r="D1049" s="0" t="n">
        <v>60</v>
      </c>
      <c r="E1049" s="0">
        <f>VLOOKUP(C1049,'Item Tier Lookup'!$A:$B,2,FALSE)</f>
        <v/>
      </c>
      <c r="F1049" s="0">
        <f>VLOOKUP(E1049,'Tier Params'!$A:$B,2,FALSE)</f>
        <v/>
      </c>
      <c r="G1049" s="0">
        <f>VLOOKUP(E1049,'Tier Params'!$A:$C,3,FALSE)</f>
        <v/>
      </c>
      <c r="H1049" s="0">
        <f>CEILING(D1049/G1049,1)</f>
        <v/>
      </c>
      <c r="I1049" s="0">
        <f>H1049*F1049</f>
        <v/>
      </c>
    </row>
    <row r="1050">
      <c r="A1050" s="0" t="inlineStr">
        <is>
          <t>'Reference sheet'!N1052</t>
        </is>
      </c>
      <c r="B1050" s="0" t="inlineStr">
        <is>
          <t>Structure Docking Bay</t>
        </is>
      </c>
      <c r="C1050" s="0" t="inlineStr">
        <is>
          <t>Oxygen</t>
        </is>
      </c>
      <c r="D1050" s="0" t="n">
        <v>480</v>
      </c>
      <c r="E1050" s="0">
        <f>VLOOKUP(C1050,'Item Tier Lookup'!$A:$B,2,FALSE)</f>
        <v/>
      </c>
      <c r="F1050" s="0">
        <f>VLOOKUP(E1050,'Tier Params'!$A:$B,2,FALSE)</f>
        <v/>
      </c>
      <c r="G1050" s="0">
        <f>VLOOKUP(E1050,'Tier Params'!$A:$C,3,FALSE)</f>
        <v/>
      </c>
      <c r="H1050" s="0">
        <f>CEILING(D1050/G1050,1)</f>
        <v/>
      </c>
      <c r="I1050" s="0">
        <f>H1050*F1050</f>
        <v/>
      </c>
    </row>
    <row r="1051">
      <c r="A1051" s="0" t="inlineStr">
        <is>
          <t>'Reference sheet'!N1053</t>
        </is>
      </c>
      <c r="B1051" s="0" t="inlineStr">
        <is>
          <t>Structure Docking Bay</t>
        </is>
      </c>
      <c r="C1051" s="0" t="inlineStr">
        <is>
          <t>Noble Gas</t>
        </is>
      </c>
      <c r="D1051" s="0" t="n">
        <v>72000</v>
      </c>
      <c r="E1051" s="0">
        <f>VLOOKUP(C1051,'Item Tier Lookup'!$A:$B,2,FALSE)</f>
        <v/>
      </c>
      <c r="F1051" s="0">
        <f>VLOOKUP(E1051,'Tier Params'!$A:$B,2,FALSE)</f>
        <v/>
      </c>
      <c r="G1051" s="0">
        <f>VLOOKUP(E1051,'Tier Params'!$A:$C,3,FALSE)</f>
        <v/>
      </c>
      <c r="H1051" s="0">
        <f>CEILING(D1051/G1051,1)</f>
        <v/>
      </c>
      <c r="I1051" s="0">
        <f>H1051*F1051</f>
        <v/>
      </c>
    </row>
    <row r="1052">
      <c r="A1052" s="0" t="inlineStr">
        <is>
          <t>'Reference sheet'!N1054</t>
        </is>
      </c>
      <c r="B1052" s="0" t="inlineStr">
        <is>
          <t>Structure Docking Bay</t>
        </is>
      </c>
      <c r="C1052" s="0" t="inlineStr">
        <is>
          <t>Electrolytes</t>
        </is>
      </c>
      <c r="D1052" s="0" t="n">
        <v>480</v>
      </c>
      <c r="E1052" s="0">
        <f>VLOOKUP(C1052,'Item Tier Lookup'!$A:$B,2,FALSE)</f>
        <v/>
      </c>
      <c r="F1052" s="0">
        <f>VLOOKUP(E1052,'Tier Params'!$A:$B,2,FALSE)</f>
        <v/>
      </c>
      <c r="G1052" s="0">
        <f>VLOOKUP(E1052,'Tier Params'!$A:$C,3,FALSE)</f>
        <v/>
      </c>
      <c r="H1052" s="0">
        <f>CEILING(D1052/G1052,1)</f>
        <v/>
      </c>
      <c r="I1052" s="0">
        <f>H1052*F1052</f>
        <v/>
      </c>
    </row>
    <row r="1053">
      <c r="A1053" s="0" t="inlineStr">
        <is>
          <t>'Reference sheet'!N1055</t>
        </is>
      </c>
      <c r="B1053" s="0" t="inlineStr">
        <is>
          <t>Structure Docking Bay</t>
        </is>
      </c>
      <c r="C1053" s="0" t="inlineStr">
        <is>
          <t>Ionic Solutions</t>
        </is>
      </c>
      <c r="D1053" s="0" t="n">
        <v>72000</v>
      </c>
      <c r="E1053" s="0">
        <f>VLOOKUP(C1053,'Item Tier Lookup'!$A:$B,2,FALSE)</f>
        <v/>
      </c>
      <c r="F1053" s="0">
        <f>VLOOKUP(E1053,'Tier Params'!$A:$B,2,FALSE)</f>
        <v/>
      </c>
      <c r="G1053" s="0">
        <f>VLOOKUP(E1053,'Tier Params'!$A:$C,3,FALSE)</f>
        <v/>
      </c>
      <c r="H1053" s="0">
        <f>CEILING(D1053/G1053,1)</f>
        <v/>
      </c>
      <c r="I1053" s="0">
        <f>H1053*F1053</f>
        <v/>
      </c>
    </row>
    <row r="1054">
      <c r="A1054" s="0" t="inlineStr">
        <is>
          <t>'Reference sheet'!N1056</t>
        </is>
      </c>
      <c r="B1054" s="0" t="inlineStr">
        <is>
          <t>Structure Docking Bay</t>
        </is>
      </c>
      <c r="C1054" s="0" t="inlineStr">
        <is>
          <t>Fertilizer</t>
        </is>
      </c>
      <c r="D1054" s="0" t="n">
        <v>60</v>
      </c>
      <c r="E1054" s="0">
        <f>VLOOKUP(C1054,'Item Tier Lookup'!$A:$B,2,FALSE)</f>
        <v/>
      </c>
      <c r="F1054" s="0">
        <f>VLOOKUP(E1054,'Tier Params'!$A:$B,2,FALSE)</f>
        <v/>
      </c>
      <c r="G1054" s="0">
        <f>VLOOKUP(E1054,'Tier Params'!$A:$C,3,FALSE)</f>
        <v/>
      </c>
      <c r="H1054" s="0">
        <f>CEILING(D1054/G1054,1)</f>
        <v/>
      </c>
      <c r="I1054" s="0">
        <f>H1054*F1054</f>
        <v/>
      </c>
    </row>
    <row r="1055">
      <c r="A1055" s="0" t="inlineStr">
        <is>
          <t>'Reference sheet'!N1057</t>
        </is>
      </c>
      <c r="B1055" s="0" t="inlineStr">
        <is>
          <t>Structure Docking Bay</t>
        </is>
      </c>
      <c r="C1055" s="0" t="inlineStr">
        <is>
          <t>Bacteria</t>
        </is>
      </c>
      <c r="D1055" s="0" t="n">
        <v>480</v>
      </c>
      <c r="E1055" s="0">
        <f>VLOOKUP(C1055,'Item Tier Lookup'!$A:$B,2,FALSE)</f>
        <v/>
      </c>
      <c r="F1055" s="0">
        <f>VLOOKUP(E1055,'Tier Params'!$A:$B,2,FALSE)</f>
        <v/>
      </c>
      <c r="G1055" s="0">
        <f>VLOOKUP(E1055,'Tier Params'!$A:$C,3,FALSE)</f>
        <v/>
      </c>
      <c r="H1055" s="0">
        <f>CEILING(D1055/G1055,1)</f>
        <v/>
      </c>
      <c r="I1055" s="0">
        <f>H1055*F1055</f>
        <v/>
      </c>
    </row>
    <row r="1056">
      <c r="A1056" s="0" t="inlineStr">
        <is>
          <t>'Reference sheet'!N1058</t>
        </is>
      </c>
      <c r="B1056" s="0" t="inlineStr">
        <is>
          <t>Structure Docking Bay</t>
        </is>
      </c>
      <c r="C1056" s="0" t="inlineStr">
        <is>
          <t>Microorganisms</t>
        </is>
      </c>
      <c r="D1056" s="0" t="n">
        <v>72000</v>
      </c>
      <c r="E1056" s="0">
        <f>VLOOKUP(C1056,'Item Tier Lookup'!$A:$B,2,FALSE)</f>
        <v/>
      </c>
      <c r="F1056" s="0">
        <f>VLOOKUP(E1056,'Tier Params'!$A:$B,2,FALSE)</f>
        <v/>
      </c>
      <c r="G1056" s="0">
        <f>VLOOKUP(E1056,'Tier Params'!$A:$C,3,FALSE)</f>
        <v/>
      </c>
      <c r="H1056" s="0">
        <f>CEILING(D1056/G1056,1)</f>
        <v/>
      </c>
      <c r="I1056" s="0">
        <f>H1056*F1056</f>
        <v/>
      </c>
    </row>
    <row r="1057">
      <c r="A1057" s="0" t="inlineStr">
        <is>
          <t>'Reference sheet'!N1059</t>
        </is>
      </c>
      <c r="B1057" s="0" t="inlineStr">
        <is>
          <t>Structure Docking Bay</t>
        </is>
      </c>
      <c r="C1057" s="0" t="inlineStr">
        <is>
          <t>Proteins</t>
        </is>
      </c>
      <c r="D1057" s="0" t="n">
        <v>480</v>
      </c>
      <c r="E1057" s="0">
        <f>VLOOKUP(C1057,'Item Tier Lookup'!$A:$B,2,FALSE)</f>
        <v/>
      </c>
      <c r="F1057" s="0">
        <f>VLOOKUP(E1057,'Tier Params'!$A:$B,2,FALSE)</f>
        <v/>
      </c>
      <c r="G1057" s="0">
        <f>VLOOKUP(E1057,'Tier Params'!$A:$C,3,FALSE)</f>
        <v/>
      </c>
      <c r="H1057" s="0">
        <f>CEILING(D1057/G1057,1)</f>
        <v/>
      </c>
      <c r="I1057" s="0">
        <f>H1057*F1057</f>
        <v/>
      </c>
    </row>
    <row r="1058">
      <c r="A1058" s="0" t="inlineStr">
        <is>
          <t>'Reference sheet'!N1060</t>
        </is>
      </c>
      <c r="B1058" s="0" t="inlineStr">
        <is>
          <t>Structure Docking Bay</t>
        </is>
      </c>
      <c r="C1058" s="0" t="inlineStr">
        <is>
          <t>Complex Organisms</t>
        </is>
      </c>
      <c r="D1058" s="0" t="n">
        <v>72000</v>
      </c>
      <c r="E1058" s="0">
        <f>VLOOKUP(C1058,'Item Tier Lookup'!$A:$B,2,FALSE)</f>
        <v/>
      </c>
      <c r="F1058" s="0">
        <f>VLOOKUP(E1058,'Tier Params'!$A:$B,2,FALSE)</f>
        <v/>
      </c>
      <c r="G1058" s="0">
        <f>VLOOKUP(E1058,'Tier Params'!$A:$C,3,FALSE)</f>
        <v/>
      </c>
      <c r="H1058" s="0">
        <f>CEILING(D1058/G1058,1)</f>
        <v/>
      </c>
      <c r="I1058" s="0">
        <f>H1058*F1058</f>
        <v/>
      </c>
    </row>
    <row r="1059">
      <c r="A1059" s="0" t="inlineStr">
        <is>
          <t>'Reference sheet'!N1061</t>
        </is>
      </c>
      <c r="B1059" s="0" t="inlineStr">
        <is>
          <t>Structure Medical Center</t>
        </is>
      </c>
      <c r="C1059" s="0" t="inlineStr">
        <is>
          <t>Structure Medical Center</t>
        </is>
      </c>
      <c r="D1059" s="0" t="n">
        <v>1</v>
      </c>
      <c r="E1059" s="0">
        <f>VLOOKUP(C1059,'Item Tier Lookup'!$A:$B,2,FALSE)</f>
        <v/>
      </c>
      <c r="F1059" s="0">
        <f>VLOOKUP(E1059,'Tier Params'!$A:$B,2,FALSE)</f>
        <v/>
      </c>
      <c r="G1059" s="0">
        <f>VLOOKUP(E1059,'Tier Params'!$A:$C,3,FALSE)</f>
        <v/>
      </c>
      <c r="H1059" s="0">
        <f>CEILING(D1059/G1059,1)</f>
        <v/>
      </c>
      <c r="I1059" s="0">
        <f>H1059*F1059</f>
        <v/>
      </c>
    </row>
    <row r="1060">
      <c r="A1060" s="0" t="inlineStr">
        <is>
          <t>'Reference sheet'!N1062</t>
        </is>
      </c>
      <c r="B1060" s="0" t="inlineStr">
        <is>
          <t>Structure Medical Center</t>
        </is>
      </c>
      <c r="C1060" s="0" t="inlineStr">
        <is>
          <t>Tritanium</t>
        </is>
      </c>
      <c r="D1060" s="0" t="n">
        <v>450000</v>
      </c>
      <c r="E1060" s="0">
        <f>VLOOKUP(C1060,'Item Tier Lookup'!$A:$B,2,FALSE)</f>
        <v/>
      </c>
      <c r="F1060" s="0">
        <f>VLOOKUP(E1060,'Tier Params'!$A:$B,2,FALSE)</f>
        <v/>
      </c>
      <c r="G1060" s="0">
        <f>VLOOKUP(E1060,'Tier Params'!$A:$C,3,FALSE)</f>
        <v/>
      </c>
      <c r="H1060" s="0">
        <f>CEILING(D1060/G1060,1)</f>
        <v/>
      </c>
      <c r="I1060" s="0">
        <f>H1060*F1060</f>
        <v/>
      </c>
    </row>
    <row r="1061">
      <c r="A1061" s="0" t="inlineStr">
        <is>
          <t>'Reference sheet'!N1063</t>
        </is>
      </c>
      <c r="B1061" s="0" t="inlineStr">
        <is>
          <t>Structure Medical Center</t>
        </is>
      </c>
      <c r="C1061" s="0" t="inlineStr">
        <is>
          <t>Pyerite</t>
        </is>
      </c>
      <c r="D1061" s="0" t="n">
        <v>90000</v>
      </c>
      <c r="E1061" s="0">
        <f>VLOOKUP(C1061,'Item Tier Lookup'!$A:$B,2,FALSE)</f>
        <v/>
      </c>
      <c r="F1061" s="0">
        <f>VLOOKUP(E1061,'Tier Params'!$A:$B,2,FALSE)</f>
        <v/>
      </c>
      <c r="G1061" s="0">
        <f>VLOOKUP(E1061,'Tier Params'!$A:$C,3,FALSE)</f>
        <v/>
      </c>
      <c r="H1061" s="0">
        <f>CEILING(D1061/G1061,1)</f>
        <v/>
      </c>
      <c r="I1061" s="0">
        <f>H1061*F1061</f>
        <v/>
      </c>
    </row>
    <row r="1062">
      <c r="A1062" s="0" t="inlineStr">
        <is>
          <t>'Reference sheet'!N1064</t>
        </is>
      </c>
      <c r="B1062" s="0" t="inlineStr">
        <is>
          <t>Structure Medical Center</t>
        </is>
      </c>
      <c r="C1062" s="0" t="inlineStr">
        <is>
          <t>Mexallon</t>
        </is>
      </c>
      <c r="D1062" s="0" t="n">
        <v>31500</v>
      </c>
      <c r="E1062" s="0">
        <f>VLOOKUP(C1062,'Item Tier Lookup'!$A:$B,2,FALSE)</f>
        <v/>
      </c>
      <c r="F1062" s="0">
        <f>VLOOKUP(E1062,'Tier Params'!$A:$B,2,FALSE)</f>
        <v/>
      </c>
      <c r="G1062" s="0">
        <f>VLOOKUP(E1062,'Tier Params'!$A:$C,3,FALSE)</f>
        <v/>
      </c>
      <c r="H1062" s="0">
        <f>CEILING(D1062/G1062,1)</f>
        <v/>
      </c>
      <c r="I1062" s="0">
        <f>H1062*F1062</f>
        <v/>
      </c>
    </row>
    <row r="1063">
      <c r="A1063" s="0" t="inlineStr">
        <is>
          <t>'Reference sheet'!N1065</t>
        </is>
      </c>
      <c r="B1063" s="0" t="inlineStr">
        <is>
          <t>Structure Medical Center</t>
        </is>
      </c>
      <c r="C1063" s="0" t="inlineStr">
        <is>
          <t>Isogen</t>
        </is>
      </c>
      <c r="D1063" s="0" t="n">
        <v>3600</v>
      </c>
      <c r="E1063" s="0">
        <f>VLOOKUP(C1063,'Item Tier Lookup'!$A:$B,2,FALSE)</f>
        <v/>
      </c>
      <c r="F1063" s="0">
        <f>VLOOKUP(E1063,'Tier Params'!$A:$B,2,FALSE)</f>
        <v/>
      </c>
      <c r="G1063" s="0">
        <f>VLOOKUP(E1063,'Tier Params'!$A:$C,3,FALSE)</f>
        <v/>
      </c>
      <c r="H1063" s="0">
        <f>CEILING(D1063/G1063,1)</f>
        <v/>
      </c>
      <c r="I1063" s="0">
        <f>H1063*F1063</f>
        <v/>
      </c>
    </row>
    <row r="1064">
      <c r="A1064" s="0" t="inlineStr">
        <is>
          <t>'Reference sheet'!N1066</t>
        </is>
      </c>
      <c r="B1064" s="0" t="inlineStr">
        <is>
          <t>Structure Medical Center</t>
        </is>
      </c>
      <c r="C1064" s="0" t="inlineStr">
        <is>
          <t>Nocxium</t>
        </is>
      </c>
      <c r="D1064" s="0" t="n">
        <v>675</v>
      </c>
      <c r="E1064" s="0">
        <f>VLOOKUP(C1064,'Item Tier Lookup'!$A:$B,2,FALSE)</f>
        <v/>
      </c>
      <c r="F1064" s="0">
        <f>VLOOKUP(E1064,'Tier Params'!$A:$B,2,FALSE)</f>
        <v/>
      </c>
      <c r="G1064" s="0">
        <f>VLOOKUP(E1064,'Tier Params'!$A:$C,3,FALSE)</f>
        <v/>
      </c>
      <c r="H1064" s="0">
        <f>CEILING(D1064/G1064,1)</f>
        <v/>
      </c>
      <c r="I1064" s="0">
        <f>H1064*F1064</f>
        <v/>
      </c>
    </row>
    <row r="1065">
      <c r="A1065" s="0" t="inlineStr">
        <is>
          <t>'Reference sheet'!N1067</t>
        </is>
      </c>
      <c r="B1065" s="0" t="inlineStr">
        <is>
          <t>Structure Medical Center</t>
        </is>
      </c>
      <c r="C1065" s="0" t="inlineStr">
        <is>
          <t>Zydrine</t>
        </is>
      </c>
      <c r="D1065" s="0" t="n">
        <v>315</v>
      </c>
      <c r="E1065" s="0">
        <f>VLOOKUP(C1065,'Item Tier Lookup'!$A:$B,2,FALSE)</f>
        <v/>
      </c>
      <c r="F1065" s="0">
        <f>VLOOKUP(E1065,'Tier Params'!$A:$B,2,FALSE)</f>
        <v/>
      </c>
      <c r="G1065" s="0">
        <f>VLOOKUP(E1065,'Tier Params'!$A:$C,3,FALSE)</f>
        <v/>
      </c>
      <c r="H1065" s="0">
        <f>CEILING(D1065/G1065,1)</f>
        <v/>
      </c>
      <c r="I1065" s="0">
        <f>H1065*F1065</f>
        <v/>
      </c>
    </row>
    <row r="1066">
      <c r="A1066" s="0" t="inlineStr">
        <is>
          <t>'Reference sheet'!N1068</t>
        </is>
      </c>
      <c r="B1066" s="0" t="inlineStr">
        <is>
          <t>Structure Medical Center</t>
        </is>
      </c>
      <c r="C1066" s="0" t="inlineStr">
        <is>
          <t>Megacyte</t>
        </is>
      </c>
      <c r="D1066" s="0" t="n">
        <v>135</v>
      </c>
      <c r="E1066" s="0">
        <f>VLOOKUP(C1066,'Item Tier Lookup'!$A:$B,2,FALSE)</f>
        <v/>
      </c>
      <c r="F1066" s="0">
        <f>VLOOKUP(E1066,'Tier Params'!$A:$B,2,FALSE)</f>
        <v/>
      </c>
      <c r="G1066" s="0">
        <f>VLOOKUP(E1066,'Tier Params'!$A:$C,3,FALSE)</f>
        <v/>
      </c>
      <c r="H1066" s="0">
        <f>CEILING(D1066/G1066,1)</f>
        <v/>
      </c>
      <c r="I1066" s="0">
        <f>H1066*F1066</f>
        <v/>
      </c>
    </row>
    <row r="1067">
      <c r="A1067" s="0" t="inlineStr">
        <is>
          <t>'Reference sheet'!N1069</t>
        </is>
      </c>
      <c r="B1067" s="0" t="inlineStr">
        <is>
          <t>Structure Medical Center</t>
        </is>
      </c>
      <c r="C1067" s="0" t="inlineStr">
        <is>
          <t>Broadcast Node</t>
        </is>
      </c>
      <c r="D1067" s="0" t="n">
        <v>3</v>
      </c>
      <c r="E1067" s="0">
        <f>VLOOKUP(C1067,'Item Tier Lookup'!$A:$B,2,FALSE)</f>
        <v/>
      </c>
      <c r="F1067" s="0">
        <f>VLOOKUP(E1067,'Tier Params'!$A:$B,2,FALSE)</f>
        <v/>
      </c>
      <c r="G1067" s="0">
        <f>VLOOKUP(E1067,'Tier Params'!$A:$C,3,FALSE)</f>
        <v/>
      </c>
      <c r="H1067" s="0">
        <f>CEILING(D1067/G1067,1)</f>
        <v/>
      </c>
      <c r="I1067" s="0">
        <f>H1067*F1067</f>
        <v/>
      </c>
    </row>
    <row r="1068">
      <c r="A1068" s="0" t="inlineStr">
        <is>
          <t>'Reference sheet'!N1070</t>
        </is>
      </c>
      <c r="B1068" s="0" t="inlineStr">
        <is>
          <t>Structure Medical Center</t>
        </is>
      </c>
      <c r="C1068" s="0" t="inlineStr">
        <is>
          <t>Data Chips</t>
        </is>
      </c>
      <c r="D1068" s="0" t="n">
        <v>18</v>
      </c>
      <c r="E1068" s="0">
        <f>VLOOKUP(C1068,'Item Tier Lookup'!$A:$B,2,FALSE)</f>
        <v/>
      </c>
      <c r="F1068" s="0">
        <f>VLOOKUP(E1068,'Tier Params'!$A:$B,2,FALSE)</f>
        <v/>
      </c>
      <c r="G1068" s="0">
        <f>VLOOKUP(E1068,'Tier Params'!$A:$C,3,FALSE)</f>
        <v/>
      </c>
      <c r="H1068" s="0">
        <f>CEILING(D1068/G1068,1)</f>
        <v/>
      </c>
      <c r="I1068" s="0">
        <f>H1068*F1068</f>
        <v/>
      </c>
    </row>
    <row r="1069">
      <c r="A1069" s="0" t="inlineStr">
        <is>
          <t>'Reference sheet'!N1071</t>
        </is>
      </c>
      <c r="B1069" s="0" t="inlineStr">
        <is>
          <t>Structure Medical Center</t>
        </is>
      </c>
      <c r="C1069" s="0" t="inlineStr">
        <is>
          <t>Supertensile Plastics</t>
        </is>
      </c>
      <c r="D1069" s="0" t="n">
        <v>60</v>
      </c>
      <c r="E1069" s="0">
        <f>VLOOKUP(C1069,'Item Tier Lookup'!$A:$B,2,FALSE)</f>
        <v/>
      </c>
      <c r="F1069" s="0">
        <f>VLOOKUP(E1069,'Tier Params'!$A:$B,2,FALSE)</f>
        <v/>
      </c>
      <c r="G1069" s="0">
        <f>VLOOKUP(E1069,'Tier Params'!$A:$C,3,FALSE)</f>
        <v/>
      </c>
      <c r="H1069" s="0">
        <f>CEILING(D1069/G1069,1)</f>
        <v/>
      </c>
      <c r="I1069" s="0">
        <f>H1069*F1069</f>
        <v/>
      </c>
    </row>
    <row r="1070">
      <c r="A1070" s="0" t="inlineStr">
        <is>
          <t>'Reference sheet'!N1072</t>
        </is>
      </c>
      <c r="B1070" s="0" t="inlineStr">
        <is>
          <t>Structure Medical Center</t>
        </is>
      </c>
      <c r="C1070" s="0" t="inlineStr">
        <is>
          <t>Oxygen</t>
        </is>
      </c>
      <c r="D1070" s="0" t="n">
        <v>480</v>
      </c>
      <c r="E1070" s="0">
        <f>VLOOKUP(C1070,'Item Tier Lookup'!$A:$B,2,FALSE)</f>
        <v/>
      </c>
      <c r="F1070" s="0">
        <f>VLOOKUP(E1070,'Tier Params'!$A:$B,2,FALSE)</f>
        <v/>
      </c>
      <c r="G1070" s="0">
        <f>VLOOKUP(E1070,'Tier Params'!$A:$C,3,FALSE)</f>
        <v/>
      </c>
      <c r="H1070" s="0">
        <f>CEILING(D1070/G1070,1)</f>
        <v/>
      </c>
      <c r="I1070" s="0">
        <f>H1070*F1070</f>
        <v/>
      </c>
    </row>
    <row r="1071">
      <c r="A1071" s="0" t="inlineStr">
        <is>
          <t>'Reference sheet'!N1073</t>
        </is>
      </c>
      <c r="B1071" s="0" t="inlineStr">
        <is>
          <t>Structure Medical Center</t>
        </is>
      </c>
      <c r="C1071" s="0" t="inlineStr">
        <is>
          <t>Noble Gas</t>
        </is>
      </c>
      <c r="D1071" s="0" t="n">
        <v>72000</v>
      </c>
      <c r="E1071" s="0">
        <f>VLOOKUP(C1071,'Item Tier Lookup'!$A:$B,2,FALSE)</f>
        <v/>
      </c>
      <c r="F1071" s="0">
        <f>VLOOKUP(E1071,'Tier Params'!$A:$B,2,FALSE)</f>
        <v/>
      </c>
      <c r="G1071" s="0">
        <f>VLOOKUP(E1071,'Tier Params'!$A:$C,3,FALSE)</f>
        <v/>
      </c>
      <c r="H1071" s="0">
        <f>CEILING(D1071/G1071,1)</f>
        <v/>
      </c>
      <c r="I1071" s="0">
        <f>H1071*F1071</f>
        <v/>
      </c>
    </row>
    <row r="1072">
      <c r="A1072" s="0" t="inlineStr">
        <is>
          <t>'Reference sheet'!N1074</t>
        </is>
      </c>
      <c r="B1072" s="0" t="inlineStr">
        <is>
          <t>Structure Medical Center</t>
        </is>
      </c>
      <c r="C1072" s="0" t="inlineStr">
        <is>
          <t>Biomass</t>
        </is>
      </c>
      <c r="D1072" s="0" t="n">
        <v>480</v>
      </c>
      <c r="E1072" s="0">
        <f>VLOOKUP(C1072,'Item Tier Lookup'!$A:$B,2,FALSE)</f>
        <v/>
      </c>
      <c r="F1072" s="0">
        <f>VLOOKUP(E1072,'Tier Params'!$A:$B,2,FALSE)</f>
        <v/>
      </c>
      <c r="G1072" s="0">
        <f>VLOOKUP(E1072,'Tier Params'!$A:$C,3,FALSE)</f>
        <v/>
      </c>
      <c r="H1072" s="0">
        <f>CEILING(D1072/G1072,1)</f>
        <v/>
      </c>
      <c r="I1072" s="0">
        <f>H1072*F1072</f>
        <v/>
      </c>
    </row>
    <row r="1073">
      <c r="A1073" s="0" t="inlineStr">
        <is>
          <t>'Reference sheet'!N1075</t>
        </is>
      </c>
      <c r="B1073" s="0" t="inlineStr">
        <is>
          <t>Structure Medical Center</t>
        </is>
      </c>
      <c r="C1073" s="0" t="inlineStr">
        <is>
          <t>Planktic Colonies</t>
        </is>
      </c>
      <c r="D1073" s="0" t="n">
        <v>72000</v>
      </c>
      <c r="E1073" s="0">
        <f>VLOOKUP(C1073,'Item Tier Lookup'!$A:$B,2,FALSE)</f>
        <v/>
      </c>
      <c r="F1073" s="0">
        <f>VLOOKUP(E1073,'Tier Params'!$A:$B,2,FALSE)</f>
        <v/>
      </c>
      <c r="G1073" s="0">
        <f>VLOOKUP(E1073,'Tier Params'!$A:$C,3,FALSE)</f>
        <v/>
      </c>
      <c r="H1073" s="0">
        <f>CEILING(D1073/G1073,1)</f>
        <v/>
      </c>
      <c r="I1073" s="0">
        <f>H1073*F1073</f>
        <v/>
      </c>
    </row>
    <row r="1074">
      <c r="A1074" s="0" t="inlineStr">
        <is>
          <t>'Reference sheet'!N1076</t>
        </is>
      </c>
      <c r="B1074" s="0" t="inlineStr">
        <is>
          <t>Structure Medical Center</t>
        </is>
      </c>
      <c r="C1074" s="0" t="inlineStr">
        <is>
          <t>Microfiber Shielding</t>
        </is>
      </c>
      <c r="D1074" s="0" t="n">
        <v>60</v>
      </c>
      <c r="E1074" s="0">
        <f>VLOOKUP(C1074,'Item Tier Lookup'!$A:$B,2,FALSE)</f>
        <v/>
      </c>
      <c r="F1074" s="0">
        <f>VLOOKUP(E1074,'Tier Params'!$A:$B,2,FALSE)</f>
        <v/>
      </c>
      <c r="G1074" s="0">
        <f>VLOOKUP(E1074,'Tier Params'!$A:$C,3,FALSE)</f>
        <v/>
      </c>
      <c r="H1074" s="0">
        <f>CEILING(D1074/G1074,1)</f>
        <v/>
      </c>
      <c r="I1074" s="0">
        <f>H1074*F1074</f>
        <v/>
      </c>
    </row>
    <row r="1075">
      <c r="A1075" s="0" t="inlineStr">
        <is>
          <t>'Reference sheet'!N1077</t>
        </is>
      </c>
      <c r="B1075" s="0" t="inlineStr">
        <is>
          <t>Structure Medical Center</t>
        </is>
      </c>
      <c r="C1075" s="0" t="inlineStr">
        <is>
          <t>Silicon</t>
        </is>
      </c>
      <c r="D1075" s="0" t="n">
        <v>480</v>
      </c>
      <c r="E1075" s="0">
        <f>VLOOKUP(C1075,'Item Tier Lookup'!$A:$B,2,FALSE)</f>
        <v/>
      </c>
      <c r="F1075" s="0">
        <f>VLOOKUP(E1075,'Tier Params'!$A:$B,2,FALSE)</f>
        <v/>
      </c>
      <c r="G1075" s="0">
        <f>VLOOKUP(E1075,'Tier Params'!$A:$C,3,FALSE)</f>
        <v/>
      </c>
      <c r="H1075" s="0">
        <f>CEILING(D1075/G1075,1)</f>
        <v/>
      </c>
      <c r="I1075" s="0">
        <f>H1075*F1075</f>
        <v/>
      </c>
    </row>
    <row r="1076">
      <c r="A1076" s="0" t="inlineStr">
        <is>
          <t>'Reference sheet'!N1078</t>
        </is>
      </c>
      <c r="B1076" s="0" t="inlineStr">
        <is>
          <t>Structure Medical Center</t>
        </is>
      </c>
      <c r="C1076" s="0" t="inlineStr">
        <is>
          <t>Felsic Magma</t>
        </is>
      </c>
      <c r="D1076" s="0" t="n">
        <v>72000</v>
      </c>
      <c r="E1076" s="0">
        <f>VLOOKUP(C1076,'Item Tier Lookup'!$A:$B,2,FALSE)</f>
        <v/>
      </c>
      <c r="F1076" s="0">
        <f>VLOOKUP(E1076,'Tier Params'!$A:$B,2,FALSE)</f>
        <v/>
      </c>
      <c r="G1076" s="0">
        <f>VLOOKUP(E1076,'Tier Params'!$A:$C,3,FALSE)</f>
        <v/>
      </c>
      <c r="H1076" s="0">
        <f>CEILING(D1076/G1076,1)</f>
        <v/>
      </c>
      <c r="I1076" s="0">
        <f>H1076*F1076</f>
        <v/>
      </c>
    </row>
    <row r="1077">
      <c r="A1077" s="0" t="inlineStr">
        <is>
          <t>'Reference sheet'!N1079</t>
        </is>
      </c>
      <c r="B1077" s="0" t="inlineStr">
        <is>
          <t>Structure Medical Center</t>
        </is>
      </c>
      <c r="C1077" s="0" t="inlineStr">
        <is>
          <t>Industrial Fibers</t>
        </is>
      </c>
      <c r="D1077" s="0" t="n">
        <v>480</v>
      </c>
      <c r="E1077" s="0">
        <f>VLOOKUP(C1077,'Item Tier Lookup'!$A:$B,2,FALSE)</f>
        <v/>
      </c>
      <c r="F1077" s="0">
        <f>VLOOKUP(E1077,'Tier Params'!$A:$B,2,FALSE)</f>
        <v/>
      </c>
      <c r="G1077" s="0">
        <f>VLOOKUP(E1077,'Tier Params'!$A:$C,3,FALSE)</f>
        <v/>
      </c>
      <c r="H1077" s="0">
        <f>CEILING(D1077/G1077,1)</f>
        <v/>
      </c>
      <c r="I1077" s="0">
        <f>H1077*F1077</f>
        <v/>
      </c>
    </row>
    <row r="1078">
      <c r="A1078" s="0" t="inlineStr">
        <is>
          <t>'Reference sheet'!N1080</t>
        </is>
      </c>
      <c r="B1078" s="0" t="inlineStr">
        <is>
          <t>Structure Medical Center</t>
        </is>
      </c>
      <c r="C1078" s="0" t="inlineStr">
        <is>
          <t>Autotrophs</t>
        </is>
      </c>
      <c r="D1078" s="0" t="n">
        <v>72000</v>
      </c>
      <c r="E1078" s="0">
        <f>VLOOKUP(C1078,'Item Tier Lookup'!$A:$B,2,FALSE)</f>
        <v/>
      </c>
      <c r="F1078" s="0">
        <f>VLOOKUP(E1078,'Tier Params'!$A:$B,2,FALSE)</f>
        <v/>
      </c>
      <c r="G1078" s="0">
        <f>VLOOKUP(E1078,'Tier Params'!$A:$C,3,FALSE)</f>
        <v/>
      </c>
      <c r="H1078" s="0">
        <f>CEILING(D1078/G1078,1)</f>
        <v/>
      </c>
      <c r="I1078" s="0">
        <f>H1078*F1078</f>
        <v/>
      </c>
    </row>
    <row r="1079">
      <c r="A1079" s="0" t="inlineStr">
        <is>
          <t>'Reference sheet'!N1081</t>
        </is>
      </c>
      <c r="B1079" s="0" t="inlineStr">
        <is>
          <t>Structure Medical Center</t>
        </is>
      </c>
      <c r="C1079" s="0" t="inlineStr">
        <is>
          <t>Neocoms</t>
        </is>
      </c>
      <c r="D1079" s="0" t="n">
        <v>18</v>
      </c>
      <c r="E1079" s="0">
        <f>VLOOKUP(C1079,'Item Tier Lookup'!$A:$B,2,FALSE)</f>
        <v/>
      </c>
      <c r="F1079" s="0">
        <f>VLOOKUP(E1079,'Tier Params'!$A:$B,2,FALSE)</f>
        <v/>
      </c>
      <c r="G1079" s="0">
        <f>VLOOKUP(E1079,'Tier Params'!$A:$C,3,FALSE)</f>
        <v/>
      </c>
      <c r="H1079" s="0">
        <f>CEILING(D1079/G1079,1)</f>
        <v/>
      </c>
      <c r="I1079" s="0">
        <f>H1079*F1079</f>
        <v/>
      </c>
    </row>
    <row r="1080">
      <c r="A1080" s="0" t="inlineStr">
        <is>
          <t>'Reference sheet'!N1082</t>
        </is>
      </c>
      <c r="B1080" s="0" t="inlineStr">
        <is>
          <t>Structure Medical Center</t>
        </is>
      </c>
      <c r="C1080" s="0" t="inlineStr">
        <is>
          <t>Biocells</t>
        </is>
      </c>
      <c r="D1080" s="0" t="n">
        <v>60</v>
      </c>
      <c r="E1080" s="0">
        <f>VLOOKUP(C1080,'Item Tier Lookup'!$A:$B,2,FALSE)</f>
        <v/>
      </c>
      <c r="F1080" s="0">
        <f>VLOOKUP(E1080,'Tier Params'!$A:$B,2,FALSE)</f>
        <v/>
      </c>
      <c r="G1080" s="0">
        <f>VLOOKUP(E1080,'Tier Params'!$A:$C,3,FALSE)</f>
        <v/>
      </c>
      <c r="H1080" s="0">
        <f>CEILING(D1080/G1080,1)</f>
        <v/>
      </c>
      <c r="I1080" s="0">
        <f>H1080*F1080</f>
        <v/>
      </c>
    </row>
    <row r="1081">
      <c r="A1081" s="0" t="inlineStr">
        <is>
          <t>'Reference sheet'!N1083</t>
        </is>
      </c>
      <c r="B1081" s="0" t="inlineStr">
        <is>
          <t>Structure Medical Center</t>
        </is>
      </c>
      <c r="C1081" s="0" t="inlineStr">
        <is>
          <t>Biofuels</t>
        </is>
      </c>
      <c r="D1081" s="0" t="n">
        <v>480</v>
      </c>
      <c r="E1081" s="0">
        <f>VLOOKUP(C1081,'Item Tier Lookup'!$A:$B,2,FALSE)</f>
        <v/>
      </c>
      <c r="F1081" s="0">
        <f>VLOOKUP(E1081,'Tier Params'!$A:$B,2,FALSE)</f>
        <v/>
      </c>
      <c r="G1081" s="0">
        <f>VLOOKUP(E1081,'Tier Params'!$A:$C,3,FALSE)</f>
        <v/>
      </c>
      <c r="H1081" s="0">
        <f>CEILING(D1081/G1081,1)</f>
        <v/>
      </c>
      <c r="I1081" s="0">
        <f>H1081*F1081</f>
        <v/>
      </c>
    </row>
    <row r="1082">
      <c r="A1082" s="0" t="inlineStr">
        <is>
          <t>'Reference sheet'!N1084</t>
        </is>
      </c>
      <c r="B1082" s="0" t="inlineStr">
        <is>
          <t>Structure Medical Center</t>
        </is>
      </c>
      <c r="C1082" s="0" t="inlineStr">
        <is>
          <t>Carbon Compounds</t>
        </is>
      </c>
      <c r="D1082" s="0" t="n">
        <v>72000</v>
      </c>
      <c r="E1082" s="0">
        <f>VLOOKUP(C1082,'Item Tier Lookup'!$A:$B,2,FALSE)</f>
        <v/>
      </c>
      <c r="F1082" s="0">
        <f>VLOOKUP(E1082,'Tier Params'!$A:$B,2,FALSE)</f>
        <v/>
      </c>
      <c r="G1082" s="0">
        <f>VLOOKUP(E1082,'Tier Params'!$A:$C,3,FALSE)</f>
        <v/>
      </c>
      <c r="H1082" s="0">
        <f>CEILING(D1082/G1082,1)</f>
        <v/>
      </c>
      <c r="I1082" s="0">
        <f>H1082*F1082</f>
        <v/>
      </c>
    </row>
    <row r="1083">
      <c r="A1083" s="0" t="inlineStr">
        <is>
          <t>'Reference sheet'!N1085</t>
        </is>
      </c>
      <c r="B1083" s="0" t="inlineStr">
        <is>
          <t>Structure Medical Center</t>
        </is>
      </c>
      <c r="C1083" s="0" t="inlineStr">
        <is>
          <t>Precious Metals</t>
        </is>
      </c>
      <c r="D1083" s="0" t="n">
        <v>480</v>
      </c>
      <c r="E1083" s="0">
        <f>VLOOKUP(C1083,'Item Tier Lookup'!$A:$B,2,FALSE)</f>
        <v/>
      </c>
      <c r="F1083" s="0">
        <f>VLOOKUP(E1083,'Tier Params'!$A:$B,2,FALSE)</f>
        <v/>
      </c>
      <c r="G1083" s="0">
        <f>VLOOKUP(E1083,'Tier Params'!$A:$C,3,FALSE)</f>
        <v/>
      </c>
      <c r="H1083" s="0">
        <f>CEILING(D1083/G1083,1)</f>
        <v/>
      </c>
      <c r="I1083" s="0">
        <f>H1083*F1083</f>
        <v/>
      </c>
    </row>
    <row r="1084">
      <c r="A1084" s="0" t="inlineStr">
        <is>
          <t>'Reference sheet'!N1086</t>
        </is>
      </c>
      <c r="B1084" s="0" t="inlineStr">
        <is>
          <t>Structure Medical Center</t>
        </is>
      </c>
      <c r="C1084" s="0" t="inlineStr">
        <is>
          <t>Noble Metals</t>
        </is>
      </c>
      <c r="D1084" s="0" t="n">
        <v>72000</v>
      </c>
      <c r="E1084" s="0">
        <f>VLOOKUP(C1084,'Item Tier Lookup'!$A:$B,2,FALSE)</f>
        <v/>
      </c>
      <c r="F1084" s="0">
        <f>VLOOKUP(E1084,'Tier Params'!$A:$B,2,FALSE)</f>
        <v/>
      </c>
      <c r="G1084" s="0">
        <f>VLOOKUP(E1084,'Tier Params'!$A:$C,3,FALSE)</f>
        <v/>
      </c>
      <c r="H1084" s="0">
        <f>CEILING(D1084/G1084,1)</f>
        <v/>
      </c>
      <c r="I1084" s="0">
        <f>H1084*F1084</f>
        <v/>
      </c>
    </row>
    <row r="1085">
      <c r="A1085" s="0" t="inlineStr">
        <is>
          <t>'Reference sheet'!N1087</t>
        </is>
      </c>
      <c r="B1085" s="0" t="inlineStr">
        <is>
          <t>Structure Medical Center</t>
        </is>
      </c>
      <c r="C1085" s="0" t="inlineStr">
        <is>
          <t>Silicate Glass</t>
        </is>
      </c>
      <c r="D1085" s="0" t="n">
        <v>60</v>
      </c>
      <c r="E1085" s="0">
        <f>VLOOKUP(C1085,'Item Tier Lookup'!$A:$B,2,FALSE)</f>
        <v/>
      </c>
      <c r="F1085" s="0">
        <f>VLOOKUP(E1085,'Tier Params'!$A:$B,2,FALSE)</f>
        <v/>
      </c>
      <c r="G1085" s="0">
        <f>VLOOKUP(E1085,'Tier Params'!$A:$C,3,FALSE)</f>
        <v/>
      </c>
      <c r="H1085" s="0">
        <f>CEILING(D1085/G1085,1)</f>
        <v/>
      </c>
      <c r="I1085" s="0">
        <f>H1085*F1085</f>
        <v/>
      </c>
    </row>
    <row r="1086">
      <c r="A1086" s="0" t="inlineStr">
        <is>
          <t>'Reference sheet'!N1088</t>
        </is>
      </c>
      <c r="B1086" s="0" t="inlineStr">
        <is>
          <t>Structure Medical Center</t>
        </is>
      </c>
      <c r="C1086" s="0" t="inlineStr">
        <is>
          <t>Oxidizing Compound</t>
        </is>
      </c>
      <c r="D1086" s="0" t="n">
        <v>480</v>
      </c>
      <c r="E1086" s="0">
        <f>VLOOKUP(C1086,'Item Tier Lookup'!$A:$B,2,FALSE)</f>
        <v/>
      </c>
      <c r="F1086" s="0">
        <f>VLOOKUP(E1086,'Tier Params'!$A:$B,2,FALSE)</f>
        <v/>
      </c>
      <c r="G1086" s="0">
        <f>VLOOKUP(E1086,'Tier Params'!$A:$C,3,FALSE)</f>
        <v/>
      </c>
      <c r="H1086" s="0">
        <f>CEILING(D1086/G1086,1)</f>
        <v/>
      </c>
      <c r="I1086" s="0">
        <f>H1086*F1086</f>
        <v/>
      </c>
    </row>
    <row r="1087">
      <c r="A1087" s="0" t="inlineStr">
        <is>
          <t>'Reference sheet'!N1089</t>
        </is>
      </c>
      <c r="B1087" s="0" t="inlineStr">
        <is>
          <t>Structure Medical Center</t>
        </is>
      </c>
      <c r="C1087" s="0" t="inlineStr">
        <is>
          <t>Reactive Gas</t>
        </is>
      </c>
      <c r="D1087" s="0" t="n">
        <v>72000</v>
      </c>
      <c r="E1087" s="0">
        <f>VLOOKUP(C1087,'Item Tier Lookup'!$A:$B,2,FALSE)</f>
        <v/>
      </c>
      <c r="F1087" s="0">
        <f>VLOOKUP(E1087,'Tier Params'!$A:$B,2,FALSE)</f>
        <v/>
      </c>
      <c r="G1087" s="0">
        <f>VLOOKUP(E1087,'Tier Params'!$A:$C,3,FALSE)</f>
        <v/>
      </c>
      <c r="H1087" s="0">
        <f>CEILING(D1087/G1087,1)</f>
        <v/>
      </c>
      <c r="I1087" s="0">
        <f>H1087*F1087</f>
        <v/>
      </c>
    </row>
    <row r="1088">
      <c r="A1088" s="0" t="inlineStr">
        <is>
          <t>'Reference sheet'!N1090</t>
        </is>
      </c>
      <c r="B1088" s="0" t="inlineStr">
        <is>
          <t>Structure Medical Center</t>
        </is>
      </c>
      <c r="C1088" s="0" t="inlineStr">
        <is>
          <t>Silicon</t>
        </is>
      </c>
      <c r="D1088" s="0" t="n">
        <v>480</v>
      </c>
      <c r="E1088" s="0">
        <f>VLOOKUP(C1088,'Item Tier Lookup'!$A:$B,2,FALSE)</f>
        <v/>
      </c>
      <c r="F1088" s="0">
        <f>VLOOKUP(E1088,'Tier Params'!$A:$B,2,FALSE)</f>
        <v/>
      </c>
      <c r="G1088" s="0">
        <f>VLOOKUP(E1088,'Tier Params'!$A:$C,3,FALSE)</f>
        <v/>
      </c>
      <c r="H1088" s="0">
        <f>CEILING(D1088/G1088,1)</f>
        <v/>
      </c>
      <c r="I1088" s="0">
        <f>H1088*F1088</f>
        <v/>
      </c>
    </row>
    <row r="1089">
      <c r="A1089" s="0" t="inlineStr">
        <is>
          <t>'Reference sheet'!N1091</t>
        </is>
      </c>
      <c r="B1089" s="0" t="inlineStr">
        <is>
          <t>Structure Medical Center</t>
        </is>
      </c>
      <c r="C1089" s="0" t="inlineStr">
        <is>
          <t>Felsic Magma</t>
        </is>
      </c>
      <c r="D1089" s="0" t="n">
        <v>72000</v>
      </c>
      <c r="E1089" s="0">
        <f>VLOOKUP(C1089,'Item Tier Lookup'!$A:$B,2,FALSE)</f>
        <v/>
      </c>
      <c r="F1089" s="0">
        <f>VLOOKUP(E1089,'Tier Params'!$A:$B,2,FALSE)</f>
        <v/>
      </c>
      <c r="G1089" s="0">
        <f>VLOOKUP(E1089,'Tier Params'!$A:$C,3,FALSE)</f>
        <v/>
      </c>
      <c r="H1089" s="0">
        <f>CEILING(D1089/G1089,1)</f>
        <v/>
      </c>
      <c r="I1089" s="0">
        <f>H1089*F1089</f>
        <v/>
      </c>
    </row>
    <row r="1090">
      <c r="A1090" s="0" t="inlineStr">
        <is>
          <t>'Reference sheet'!N1092</t>
        </is>
      </c>
      <c r="B1090" s="0" t="inlineStr">
        <is>
          <t>Structure Medical Center</t>
        </is>
      </c>
      <c r="C1090" s="0" t="inlineStr">
        <is>
          <t>High-Tech Transmitters</t>
        </is>
      </c>
      <c r="D1090" s="0" t="n">
        <v>18</v>
      </c>
      <c r="E1090" s="0">
        <f>VLOOKUP(C1090,'Item Tier Lookup'!$A:$B,2,FALSE)</f>
        <v/>
      </c>
      <c r="F1090" s="0">
        <f>VLOOKUP(E1090,'Tier Params'!$A:$B,2,FALSE)</f>
        <v/>
      </c>
      <c r="G1090" s="0">
        <f>VLOOKUP(E1090,'Tier Params'!$A:$C,3,FALSE)</f>
        <v/>
      </c>
      <c r="H1090" s="0">
        <f>CEILING(D1090/G1090,1)</f>
        <v/>
      </c>
      <c r="I1090" s="0">
        <f>H1090*F1090</f>
        <v/>
      </c>
    </row>
    <row r="1091">
      <c r="A1091" s="0" t="inlineStr">
        <is>
          <t>'Reference sheet'!N1093</t>
        </is>
      </c>
      <c r="B1091" s="0" t="inlineStr">
        <is>
          <t>Structure Medical Center</t>
        </is>
      </c>
      <c r="C1091" s="0" t="inlineStr">
        <is>
          <t>Transmitter</t>
        </is>
      </c>
      <c r="D1091" s="0" t="n">
        <v>60</v>
      </c>
      <c r="E1091" s="0">
        <f>VLOOKUP(C1091,'Item Tier Lookup'!$A:$B,2,FALSE)</f>
        <v/>
      </c>
      <c r="F1091" s="0">
        <f>VLOOKUP(E1091,'Tier Params'!$A:$B,2,FALSE)</f>
        <v/>
      </c>
      <c r="G1091" s="0">
        <f>VLOOKUP(E1091,'Tier Params'!$A:$C,3,FALSE)</f>
        <v/>
      </c>
      <c r="H1091" s="0">
        <f>CEILING(D1091/G1091,1)</f>
        <v/>
      </c>
      <c r="I1091" s="0">
        <f>H1091*F1091</f>
        <v/>
      </c>
    </row>
    <row r="1092">
      <c r="A1092" s="0" t="inlineStr">
        <is>
          <t>'Reference sheet'!N1094</t>
        </is>
      </c>
      <c r="B1092" s="0" t="inlineStr">
        <is>
          <t>Structure Medical Center</t>
        </is>
      </c>
      <c r="C1092" s="0" t="inlineStr">
        <is>
          <t>Chiral Structures</t>
        </is>
      </c>
      <c r="D1092" s="0" t="n">
        <v>480</v>
      </c>
      <c r="E1092" s="0">
        <f>VLOOKUP(C1092,'Item Tier Lookup'!$A:$B,2,FALSE)</f>
        <v/>
      </c>
      <c r="F1092" s="0">
        <f>VLOOKUP(E1092,'Tier Params'!$A:$B,2,FALSE)</f>
        <v/>
      </c>
      <c r="G1092" s="0">
        <f>VLOOKUP(E1092,'Tier Params'!$A:$C,3,FALSE)</f>
        <v/>
      </c>
      <c r="H1092" s="0">
        <f>CEILING(D1092/G1092,1)</f>
        <v/>
      </c>
      <c r="I1092" s="0">
        <f>H1092*F1092</f>
        <v/>
      </c>
    </row>
    <row r="1093">
      <c r="A1093" s="0" t="inlineStr">
        <is>
          <t>'Reference sheet'!N1095</t>
        </is>
      </c>
      <c r="B1093" s="0" t="inlineStr">
        <is>
          <t>Structure Medical Center</t>
        </is>
      </c>
      <c r="C1093" s="0" t="inlineStr">
        <is>
          <t>Non-CS Crystals</t>
        </is>
      </c>
      <c r="D1093" s="0" t="n">
        <v>72000</v>
      </c>
      <c r="E1093" s="0">
        <f>VLOOKUP(C1093,'Item Tier Lookup'!$A:$B,2,FALSE)</f>
        <v/>
      </c>
      <c r="F1093" s="0">
        <f>VLOOKUP(E1093,'Tier Params'!$A:$B,2,FALSE)</f>
        <v/>
      </c>
      <c r="G1093" s="0">
        <f>VLOOKUP(E1093,'Tier Params'!$A:$C,3,FALSE)</f>
        <v/>
      </c>
      <c r="H1093" s="0">
        <f>CEILING(D1093/G1093,1)</f>
        <v/>
      </c>
      <c r="I1093" s="0">
        <f>H1093*F1093</f>
        <v/>
      </c>
    </row>
    <row r="1094">
      <c r="A1094" s="0" t="inlineStr">
        <is>
          <t>'Reference sheet'!N1096</t>
        </is>
      </c>
      <c r="B1094" s="0" t="inlineStr">
        <is>
          <t>Structure Medical Center</t>
        </is>
      </c>
      <c r="C1094" s="0" t="inlineStr">
        <is>
          <t>Plasmoids</t>
        </is>
      </c>
      <c r="D1094" s="0" t="n">
        <v>480</v>
      </c>
      <c r="E1094" s="0">
        <f>VLOOKUP(C1094,'Item Tier Lookup'!$A:$B,2,FALSE)</f>
        <v/>
      </c>
      <c r="F1094" s="0">
        <f>VLOOKUP(E1094,'Tier Params'!$A:$B,2,FALSE)</f>
        <v/>
      </c>
      <c r="G1094" s="0">
        <f>VLOOKUP(E1094,'Tier Params'!$A:$C,3,FALSE)</f>
        <v/>
      </c>
      <c r="H1094" s="0">
        <f>CEILING(D1094/G1094,1)</f>
        <v/>
      </c>
      <c r="I1094" s="0">
        <f>H1094*F1094</f>
        <v/>
      </c>
    </row>
    <row r="1095">
      <c r="A1095" s="0" t="inlineStr">
        <is>
          <t>'Reference sheet'!N1097</t>
        </is>
      </c>
      <c r="B1095" s="0" t="inlineStr">
        <is>
          <t>Structure Medical Center</t>
        </is>
      </c>
      <c r="C1095" s="0" t="inlineStr">
        <is>
          <t>Suspended Plasma</t>
        </is>
      </c>
      <c r="D1095" s="0" t="n">
        <v>72000</v>
      </c>
      <c r="E1095" s="0">
        <f>VLOOKUP(C1095,'Item Tier Lookup'!$A:$B,2,FALSE)</f>
        <v/>
      </c>
      <c r="F1095" s="0">
        <f>VLOOKUP(E1095,'Tier Params'!$A:$B,2,FALSE)</f>
        <v/>
      </c>
      <c r="G1095" s="0">
        <f>VLOOKUP(E1095,'Tier Params'!$A:$C,3,FALSE)</f>
        <v/>
      </c>
      <c r="H1095" s="0">
        <f>CEILING(D1095/G1095,1)</f>
        <v/>
      </c>
      <c r="I1095" s="0">
        <f>H1095*F1095</f>
        <v/>
      </c>
    </row>
    <row r="1096">
      <c r="A1096" s="0" t="inlineStr">
        <is>
          <t>'Reference sheet'!N1098</t>
        </is>
      </c>
      <c r="B1096" s="0" t="inlineStr">
        <is>
          <t>Structure Medical Center</t>
        </is>
      </c>
      <c r="C1096" s="0" t="inlineStr">
        <is>
          <t>Polyaramids</t>
        </is>
      </c>
      <c r="D1096" s="0" t="n">
        <v>60</v>
      </c>
      <c r="E1096" s="0">
        <f>VLOOKUP(C1096,'Item Tier Lookup'!$A:$B,2,FALSE)</f>
        <v/>
      </c>
      <c r="F1096" s="0">
        <f>VLOOKUP(E1096,'Tier Params'!$A:$B,2,FALSE)</f>
        <v/>
      </c>
      <c r="G1096" s="0">
        <f>VLOOKUP(E1096,'Tier Params'!$A:$C,3,FALSE)</f>
        <v/>
      </c>
      <c r="H1096" s="0">
        <f>CEILING(D1096/G1096,1)</f>
        <v/>
      </c>
      <c r="I1096" s="0">
        <f>H1096*F1096</f>
        <v/>
      </c>
    </row>
    <row r="1097">
      <c r="A1097" s="0" t="inlineStr">
        <is>
          <t>'Reference sheet'!N1099</t>
        </is>
      </c>
      <c r="B1097" s="0" t="inlineStr">
        <is>
          <t>Structure Medical Center</t>
        </is>
      </c>
      <c r="C1097" s="0" t="inlineStr">
        <is>
          <t>Oxidizing Compound</t>
        </is>
      </c>
      <c r="D1097" s="0" t="n">
        <v>480</v>
      </c>
      <c r="E1097" s="0">
        <f>VLOOKUP(C1097,'Item Tier Lookup'!$A:$B,2,FALSE)</f>
        <v/>
      </c>
      <c r="F1097" s="0">
        <f>VLOOKUP(E1097,'Tier Params'!$A:$B,2,FALSE)</f>
        <v/>
      </c>
      <c r="G1097" s="0">
        <f>VLOOKUP(E1097,'Tier Params'!$A:$C,3,FALSE)</f>
        <v/>
      </c>
      <c r="H1097" s="0">
        <f>CEILING(D1097/G1097,1)</f>
        <v/>
      </c>
      <c r="I1097" s="0">
        <f>H1097*F1097</f>
        <v/>
      </c>
    </row>
    <row r="1098">
      <c r="A1098" s="0" t="inlineStr">
        <is>
          <t>'Reference sheet'!N1100</t>
        </is>
      </c>
      <c r="B1098" s="0" t="inlineStr">
        <is>
          <t>Structure Medical Center</t>
        </is>
      </c>
      <c r="C1098" s="0" t="inlineStr">
        <is>
          <t>Reactive Gas</t>
        </is>
      </c>
      <c r="D1098" s="0" t="n">
        <v>72000</v>
      </c>
      <c r="E1098" s="0">
        <f>VLOOKUP(C1098,'Item Tier Lookup'!$A:$B,2,FALSE)</f>
        <v/>
      </c>
      <c r="F1098" s="0">
        <f>VLOOKUP(E1098,'Tier Params'!$A:$B,2,FALSE)</f>
        <v/>
      </c>
      <c r="G1098" s="0">
        <f>VLOOKUP(E1098,'Tier Params'!$A:$C,3,FALSE)</f>
        <v/>
      </c>
      <c r="H1098" s="0">
        <f>CEILING(D1098/G1098,1)</f>
        <v/>
      </c>
      <c r="I1098" s="0">
        <f>H1098*F1098</f>
        <v/>
      </c>
    </row>
    <row r="1099">
      <c r="A1099" s="0" t="inlineStr">
        <is>
          <t>'Reference sheet'!N1101</t>
        </is>
      </c>
      <c r="B1099" s="0" t="inlineStr">
        <is>
          <t>Structure Medical Center</t>
        </is>
      </c>
      <c r="C1099" s="0" t="inlineStr">
        <is>
          <t>Industrial Fibers</t>
        </is>
      </c>
      <c r="D1099" s="0" t="n">
        <v>480</v>
      </c>
      <c r="E1099" s="0">
        <f>VLOOKUP(C1099,'Item Tier Lookup'!$A:$B,2,FALSE)</f>
        <v/>
      </c>
      <c r="F1099" s="0">
        <f>VLOOKUP(E1099,'Tier Params'!$A:$B,2,FALSE)</f>
        <v/>
      </c>
      <c r="G1099" s="0">
        <f>VLOOKUP(E1099,'Tier Params'!$A:$C,3,FALSE)</f>
        <v/>
      </c>
      <c r="H1099" s="0">
        <f>CEILING(D1099/G1099,1)</f>
        <v/>
      </c>
      <c r="I1099" s="0">
        <f>H1099*F1099</f>
        <v/>
      </c>
    </row>
    <row r="1100">
      <c r="A1100" s="0" t="inlineStr">
        <is>
          <t>'Reference sheet'!N1102</t>
        </is>
      </c>
      <c r="B1100" s="0" t="inlineStr">
        <is>
          <t>Structure Medical Center</t>
        </is>
      </c>
      <c r="C1100" s="0" t="inlineStr">
        <is>
          <t>Autotrophs</t>
        </is>
      </c>
      <c r="D1100" s="0" t="n">
        <v>72000</v>
      </c>
      <c r="E1100" s="0">
        <f>VLOOKUP(C1100,'Item Tier Lookup'!$A:$B,2,FALSE)</f>
        <v/>
      </c>
      <c r="F1100" s="0">
        <f>VLOOKUP(E1100,'Tier Params'!$A:$B,2,FALSE)</f>
        <v/>
      </c>
      <c r="G1100" s="0">
        <f>VLOOKUP(E1100,'Tier Params'!$A:$C,3,FALSE)</f>
        <v/>
      </c>
      <c r="H1100" s="0">
        <f>CEILING(D1100/G1100,1)</f>
        <v/>
      </c>
      <c r="I1100" s="0">
        <f>H1100*F1100</f>
        <v/>
      </c>
    </row>
    <row r="1101">
      <c r="A1101" s="0" t="inlineStr">
        <is>
          <t>'Reference sheet'!N1103</t>
        </is>
      </c>
      <c r="B1101" s="0" t="inlineStr">
        <is>
          <t>Structure Medical Center</t>
        </is>
      </c>
      <c r="C1101" s="0" t="inlineStr">
        <is>
          <t>Integrity Response Drones</t>
        </is>
      </c>
      <c r="D1101" s="0" t="n">
        <v>5</v>
      </c>
      <c r="E1101" s="0">
        <f>VLOOKUP(C1101,'Item Tier Lookup'!$A:$B,2,FALSE)</f>
        <v/>
      </c>
      <c r="F1101" s="0">
        <f>VLOOKUP(E1101,'Tier Params'!$A:$B,2,FALSE)</f>
        <v/>
      </c>
      <c r="G1101" s="0">
        <f>VLOOKUP(E1101,'Tier Params'!$A:$C,3,FALSE)</f>
        <v/>
      </c>
      <c r="H1101" s="0">
        <f>CEILING(D1101/G1101,1)</f>
        <v/>
      </c>
      <c r="I1101" s="0">
        <f>H1101*F1101</f>
        <v/>
      </c>
    </row>
    <row r="1102">
      <c r="A1102" s="0" t="inlineStr">
        <is>
          <t>'Reference sheet'!N1104</t>
        </is>
      </c>
      <c r="B1102" s="0" t="inlineStr">
        <is>
          <t>Structure Medical Center</t>
        </is>
      </c>
      <c r="C1102" s="0" t="inlineStr">
        <is>
          <t>Gel-Matrix Biopaste</t>
        </is>
      </c>
      <c r="D1102" s="0" t="n">
        <v>30</v>
      </c>
      <c r="E1102" s="0">
        <f>VLOOKUP(C1102,'Item Tier Lookup'!$A:$B,2,FALSE)</f>
        <v/>
      </c>
      <c r="F1102" s="0">
        <f>VLOOKUP(E1102,'Tier Params'!$A:$B,2,FALSE)</f>
        <v/>
      </c>
      <c r="G1102" s="0">
        <f>VLOOKUP(E1102,'Tier Params'!$A:$C,3,FALSE)</f>
        <v/>
      </c>
      <c r="H1102" s="0">
        <f>CEILING(D1102/G1102,1)</f>
        <v/>
      </c>
      <c r="I1102" s="0">
        <f>H1102*F1102</f>
        <v/>
      </c>
    </row>
    <row r="1103">
      <c r="A1103" s="0" t="inlineStr">
        <is>
          <t>'Reference sheet'!N1105</t>
        </is>
      </c>
      <c r="B1103" s="0" t="inlineStr">
        <is>
          <t>Structure Medical Center</t>
        </is>
      </c>
      <c r="C1103" s="0" t="inlineStr">
        <is>
          <t>Biocells</t>
        </is>
      </c>
      <c r="D1103" s="0" t="n">
        <v>100</v>
      </c>
      <c r="E1103" s="0">
        <f>VLOOKUP(C1103,'Item Tier Lookup'!$A:$B,2,FALSE)</f>
        <v/>
      </c>
      <c r="F1103" s="0">
        <f>VLOOKUP(E1103,'Tier Params'!$A:$B,2,FALSE)</f>
        <v/>
      </c>
      <c r="G1103" s="0">
        <f>VLOOKUP(E1103,'Tier Params'!$A:$C,3,FALSE)</f>
        <v/>
      </c>
      <c r="H1103" s="0">
        <f>CEILING(D1103/G1103,1)</f>
        <v/>
      </c>
      <c r="I1103" s="0">
        <f>H1103*F1103</f>
        <v/>
      </c>
    </row>
    <row r="1104">
      <c r="A1104" s="0" t="inlineStr">
        <is>
          <t>'Reference sheet'!N1106</t>
        </is>
      </c>
      <c r="B1104" s="0" t="inlineStr">
        <is>
          <t>Structure Medical Center</t>
        </is>
      </c>
      <c r="C1104" s="0" t="inlineStr">
        <is>
          <t>Biofuels</t>
        </is>
      </c>
      <c r="D1104" s="0" t="n">
        <v>800</v>
      </c>
      <c r="E1104" s="0">
        <f>VLOOKUP(C1104,'Item Tier Lookup'!$A:$B,2,FALSE)</f>
        <v/>
      </c>
      <c r="F1104" s="0">
        <f>VLOOKUP(E1104,'Tier Params'!$A:$B,2,FALSE)</f>
        <v/>
      </c>
      <c r="G1104" s="0">
        <f>VLOOKUP(E1104,'Tier Params'!$A:$C,3,FALSE)</f>
        <v/>
      </c>
      <c r="H1104" s="0">
        <f>CEILING(D1104/G1104,1)</f>
        <v/>
      </c>
      <c r="I1104" s="0">
        <f>H1104*F1104</f>
        <v/>
      </c>
    </row>
    <row r="1105">
      <c r="A1105" s="0" t="inlineStr">
        <is>
          <t>'Reference sheet'!N1107</t>
        </is>
      </c>
      <c r="B1105" s="0" t="inlineStr">
        <is>
          <t>Structure Medical Center</t>
        </is>
      </c>
      <c r="C1105" s="0" t="inlineStr">
        <is>
          <t>Carbon Compounds</t>
        </is>
      </c>
      <c r="D1105" s="0" t="n">
        <v>120000</v>
      </c>
      <c r="E1105" s="0">
        <f>VLOOKUP(C1105,'Item Tier Lookup'!$A:$B,2,FALSE)</f>
        <v/>
      </c>
      <c r="F1105" s="0">
        <f>VLOOKUP(E1105,'Tier Params'!$A:$B,2,FALSE)</f>
        <v/>
      </c>
      <c r="G1105" s="0">
        <f>VLOOKUP(E1105,'Tier Params'!$A:$C,3,FALSE)</f>
        <v/>
      </c>
      <c r="H1105" s="0">
        <f>CEILING(D1105/G1105,1)</f>
        <v/>
      </c>
      <c r="I1105" s="0">
        <f>H1105*F1105</f>
        <v/>
      </c>
    </row>
    <row r="1106">
      <c r="A1106" s="0" t="inlineStr">
        <is>
          <t>'Reference sheet'!N1108</t>
        </is>
      </c>
      <c r="B1106" s="0" t="inlineStr">
        <is>
          <t>Structure Medical Center</t>
        </is>
      </c>
      <c r="C1106" s="0" t="inlineStr">
        <is>
          <t>Precious Metals</t>
        </is>
      </c>
      <c r="D1106" s="0" t="n">
        <v>800</v>
      </c>
      <c r="E1106" s="0">
        <f>VLOOKUP(C1106,'Item Tier Lookup'!$A:$B,2,FALSE)</f>
        <v/>
      </c>
      <c r="F1106" s="0">
        <f>VLOOKUP(E1106,'Tier Params'!$A:$B,2,FALSE)</f>
        <v/>
      </c>
      <c r="G1106" s="0">
        <f>VLOOKUP(E1106,'Tier Params'!$A:$C,3,FALSE)</f>
        <v/>
      </c>
      <c r="H1106" s="0">
        <f>CEILING(D1106/G1106,1)</f>
        <v/>
      </c>
      <c r="I1106" s="0">
        <f>H1106*F1106</f>
        <v/>
      </c>
    </row>
    <row r="1107">
      <c r="A1107" s="0" t="inlineStr">
        <is>
          <t>'Reference sheet'!N1109</t>
        </is>
      </c>
      <c r="B1107" s="0" t="inlineStr">
        <is>
          <t>Structure Medical Center</t>
        </is>
      </c>
      <c r="C1107" s="0" t="inlineStr">
        <is>
          <t>Noble Metals</t>
        </is>
      </c>
      <c r="D1107" s="0" t="n">
        <v>120000</v>
      </c>
      <c r="E1107" s="0">
        <f>VLOOKUP(C1107,'Item Tier Lookup'!$A:$B,2,FALSE)</f>
        <v/>
      </c>
      <c r="F1107" s="0">
        <f>VLOOKUP(E1107,'Tier Params'!$A:$B,2,FALSE)</f>
        <v/>
      </c>
      <c r="G1107" s="0">
        <f>VLOOKUP(E1107,'Tier Params'!$A:$C,3,FALSE)</f>
        <v/>
      </c>
      <c r="H1107" s="0">
        <f>CEILING(D1107/G1107,1)</f>
        <v/>
      </c>
      <c r="I1107" s="0">
        <f>H1107*F1107</f>
        <v/>
      </c>
    </row>
    <row r="1108">
      <c r="A1108" s="0" t="inlineStr">
        <is>
          <t>'Reference sheet'!N1110</t>
        </is>
      </c>
      <c r="B1108" s="0" t="inlineStr">
        <is>
          <t>Structure Medical Center</t>
        </is>
      </c>
      <c r="C1108" s="0" t="inlineStr">
        <is>
          <t>Oxides</t>
        </is>
      </c>
      <c r="D1108" s="0" t="n">
        <v>100</v>
      </c>
      <c r="E1108" s="0">
        <f>VLOOKUP(C1108,'Item Tier Lookup'!$A:$B,2,FALSE)</f>
        <v/>
      </c>
      <c r="F1108" s="0">
        <f>VLOOKUP(E1108,'Tier Params'!$A:$B,2,FALSE)</f>
        <v/>
      </c>
      <c r="G1108" s="0">
        <f>VLOOKUP(E1108,'Tier Params'!$A:$C,3,FALSE)</f>
        <v/>
      </c>
      <c r="H1108" s="0">
        <f>CEILING(D1108/G1108,1)</f>
        <v/>
      </c>
      <c r="I1108" s="0">
        <f>H1108*F1108</f>
        <v/>
      </c>
    </row>
    <row r="1109">
      <c r="A1109" s="0" t="inlineStr">
        <is>
          <t>'Reference sheet'!N1111</t>
        </is>
      </c>
      <c r="B1109" s="0" t="inlineStr">
        <is>
          <t>Structure Medical Center</t>
        </is>
      </c>
      <c r="C1109" s="0" t="inlineStr">
        <is>
          <t>Oxidizing Compound</t>
        </is>
      </c>
      <c r="D1109" s="0" t="n">
        <v>800</v>
      </c>
      <c r="E1109" s="0">
        <f>VLOOKUP(C1109,'Item Tier Lookup'!$A:$B,2,FALSE)</f>
        <v/>
      </c>
      <c r="F1109" s="0">
        <f>VLOOKUP(E1109,'Tier Params'!$A:$B,2,FALSE)</f>
        <v/>
      </c>
      <c r="G1109" s="0">
        <f>VLOOKUP(E1109,'Tier Params'!$A:$C,3,FALSE)</f>
        <v/>
      </c>
      <c r="H1109" s="0">
        <f>CEILING(D1109/G1109,1)</f>
        <v/>
      </c>
      <c r="I1109" s="0">
        <f>H1109*F1109</f>
        <v/>
      </c>
    </row>
    <row r="1110">
      <c r="A1110" s="0" t="inlineStr">
        <is>
          <t>'Reference sheet'!N1112</t>
        </is>
      </c>
      <c r="B1110" s="0" t="inlineStr">
        <is>
          <t>Structure Medical Center</t>
        </is>
      </c>
      <c r="C1110" s="0" t="inlineStr">
        <is>
          <t>Reactive Gas</t>
        </is>
      </c>
      <c r="D1110" s="0" t="n">
        <v>120000</v>
      </c>
      <c r="E1110" s="0">
        <f>VLOOKUP(C1110,'Item Tier Lookup'!$A:$B,2,FALSE)</f>
        <v/>
      </c>
      <c r="F1110" s="0">
        <f>VLOOKUP(E1110,'Tier Params'!$A:$B,2,FALSE)</f>
        <v/>
      </c>
      <c r="G1110" s="0">
        <f>VLOOKUP(E1110,'Tier Params'!$A:$C,3,FALSE)</f>
        <v/>
      </c>
      <c r="H1110" s="0">
        <f>CEILING(D1110/G1110,1)</f>
        <v/>
      </c>
      <c r="I1110" s="0">
        <f>H1110*F1110</f>
        <v/>
      </c>
    </row>
    <row r="1111">
      <c r="A1111" s="0" t="inlineStr">
        <is>
          <t>'Reference sheet'!N1113</t>
        </is>
      </c>
      <c r="B1111" s="0" t="inlineStr">
        <is>
          <t>Structure Medical Center</t>
        </is>
      </c>
      <c r="C1111" s="0" t="inlineStr">
        <is>
          <t>Oxygen</t>
        </is>
      </c>
      <c r="D1111" s="0" t="n">
        <v>800</v>
      </c>
      <c r="E1111" s="0">
        <f>VLOOKUP(C1111,'Item Tier Lookup'!$A:$B,2,FALSE)</f>
        <v/>
      </c>
      <c r="F1111" s="0">
        <f>VLOOKUP(E1111,'Tier Params'!$A:$B,2,FALSE)</f>
        <v/>
      </c>
      <c r="G1111" s="0">
        <f>VLOOKUP(E1111,'Tier Params'!$A:$C,3,FALSE)</f>
        <v/>
      </c>
      <c r="H1111" s="0">
        <f>CEILING(D1111/G1111,1)</f>
        <v/>
      </c>
      <c r="I1111" s="0">
        <f>H1111*F1111</f>
        <v/>
      </c>
    </row>
    <row r="1112">
      <c r="A1112" s="0" t="inlineStr">
        <is>
          <t>'Reference sheet'!N1114</t>
        </is>
      </c>
      <c r="B1112" s="0" t="inlineStr">
        <is>
          <t>Structure Medical Center</t>
        </is>
      </c>
      <c r="C1112" s="0" t="inlineStr">
        <is>
          <t>Noble Gas</t>
        </is>
      </c>
      <c r="D1112" s="0" t="n">
        <v>120000</v>
      </c>
      <c r="E1112" s="0">
        <f>VLOOKUP(C1112,'Item Tier Lookup'!$A:$B,2,FALSE)</f>
        <v/>
      </c>
      <c r="F1112" s="0">
        <f>VLOOKUP(E1112,'Tier Params'!$A:$B,2,FALSE)</f>
        <v/>
      </c>
      <c r="G1112" s="0">
        <f>VLOOKUP(E1112,'Tier Params'!$A:$C,3,FALSE)</f>
        <v/>
      </c>
      <c r="H1112" s="0">
        <f>CEILING(D1112/G1112,1)</f>
        <v/>
      </c>
      <c r="I1112" s="0">
        <f>H1112*F1112</f>
        <v/>
      </c>
    </row>
    <row r="1113">
      <c r="A1113" s="0" t="inlineStr">
        <is>
          <t>'Reference sheet'!N1115</t>
        </is>
      </c>
      <c r="B1113" s="0" t="inlineStr">
        <is>
          <t>Structure Medical Center</t>
        </is>
      </c>
      <c r="C1113" s="0" t="inlineStr">
        <is>
          <t>Superconductors</t>
        </is>
      </c>
      <c r="D1113" s="0" t="n">
        <v>100</v>
      </c>
      <c r="E1113" s="0">
        <f>VLOOKUP(C1113,'Item Tier Lookup'!$A:$B,2,FALSE)</f>
        <v/>
      </c>
      <c r="F1113" s="0">
        <f>VLOOKUP(E1113,'Tier Params'!$A:$B,2,FALSE)</f>
        <v/>
      </c>
      <c r="G1113" s="0">
        <f>VLOOKUP(E1113,'Tier Params'!$A:$C,3,FALSE)</f>
        <v/>
      </c>
      <c r="H1113" s="0">
        <f>CEILING(D1113/G1113,1)</f>
        <v/>
      </c>
      <c r="I1113" s="0">
        <f>H1113*F1113</f>
        <v/>
      </c>
    </row>
    <row r="1114">
      <c r="A1114" s="0" t="inlineStr">
        <is>
          <t>'Reference sheet'!N1116</t>
        </is>
      </c>
      <c r="B1114" s="0" t="inlineStr">
        <is>
          <t>Structure Medical Center</t>
        </is>
      </c>
      <c r="C1114" s="0" t="inlineStr">
        <is>
          <t>Plasmoids</t>
        </is>
      </c>
      <c r="D1114" s="0" t="n">
        <v>800</v>
      </c>
      <c r="E1114" s="0">
        <f>VLOOKUP(C1114,'Item Tier Lookup'!$A:$B,2,FALSE)</f>
        <v/>
      </c>
      <c r="F1114" s="0">
        <f>VLOOKUP(E1114,'Tier Params'!$A:$B,2,FALSE)</f>
        <v/>
      </c>
      <c r="G1114" s="0">
        <f>VLOOKUP(E1114,'Tier Params'!$A:$C,3,FALSE)</f>
        <v/>
      </c>
      <c r="H1114" s="0">
        <f>CEILING(D1114/G1114,1)</f>
        <v/>
      </c>
      <c r="I1114" s="0">
        <f>H1114*F1114</f>
        <v/>
      </c>
    </row>
    <row r="1115">
      <c r="A1115" s="0" t="inlineStr">
        <is>
          <t>'Reference sheet'!N1117</t>
        </is>
      </c>
      <c r="B1115" s="0" t="inlineStr">
        <is>
          <t>Structure Medical Center</t>
        </is>
      </c>
      <c r="C1115" s="0" t="inlineStr">
        <is>
          <t>Suspended Plasma</t>
        </is>
      </c>
      <c r="D1115" s="0" t="n">
        <v>120000</v>
      </c>
      <c r="E1115" s="0">
        <f>VLOOKUP(C1115,'Item Tier Lookup'!$A:$B,2,FALSE)</f>
        <v/>
      </c>
      <c r="F1115" s="0">
        <f>VLOOKUP(E1115,'Tier Params'!$A:$B,2,FALSE)</f>
        <v/>
      </c>
      <c r="G1115" s="0">
        <f>VLOOKUP(E1115,'Tier Params'!$A:$C,3,FALSE)</f>
        <v/>
      </c>
      <c r="H1115" s="0">
        <f>CEILING(D1115/G1115,1)</f>
        <v/>
      </c>
      <c r="I1115" s="0">
        <f>H1115*F1115</f>
        <v/>
      </c>
    </row>
    <row r="1116">
      <c r="A1116" s="0" t="inlineStr">
        <is>
          <t>'Reference sheet'!N1118</t>
        </is>
      </c>
      <c r="B1116" s="0" t="inlineStr">
        <is>
          <t>Structure Medical Center</t>
        </is>
      </c>
      <c r="C1116" s="0" t="inlineStr">
        <is>
          <t>Water</t>
        </is>
      </c>
      <c r="D1116" s="0" t="n">
        <v>800</v>
      </c>
      <c r="E1116" s="0">
        <f>VLOOKUP(C1116,'Item Tier Lookup'!$A:$B,2,FALSE)</f>
        <v/>
      </c>
      <c r="F1116" s="0">
        <f>VLOOKUP(E1116,'Tier Params'!$A:$B,2,FALSE)</f>
        <v/>
      </c>
      <c r="G1116" s="0">
        <f>VLOOKUP(E1116,'Tier Params'!$A:$C,3,FALSE)</f>
        <v/>
      </c>
      <c r="H1116" s="0">
        <f>CEILING(D1116/G1116,1)</f>
        <v/>
      </c>
      <c r="I1116" s="0">
        <f>H1116*F1116</f>
        <v/>
      </c>
    </row>
    <row r="1117">
      <c r="A1117" s="0" t="inlineStr">
        <is>
          <t>'Reference sheet'!N1119</t>
        </is>
      </c>
      <c r="B1117" s="0" t="inlineStr">
        <is>
          <t>Structure Medical Center</t>
        </is>
      </c>
      <c r="C1117" s="0" t="inlineStr">
        <is>
          <t>Aqueous Liquids</t>
        </is>
      </c>
      <c r="D1117" s="0" t="n">
        <v>120000</v>
      </c>
      <c r="E1117" s="0">
        <f>VLOOKUP(C1117,'Item Tier Lookup'!$A:$B,2,FALSE)</f>
        <v/>
      </c>
      <c r="F1117" s="0">
        <f>VLOOKUP(E1117,'Tier Params'!$A:$B,2,FALSE)</f>
        <v/>
      </c>
      <c r="G1117" s="0">
        <f>VLOOKUP(E1117,'Tier Params'!$A:$C,3,FALSE)</f>
        <v/>
      </c>
      <c r="H1117" s="0">
        <f>CEILING(D1117/G1117,1)</f>
        <v/>
      </c>
      <c r="I1117" s="0">
        <f>H1117*F1117</f>
        <v/>
      </c>
    </row>
    <row r="1118">
      <c r="A1118" s="0" t="inlineStr">
        <is>
          <t>'Reference sheet'!N1120</t>
        </is>
      </c>
      <c r="B1118" s="0" t="inlineStr">
        <is>
          <t>Structure Medical Center</t>
        </is>
      </c>
      <c r="C1118" s="0" t="inlineStr">
        <is>
          <t>Hazmat Detection Systems</t>
        </is>
      </c>
      <c r="D1118" s="0" t="n">
        <v>30</v>
      </c>
      <c r="E1118" s="0">
        <f>VLOOKUP(C1118,'Item Tier Lookup'!$A:$B,2,FALSE)</f>
        <v/>
      </c>
      <c r="F1118" s="0">
        <f>VLOOKUP(E1118,'Tier Params'!$A:$B,2,FALSE)</f>
        <v/>
      </c>
      <c r="G1118" s="0">
        <f>VLOOKUP(E1118,'Tier Params'!$A:$C,3,FALSE)</f>
        <v/>
      </c>
      <c r="H1118" s="0">
        <f>CEILING(D1118/G1118,1)</f>
        <v/>
      </c>
      <c r="I1118" s="0">
        <f>H1118*F1118</f>
        <v/>
      </c>
    </row>
    <row r="1119">
      <c r="A1119" s="0" t="inlineStr">
        <is>
          <t>'Reference sheet'!N1121</t>
        </is>
      </c>
      <c r="B1119" s="0" t="inlineStr">
        <is>
          <t>Structure Medical Center</t>
        </is>
      </c>
      <c r="C1119" s="0" t="inlineStr">
        <is>
          <t>Transmitter</t>
        </is>
      </c>
      <c r="D1119" s="0" t="n">
        <v>100</v>
      </c>
      <c r="E1119" s="0">
        <f>VLOOKUP(C1119,'Item Tier Lookup'!$A:$B,2,FALSE)</f>
        <v/>
      </c>
      <c r="F1119" s="0">
        <f>VLOOKUP(E1119,'Tier Params'!$A:$B,2,FALSE)</f>
        <v/>
      </c>
      <c r="G1119" s="0">
        <f>VLOOKUP(E1119,'Tier Params'!$A:$C,3,FALSE)</f>
        <v/>
      </c>
      <c r="H1119" s="0">
        <f>CEILING(D1119/G1119,1)</f>
        <v/>
      </c>
      <c r="I1119" s="0">
        <f>H1119*F1119</f>
        <v/>
      </c>
    </row>
    <row r="1120">
      <c r="A1120" s="0" t="inlineStr">
        <is>
          <t>'Reference sheet'!N1122</t>
        </is>
      </c>
      <c r="B1120" s="0" t="inlineStr">
        <is>
          <t>Structure Medical Center</t>
        </is>
      </c>
      <c r="C1120" s="0" t="inlineStr">
        <is>
          <t>Chiral Structures</t>
        </is>
      </c>
      <c r="D1120" s="0" t="n">
        <v>800</v>
      </c>
      <c r="E1120" s="0">
        <f>VLOOKUP(C1120,'Item Tier Lookup'!$A:$B,2,FALSE)</f>
        <v/>
      </c>
      <c r="F1120" s="0">
        <f>VLOOKUP(E1120,'Tier Params'!$A:$B,2,FALSE)</f>
        <v/>
      </c>
      <c r="G1120" s="0">
        <f>VLOOKUP(E1120,'Tier Params'!$A:$C,3,FALSE)</f>
        <v/>
      </c>
      <c r="H1120" s="0">
        <f>CEILING(D1120/G1120,1)</f>
        <v/>
      </c>
      <c r="I1120" s="0">
        <f>H1120*F1120</f>
        <v/>
      </c>
    </row>
    <row r="1121">
      <c r="A1121" s="0" t="inlineStr">
        <is>
          <t>'Reference sheet'!N1123</t>
        </is>
      </c>
      <c r="B1121" s="0" t="inlineStr">
        <is>
          <t>Structure Medical Center</t>
        </is>
      </c>
      <c r="C1121" s="0" t="inlineStr">
        <is>
          <t>Non-CS Crystals</t>
        </is>
      </c>
      <c r="D1121" s="0" t="n">
        <v>120000</v>
      </c>
      <c r="E1121" s="0">
        <f>VLOOKUP(C1121,'Item Tier Lookup'!$A:$B,2,FALSE)</f>
        <v/>
      </c>
      <c r="F1121" s="0">
        <f>VLOOKUP(E1121,'Tier Params'!$A:$B,2,FALSE)</f>
        <v/>
      </c>
      <c r="G1121" s="0">
        <f>VLOOKUP(E1121,'Tier Params'!$A:$C,3,FALSE)</f>
        <v/>
      </c>
      <c r="H1121" s="0">
        <f>CEILING(D1121/G1121,1)</f>
        <v/>
      </c>
      <c r="I1121" s="0">
        <f>H1121*F1121</f>
        <v/>
      </c>
    </row>
    <row r="1122">
      <c r="A1122" s="0" t="inlineStr">
        <is>
          <t>'Reference sheet'!N1124</t>
        </is>
      </c>
      <c r="B1122" s="0" t="inlineStr">
        <is>
          <t>Structure Medical Center</t>
        </is>
      </c>
      <c r="C1122" s="0" t="inlineStr">
        <is>
          <t>Plasmoids</t>
        </is>
      </c>
      <c r="D1122" s="0" t="n">
        <v>800</v>
      </c>
      <c r="E1122" s="0">
        <f>VLOOKUP(C1122,'Item Tier Lookup'!$A:$B,2,FALSE)</f>
        <v/>
      </c>
      <c r="F1122" s="0">
        <f>VLOOKUP(E1122,'Tier Params'!$A:$B,2,FALSE)</f>
        <v/>
      </c>
      <c r="G1122" s="0">
        <f>VLOOKUP(E1122,'Tier Params'!$A:$C,3,FALSE)</f>
        <v/>
      </c>
      <c r="H1122" s="0">
        <f>CEILING(D1122/G1122,1)</f>
        <v/>
      </c>
      <c r="I1122" s="0">
        <f>H1122*F1122</f>
        <v/>
      </c>
    </row>
    <row r="1123">
      <c r="A1123" s="0" t="inlineStr">
        <is>
          <t>'Reference sheet'!N1125</t>
        </is>
      </c>
      <c r="B1123" s="0" t="inlineStr">
        <is>
          <t>Structure Medical Center</t>
        </is>
      </c>
      <c r="C1123" s="0" t="inlineStr">
        <is>
          <t>Suspended Plasma</t>
        </is>
      </c>
      <c r="D1123" s="0" t="n">
        <v>120000</v>
      </c>
      <c r="E1123" s="0">
        <f>VLOOKUP(C1123,'Item Tier Lookup'!$A:$B,2,FALSE)</f>
        <v/>
      </c>
      <c r="F1123" s="0">
        <f>VLOOKUP(E1123,'Tier Params'!$A:$B,2,FALSE)</f>
        <v/>
      </c>
      <c r="G1123" s="0">
        <f>VLOOKUP(E1123,'Tier Params'!$A:$C,3,FALSE)</f>
        <v/>
      </c>
      <c r="H1123" s="0">
        <f>CEILING(D1123/G1123,1)</f>
        <v/>
      </c>
      <c r="I1123" s="0">
        <f>H1123*F1123</f>
        <v/>
      </c>
    </row>
    <row r="1124">
      <c r="A1124" s="0" t="inlineStr">
        <is>
          <t>'Reference sheet'!N1126</t>
        </is>
      </c>
      <c r="B1124" s="0" t="inlineStr">
        <is>
          <t>Structure Medical Center</t>
        </is>
      </c>
      <c r="C1124" s="0" t="inlineStr">
        <is>
          <t>Polytextiles</t>
        </is>
      </c>
      <c r="D1124" s="0" t="n">
        <v>100</v>
      </c>
      <c r="E1124" s="0">
        <f>VLOOKUP(C1124,'Item Tier Lookup'!$A:$B,2,FALSE)</f>
        <v/>
      </c>
      <c r="F1124" s="0">
        <f>VLOOKUP(E1124,'Tier Params'!$A:$B,2,FALSE)</f>
        <v/>
      </c>
      <c r="G1124" s="0">
        <f>VLOOKUP(E1124,'Tier Params'!$A:$C,3,FALSE)</f>
        <v/>
      </c>
      <c r="H1124" s="0">
        <f>CEILING(D1124/G1124,1)</f>
        <v/>
      </c>
      <c r="I1124" s="0">
        <f>H1124*F1124</f>
        <v/>
      </c>
    </row>
    <row r="1125">
      <c r="A1125" s="0" t="inlineStr">
        <is>
          <t>'Reference sheet'!N1127</t>
        </is>
      </c>
      <c r="B1125" s="0" t="inlineStr">
        <is>
          <t>Structure Medical Center</t>
        </is>
      </c>
      <c r="C1125" s="0" t="inlineStr">
        <is>
          <t>Biofuels</t>
        </is>
      </c>
      <c r="D1125" s="0" t="n">
        <v>800</v>
      </c>
      <c r="E1125" s="0">
        <f>VLOOKUP(C1125,'Item Tier Lookup'!$A:$B,2,FALSE)</f>
        <v/>
      </c>
      <c r="F1125" s="0">
        <f>VLOOKUP(E1125,'Tier Params'!$A:$B,2,FALSE)</f>
        <v/>
      </c>
      <c r="G1125" s="0">
        <f>VLOOKUP(E1125,'Tier Params'!$A:$C,3,FALSE)</f>
        <v/>
      </c>
      <c r="H1125" s="0">
        <f>CEILING(D1125/G1125,1)</f>
        <v/>
      </c>
      <c r="I1125" s="0">
        <f>H1125*F1125</f>
        <v/>
      </c>
    </row>
    <row r="1126">
      <c r="A1126" s="0" t="inlineStr">
        <is>
          <t>'Reference sheet'!N1128</t>
        </is>
      </c>
      <c r="B1126" s="0" t="inlineStr">
        <is>
          <t>Structure Medical Center</t>
        </is>
      </c>
      <c r="C1126" s="0" t="inlineStr">
        <is>
          <t>Carbon Compounds</t>
        </is>
      </c>
      <c r="D1126" s="0" t="n">
        <v>120000</v>
      </c>
      <c r="E1126" s="0">
        <f>VLOOKUP(C1126,'Item Tier Lookup'!$A:$B,2,FALSE)</f>
        <v/>
      </c>
      <c r="F1126" s="0">
        <f>VLOOKUP(E1126,'Tier Params'!$A:$B,2,FALSE)</f>
        <v/>
      </c>
      <c r="G1126" s="0">
        <f>VLOOKUP(E1126,'Tier Params'!$A:$C,3,FALSE)</f>
        <v/>
      </c>
      <c r="H1126" s="0">
        <f>CEILING(D1126/G1126,1)</f>
        <v/>
      </c>
      <c r="I1126" s="0">
        <f>H1126*F1126</f>
        <v/>
      </c>
    </row>
    <row r="1127">
      <c r="A1127" s="0" t="inlineStr">
        <is>
          <t>'Reference sheet'!N1129</t>
        </is>
      </c>
      <c r="B1127" s="0" t="inlineStr">
        <is>
          <t>Structure Medical Center</t>
        </is>
      </c>
      <c r="C1127" s="0" t="inlineStr">
        <is>
          <t>Industrial Fibers</t>
        </is>
      </c>
      <c r="D1127" s="0" t="n">
        <v>800</v>
      </c>
      <c r="E1127" s="0">
        <f>VLOOKUP(C1127,'Item Tier Lookup'!$A:$B,2,FALSE)</f>
        <v/>
      </c>
      <c r="F1127" s="0">
        <f>VLOOKUP(E1127,'Tier Params'!$A:$B,2,FALSE)</f>
        <v/>
      </c>
      <c r="G1127" s="0">
        <f>VLOOKUP(E1127,'Tier Params'!$A:$C,3,FALSE)</f>
        <v/>
      </c>
      <c r="H1127" s="0">
        <f>CEILING(D1127/G1127,1)</f>
        <v/>
      </c>
      <c r="I1127" s="0">
        <f>H1127*F1127</f>
        <v/>
      </c>
    </row>
    <row r="1128">
      <c r="A1128" s="0" t="inlineStr">
        <is>
          <t>'Reference sheet'!N1130</t>
        </is>
      </c>
      <c r="B1128" s="0" t="inlineStr">
        <is>
          <t>Structure Medical Center</t>
        </is>
      </c>
      <c r="C1128" s="0" t="inlineStr">
        <is>
          <t>Autotrophs</t>
        </is>
      </c>
      <c r="D1128" s="0" t="n">
        <v>120000</v>
      </c>
      <c r="E1128" s="0">
        <f>VLOOKUP(C1128,'Item Tier Lookup'!$A:$B,2,FALSE)</f>
        <v/>
      </c>
      <c r="F1128" s="0">
        <f>VLOOKUP(E1128,'Tier Params'!$A:$B,2,FALSE)</f>
        <v/>
      </c>
      <c r="G1128" s="0">
        <f>VLOOKUP(E1128,'Tier Params'!$A:$C,3,FALSE)</f>
        <v/>
      </c>
      <c r="H1128" s="0">
        <f>CEILING(D1128/G1128,1)</f>
        <v/>
      </c>
      <c r="I1128" s="0">
        <f>H1128*F1128</f>
        <v/>
      </c>
    </row>
    <row r="1129">
      <c r="A1129" s="0" t="inlineStr">
        <is>
          <t>'Reference sheet'!N1131</t>
        </is>
      </c>
      <c r="B1129" s="0" t="inlineStr">
        <is>
          <t>Structure Medical Center</t>
        </is>
      </c>
      <c r="C1129" s="0" t="inlineStr">
        <is>
          <t>Viral Agent</t>
        </is>
      </c>
      <c r="D1129" s="0" t="n">
        <v>100</v>
      </c>
      <c r="E1129" s="0">
        <f>VLOOKUP(C1129,'Item Tier Lookup'!$A:$B,2,FALSE)</f>
        <v/>
      </c>
      <c r="F1129" s="0">
        <f>VLOOKUP(E1129,'Tier Params'!$A:$B,2,FALSE)</f>
        <v/>
      </c>
      <c r="G1129" s="0">
        <f>VLOOKUP(E1129,'Tier Params'!$A:$C,3,FALSE)</f>
        <v/>
      </c>
      <c r="H1129" s="0">
        <f>CEILING(D1129/G1129,1)</f>
        <v/>
      </c>
      <c r="I1129" s="0">
        <f>H1129*F1129</f>
        <v/>
      </c>
    </row>
    <row r="1130">
      <c r="A1130" s="0" t="inlineStr">
        <is>
          <t>'Reference sheet'!N1132</t>
        </is>
      </c>
      <c r="B1130" s="0" t="inlineStr">
        <is>
          <t>Structure Medical Center</t>
        </is>
      </c>
      <c r="C1130" s="0" t="inlineStr">
        <is>
          <t>Bacteria</t>
        </is>
      </c>
      <c r="D1130" s="0" t="n">
        <v>800</v>
      </c>
      <c r="E1130" s="0">
        <f>VLOOKUP(C1130,'Item Tier Lookup'!$A:$B,2,FALSE)</f>
        <v/>
      </c>
      <c r="F1130" s="0">
        <f>VLOOKUP(E1130,'Tier Params'!$A:$B,2,FALSE)</f>
        <v/>
      </c>
      <c r="G1130" s="0">
        <f>VLOOKUP(E1130,'Tier Params'!$A:$C,3,FALSE)</f>
        <v/>
      </c>
      <c r="H1130" s="0">
        <f>CEILING(D1130/G1130,1)</f>
        <v/>
      </c>
      <c r="I1130" s="0">
        <f>H1130*F1130</f>
        <v/>
      </c>
    </row>
    <row r="1131">
      <c r="A1131" s="0" t="inlineStr">
        <is>
          <t>'Reference sheet'!N1133</t>
        </is>
      </c>
      <c r="B1131" s="0" t="inlineStr">
        <is>
          <t>Structure Medical Center</t>
        </is>
      </c>
      <c r="C1131" s="0" t="inlineStr">
        <is>
          <t>Microorganisms</t>
        </is>
      </c>
      <c r="D1131" s="0" t="n">
        <v>120000</v>
      </c>
      <c r="E1131" s="0">
        <f>VLOOKUP(C1131,'Item Tier Lookup'!$A:$B,2,FALSE)</f>
        <v/>
      </c>
      <c r="F1131" s="0">
        <f>VLOOKUP(E1131,'Tier Params'!$A:$B,2,FALSE)</f>
        <v/>
      </c>
      <c r="G1131" s="0">
        <f>VLOOKUP(E1131,'Tier Params'!$A:$C,3,FALSE)</f>
        <v/>
      </c>
      <c r="H1131" s="0">
        <f>CEILING(D1131/G1131,1)</f>
        <v/>
      </c>
      <c r="I1131" s="0">
        <f>H1131*F1131</f>
        <v/>
      </c>
    </row>
    <row r="1132">
      <c r="A1132" s="0" t="inlineStr">
        <is>
          <t>'Reference sheet'!N1134</t>
        </is>
      </c>
      <c r="B1132" s="0" t="inlineStr">
        <is>
          <t>Structure Medical Center</t>
        </is>
      </c>
      <c r="C1132" s="0" t="inlineStr">
        <is>
          <t>Biomass</t>
        </is>
      </c>
      <c r="D1132" s="0" t="n">
        <v>800</v>
      </c>
      <c r="E1132" s="0">
        <f>VLOOKUP(C1132,'Item Tier Lookup'!$A:$B,2,FALSE)</f>
        <v/>
      </c>
      <c r="F1132" s="0">
        <f>VLOOKUP(E1132,'Tier Params'!$A:$B,2,FALSE)</f>
        <v/>
      </c>
      <c r="G1132" s="0">
        <f>VLOOKUP(E1132,'Tier Params'!$A:$C,3,FALSE)</f>
        <v/>
      </c>
      <c r="H1132" s="0">
        <f>CEILING(D1132/G1132,1)</f>
        <v/>
      </c>
      <c r="I1132" s="0">
        <f>H1132*F1132</f>
        <v/>
      </c>
    </row>
    <row r="1133">
      <c r="A1133" s="0" t="inlineStr">
        <is>
          <t>'Reference sheet'!N1135</t>
        </is>
      </c>
      <c r="B1133" s="0" t="inlineStr">
        <is>
          <t>Structure Medical Center</t>
        </is>
      </c>
      <c r="C1133" s="0" t="inlineStr">
        <is>
          <t>Planktic Colonies</t>
        </is>
      </c>
      <c r="D1133" s="0" t="n">
        <v>120000</v>
      </c>
      <c r="E1133" s="0">
        <f>VLOOKUP(C1133,'Item Tier Lookup'!$A:$B,2,FALSE)</f>
        <v/>
      </c>
      <c r="F1133" s="0">
        <f>VLOOKUP(E1133,'Tier Params'!$A:$B,2,FALSE)</f>
        <v/>
      </c>
      <c r="G1133" s="0">
        <f>VLOOKUP(E1133,'Tier Params'!$A:$C,3,FALSE)</f>
        <v/>
      </c>
      <c r="H1133" s="0">
        <f>CEILING(D1133/G1133,1)</f>
        <v/>
      </c>
      <c r="I1133" s="0">
        <f>H1133*F1133</f>
        <v/>
      </c>
    </row>
    <row r="1134">
      <c r="A1134" s="0" t="inlineStr">
        <is>
          <t>'Reference sheet'!N1136</t>
        </is>
      </c>
      <c r="B1134" s="0" t="inlineStr">
        <is>
          <t>Structure Medical Center</t>
        </is>
      </c>
      <c r="C1134" s="0" t="inlineStr">
        <is>
          <t>Planetary Vehicles</t>
        </is>
      </c>
      <c r="D1134" s="0" t="n">
        <v>30</v>
      </c>
      <c r="E1134" s="0">
        <f>VLOOKUP(C1134,'Item Tier Lookup'!$A:$B,2,FALSE)</f>
        <v/>
      </c>
      <c r="F1134" s="0">
        <f>VLOOKUP(E1134,'Tier Params'!$A:$B,2,FALSE)</f>
        <v/>
      </c>
      <c r="G1134" s="0">
        <f>VLOOKUP(E1134,'Tier Params'!$A:$C,3,FALSE)</f>
        <v/>
      </c>
      <c r="H1134" s="0">
        <f>CEILING(D1134/G1134,1)</f>
        <v/>
      </c>
      <c r="I1134" s="0">
        <f>H1134*F1134</f>
        <v/>
      </c>
    </row>
    <row r="1135">
      <c r="A1135" s="0" t="inlineStr">
        <is>
          <t>'Reference sheet'!N1137</t>
        </is>
      </c>
      <c r="B1135" s="0" t="inlineStr">
        <is>
          <t>Structure Medical Center</t>
        </is>
      </c>
      <c r="C1135" s="0" t="inlineStr">
        <is>
          <t>Supertensile Plastics</t>
        </is>
      </c>
      <c r="D1135" s="0" t="n">
        <v>100</v>
      </c>
      <c r="E1135" s="0">
        <f>VLOOKUP(C1135,'Item Tier Lookup'!$A:$B,2,FALSE)</f>
        <v/>
      </c>
      <c r="F1135" s="0">
        <f>VLOOKUP(E1135,'Tier Params'!$A:$B,2,FALSE)</f>
        <v/>
      </c>
      <c r="G1135" s="0">
        <f>VLOOKUP(E1135,'Tier Params'!$A:$C,3,FALSE)</f>
        <v/>
      </c>
      <c r="H1135" s="0">
        <f>CEILING(D1135/G1135,1)</f>
        <v/>
      </c>
      <c r="I1135" s="0">
        <f>H1135*F1135</f>
        <v/>
      </c>
    </row>
    <row r="1136">
      <c r="A1136" s="0" t="inlineStr">
        <is>
          <t>'Reference sheet'!N1138</t>
        </is>
      </c>
      <c r="B1136" s="0" t="inlineStr">
        <is>
          <t>Structure Medical Center</t>
        </is>
      </c>
      <c r="C1136" s="0" t="inlineStr">
        <is>
          <t>Oxygen</t>
        </is>
      </c>
      <c r="D1136" s="0" t="n">
        <v>800</v>
      </c>
      <c r="E1136" s="0">
        <f>VLOOKUP(C1136,'Item Tier Lookup'!$A:$B,2,FALSE)</f>
        <v/>
      </c>
      <c r="F1136" s="0">
        <f>VLOOKUP(E1136,'Tier Params'!$A:$B,2,FALSE)</f>
        <v/>
      </c>
      <c r="G1136" s="0">
        <f>VLOOKUP(E1136,'Tier Params'!$A:$C,3,FALSE)</f>
        <v/>
      </c>
      <c r="H1136" s="0">
        <f>CEILING(D1136/G1136,1)</f>
        <v/>
      </c>
      <c r="I1136" s="0">
        <f>H1136*F1136</f>
        <v/>
      </c>
    </row>
    <row r="1137">
      <c r="A1137" s="0" t="inlineStr">
        <is>
          <t>'Reference sheet'!N1139</t>
        </is>
      </c>
      <c r="B1137" s="0" t="inlineStr">
        <is>
          <t>Structure Medical Center</t>
        </is>
      </c>
      <c r="C1137" s="0" t="inlineStr">
        <is>
          <t>Noble Gas</t>
        </is>
      </c>
      <c r="D1137" s="0" t="n">
        <v>120000</v>
      </c>
      <c r="E1137" s="0">
        <f>VLOOKUP(C1137,'Item Tier Lookup'!$A:$B,2,FALSE)</f>
        <v/>
      </c>
      <c r="F1137" s="0">
        <f>VLOOKUP(E1137,'Tier Params'!$A:$B,2,FALSE)</f>
        <v/>
      </c>
      <c r="G1137" s="0">
        <f>VLOOKUP(E1137,'Tier Params'!$A:$C,3,FALSE)</f>
        <v/>
      </c>
      <c r="H1137" s="0">
        <f>CEILING(D1137/G1137,1)</f>
        <v/>
      </c>
      <c r="I1137" s="0">
        <f>H1137*F1137</f>
        <v/>
      </c>
    </row>
    <row r="1138">
      <c r="A1138" s="0" t="inlineStr">
        <is>
          <t>'Reference sheet'!N1140</t>
        </is>
      </c>
      <c r="B1138" s="0" t="inlineStr">
        <is>
          <t>Structure Medical Center</t>
        </is>
      </c>
      <c r="C1138" s="0" t="inlineStr">
        <is>
          <t>Biomass</t>
        </is>
      </c>
      <c r="D1138" s="0" t="n">
        <v>800</v>
      </c>
      <c r="E1138" s="0">
        <f>VLOOKUP(C1138,'Item Tier Lookup'!$A:$B,2,FALSE)</f>
        <v/>
      </c>
      <c r="F1138" s="0">
        <f>VLOOKUP(E1138,'Tier Params'!$A:$B,2,FALSE)</f>
        <v/>
      </c>
      <c r="G1138" s="0">
        <f>VLOOKUP(E1138,'Tier Params'!$A:$C,3,FALSE)</f>
        <v/>
      </c>
      <c r="H1138" s="0">
        <f>CEILING(D1138/G1138,1)</f>
        <v/>
      </c>
      <c r="I1138" s="0">
        <f>H1138*F1138</f>
        <v/>
      </c>
    </row>
    <row r="1139">
      <c r="A1139" s="0" t="inlineStr">
        <is>
          <t>'Reference sheet'!N1141</t>
        </is>
      </c>
      <c r="B1139" s="0" t="inlineStr">
        <is>
          <t>Structure Medical Center</t>
        </is>
      </c>
      <c r="C1139" s="0" t="inlineStr">
        <is>
          <t>Planktic Colonies</t>
        </is>
      </c>
      <c r="D1139" s="0" t="n">
        <v>120000</v>
      </c>
      <c r="E1139" s="0">
        <f>VLOOKUP(C1139,'Item Tier Lookup'!$A:$B,2,FALSE)</f>
        <v/>
      </c>
      <c r="F1139" s="0">
        <f>VLOOKUP(E1139,'Tier Params'!$A:$B,2,FALSE)</f>
        <v/>
      </c>
      <c r="G1139" s="0">
        <f>VLOOKUP(E1139,'Tier Params'!$A:$C,3,FALSE)</f>
        <v/>
      </c>
      <c r="H1139" s="0">
        <f>CEILING(D1139/G1139,1)</f>
        <v/>
      </c>
      <c r="I1139" s="0">
        <f>H1139*F1139</f>
        <v/>
      </c>
    </row>
    <row r="1140">
      <c r="A1140" s="0" t="inlineStr">
        <is>
          <t>'Reference sheet'!N1142</t>
        </is>
      </c>
      <c r="B1140" s="0" t="inlineStr">
        <is>
          <t>Structure Medical Center</t>
        </is>
      </c>
      <c r="C1140" s="0" t="inlineStr">
        <is>
          <t>Mechanical Parts</t>
        </is>
      </c>
      <c r="D1140" s="0" t="n">
        <v>100</v>
      </c>
      <c r="E1140" s="0">
        <f>VLOOKUP(C1140,'Item Tier Lookup'!$A:$B,2,FALSE)</f>
        <v/>
      </c>
      <c r="F1140" s="0">
        <f>VLOOKUP(E1140,'Tier Params'!$A:$B,2,FALSE)</f>
        <v/>
      </c>
      <c r="G1140" s="0">
        <f>VLOOKUP(E1140,'Tier Params'!$A:$C,3,FALSE)</f>
        <v/>
      </c>
      <c r="H1140" s="0">
        <f>CEILING(D1140/G1140,1)</f>
        <v/>
      </c>
      <c r="I1140" s="0">
        <f>H1140*F1140</f>
        <v/>
      </c>
    </row>
    <row r="1141">
      <c r="A1141" s="0" t="inlineStr">
        <is>
          <t>'Reference sheet'!N1143</t>
        </is>
      </c>
      <c r="B1141" s="0" t="inlineStr">
        <is>
          <t>Structure Medical Center</t>
        </is>
      </c>
      <c r="C1141" s="0" t="inlineStr">
        <is>
          <t>Reactive Metals</t>
        </is>
      </c>
      <c r="D1141" s="0" t="n">
        <v>800</v>
      </c>
      <c r="E1141" s="0">
        <f>VLOOKUP(C1141,'Item Tier Lookup'!$A:$B,2,FALSE)</f>
        <v/>
      </c>
      <c r="F1141" s="0">
        <f>VLOOKUP(E1141,'Tier Params'!$A:$B,2,FALSE)</f>
        <v/>
      </c>
      <c r="G1141" s="0">
        <f>VLOOKUP(E1141,'Tier Params'!$A:$C,3,FALSE)</f>
        <v/>
      </c>
      <c r="H1141" s="0">
        <f>CEILING(D1141/G1141,1)</f>
        <v/>
      </c>
      <c r="I1141" s="0">
        <f>H1141*F1141</f>
        <v/>
      </c>
    </row>
    <row r="1142">
      <c r="A1142" s="0" t="inlineStr">
        <is>
          <t>'Reference sheet'!N1144</t>
        </is>
      </c>
      <c r="B1142" s="0" t="inlineStr">
        <is>
          <t>Structure Medical Center</t>
        </is>
      </c>
      <c r="C1142" s="0" t="inlineStr">
        <is>
          <t>Base Metals</t>
        </is>
      </c>
      <c r="D1142" s="0" t="n">
        <v>120000</v>
      </c>
      <c r="E1142" s="0">
        <f>VLOOKUP(C1142,'Item Tier Lookup'!$A:$B,2,FALSE)</f>
        <v/>
      </c>
      <c r="F1142" s="0">
        <f>VLOOKUP(E1142,'Tier Params'!$A:$B,2,FALSE)</f>
        <v/>
      </c>
      <c r="G1142" s="0">
        <f>VLOOKUP(E1142,'Tier Params'!$A:$C,3,FALSE)</f>
        <v/>
      </c>
      <c r="H1142" s="0">
        <f>CEILING(D1142/G1142,1)</f>
        <v/>
      </c>
      <c r="I1142" s="0">
        <f>H1142*F1142</f>
        <v/>
      </c>
    </row>
    <row r="1143">
      <c r="A1143" s="0" t="inlineStr">
        <is>
          <t>'Reference sheet'!N1145</t>
        </is>
      </c>
      <c r="B1143" s="0" t="inlineStr">
        <is>
          <t>Structure Medical Center</t>
        </is>
      </c>
      <c r="C1143" s="0" t="inlineStr">
        <is>
          <t>Precious Metals</t>
        </is>
      </c>
      <c r="D1143" s="0" t="n">
        <v>800</v>
      </c>
      <c r="E1143" s="0">
        <f>VLOOKUP(C1143,'Item Tier Lookup'!$A:$B,2,FALSE)</f>
        <v/>
      </c>
      <c r="F1143" s="0">
        <f>VLOOKUP(E1143,'Tier Params'!$A:$B,2,FALSE)</f>
        <v/>
      </c>
      <c r="G1143" s="0">
        <f>VLOOKUP(E1143,'Tier Params'!$A:$C,3,FALSE)</f>
        <v/>
      </c>
      <c r="H1143" s="0">
        <f>CEILING(D1143/G1143,1)</f>
        <v/>
      </c>
      <c r="I1143" s="0">
        <f>H1143*F1143</f>
        <v/>
      </c>
    </row>
    <row r="1144">
      <c r="A1144" s="0" t="inlineStr">
        <is>
          <t>'Reference sheet'!N1146</t>
        </is>
      </c>
      <c r="B1144" s="0" t="inlineStr">
        <is>
          <t>Structure Medical Center</t>
        </is>
      </c>
      <c r="C1144" s="0" t="inlineStr">
        <is>
          <t>Noble Metals</t>
        </is>
      </c>
      <c r="D1144" s="0" t="n">
        <v>120000</v>
      </c>
      <c r="E1144" s="0">
        <f>VLOOKUP(C1144,'Item Tier Lookup'!$A:$B,2,FALSE)</f>
        <v/>
      </c>
      <c r="F1144" s="0">
        <f>VLOOKUP(E1144,'Tier Params'!$A:$B,2,FALSE)</f>
        <v/>
      </c>
      <c r="G1144" s="0">
        <f>VLOOKUP(E1144,'Tier Params'!$A:$C,3,FALSE)</f>
        <v/>
      </c>
      <c r="H1144" s="0">
        <f>CEILING(D1144/G1144,1)</f>
        <v/>
      </c>
      <c r="I1144" s="0">
        <f>H1144*F1144</f>
        <v/>
      </c>
    </row>
    <row r="1145">
      <c r="A1145" s="0" t="inlineStr">
        <is>
          <t>'Reference sheet'!N1147</t>
        </is>
      </c>
      <c r="B1145" s="0" t="inlineStr">
        <is>
          <t>Structure Medical Center</t>
        </is>
      </c>
      <c r="C1145" s="0" t="inlineStr">
        <is>
          <t>Miniature Electronics</t>
        </is>
      </c>
      <c r="D1145" s="0" t="n">
        <v>100</v>
      </c>
      <c r="E1145" s="0">
        <f>VLOOKUP(C1145,'Item Tier Lookup'!$A:$B,2,FALSE)</f>
        <v/>
      </c>
      <c r="F1145" s="0">
        <f>VLOOKUP(E1145,'Tier Params'!$A:$B,2,FALSE)</f>
        <v/>
      </c>
      <c r="G1145" s="0">
        <f>VLOOKUP(E1145,'Tier Params'!$A:$C,3,FALSE)</f>
        <v/>
      </c>
      <c r="H1145" s="0">
        <f>CEILING(D1145/G1145,1)</f>
        <v/>
      </c>
      <c r="I1145" s="0">
        <f>H1145*F1145</f>
        <v/>
      </c>
    </row>
    <row r="1146">
      <c r="A1146" s="0" t="inlineStr">
        <is>
          <t>'Reference sheet'!N1148</t>
        </is>
      </c>
      <c r="B1146" s="0" t="inlineStr">
        <is>
          <t>Structure Medical Center</t>
        </is>
      </c>
      <c r="C1146" s="0" t="inlineStr">
        <is>
          <t>Chiral Structures</t>
        </is>
      </c>
      <c r="D1146" s="0" t="n">
        <v>800</v>
      </c>
      <c r="E1146" s="0">
        <f>VLOOKUP(C1146,'Item Tier Lookup'!$A:$B,2,FALSE)</f>
        <v/>
      </c>
      <c r="F1146" s="0">
        <f>VLOOKUP(E1146,'Tier Params'!$A:$B,2,FALSE)</f>
        <v/>
      </c>
      <c r="G1146" s="0">
        <f>VLOOKUP(E1146,'Tier Params'!$A:$C,3,FALSE)</f>
        <v/>
      </c>
      <c r="H1146" s="0">
        <f>CEILING(D1146/G1146,1)</f>
        <v/>
      </c>
      <c r="I1146" s="0">
        <f>H1146*F1146</f>
        <v/>
      </c>
    </row>
    <row r="1147">
      <c r="A1147" s="0" t="inlineStr">
        <is>
          <t>'Reference sheet'!N1149</t>
        </is>
      </c>
      <c r="B1147" s="0" t="inlineStr">
        <is>
          <t>Structure Medical Center</t>
        </is>
      </c>
      <c r="C1147" s="0" t="inlineStr">
        <is>
          <t>Non-CS Crystals</t>
        </is>
      </c>
      <c r="D1147" s="0" t="n">
        <v>120000</v>
      </c>
      <c r="E1147" s="0">
        <f>VLOOKUP(C1147,'Item Tier Lookup'!$A:$B,2,FALSE)</f>
        <v/>
      </c>
      <c r="F1147" s="0">
        <f>VLOOKUP(E1147,'Tier Params'!$A:$B,2,FALSE)</f>
        <v/>
      </c>
      <c r="G1147" s="0">
        <f>VLOOKUP(E1147,'Tier Params'!$A:$C,3,FALSE)</f>
        <v/>
      </c>
      <c r="H1147" s="0">
        <f>CEILING(D1147/G1147,1)</f>
        <v/>
      </c>
      <c r="I1147" s="0">
        <f>H1147*F1147</f>
        <v/>
      </c>
    </row>
    <row r="1148">
      <c r="A1148" s="0" t="inlineStr">
        <is>
          <t>'Reference sheet'!N1150</t>
        </is>
      </c>
      <c r="B1148" s="0" t="inlineStr">
        <is>
          <t>Structure Medical Center</t>
        </is>
      </c>
      <c r="C1148" s="0" t="inlineStr">
        <is>
          <t>Silicon</t>
        </is>
      </c>
      <c r="D1148" s="0" t="n">
        <v>800</v>
      </c>
      <c r="E1148" s="0">
        <f>VLOOKUP(C1148,'Item Tier Lookup'!$A:$B,2,FALSE)</f>
        <v/>
      </c>
      <c r="F1148" s="0">
        <f>VLOOKUP(E1148,'Tier Params'!$A:$B,2,FALSE)</f>
        <v/>
      </c>
      <c r="G1148" s="0">
        <f>VLOOKUP(E1148,'Tier Params'!$A:$C,3,FALSE)</f>
        <v/>
      </c>
      <c r="H1148" s="0">
        <f>CEILING(D1148/G1148,1)</f>
        <v/>
      </c>
      <c r="I1148" s="0">
        <f>H1148*F1148</f>
        <v/>
      </c>
    </row>
    <row r="1149">
      <c r="A1149" s="0" t="inlineStr">
        <is>
          <t>'Reference sheet'!N1151</t>
        </is>
      </c>
      <c r="B1149" s="0" t="inlineStr">
        <is>
          <t>Structure Medical Center</t>
        </is>
      </c>
      <c r="C1149" s="0" t="inlineStr">
        <is>
          <t>Felsic Magma</t>
        </is>
      </c>
      <c r="D1149" s="0" t="n">
        <v>120000</v>
      </c>
      <c r="E1149" s="0">
        <f>VLOOKUP(C1149,'Item Tier Lookup'!$A:$B,2,FALSE)</f>
        <v/>
      </c>
      <c r="F1149" s="0">
        <f>VLOOKUP(E1149,'Tier Params'!$A:$B,2,FALSE)</f>
        <v/>
      </c>
      <c r="G1149" s="0">
        <f>VLOOKUP(E1149,'Tier Params'!$A:$C,3,FALSE)</f>
        <v/>
      </c>
      <c r="H1149" s="0">
        <f>CEILING(D1149/G1149,1)</f>
        <v/>
      </c>
      <c r="I1149" s="0">
        <f>H1149*F1149</f>
        <v/>
      </c>
    </row>
    <row r="1150">
      <c r="A1150" s="0" t="inlineStr">
        <is>
          <t>'Reference sheet'!N1152</t>
        </is>
      </c>
      <c r="B1150" s="0" t="inlineStr">
        <is>
          <t>Structure Medical Center</t>
        </is>
      </c>
      <c r="C1150" s="0" t="inlineStr">
        <is>
          <t>Recursive Computing Module</t>
        </is>
      </c>
      <c r="D1150" s="0" t="n">
        <v>3</v>
      </c>
      <c r="E1150" s="0">
        <f>VLOOKUP(C1150,'Item Tier Lookup'!$A:$B,2,FALSE)</f>
        <v/>
      </c>
      <c r="F1150" s="0">
        <f>VLOOKUP(E1150,'Tier Params'!$A:$B,2,FALSE)</f>
        <v/>
      </c>
      <c r="G1150" s="0">
        <f>VLOOKUP(E1150,'Tier Params'!$A:$C,3,FALSE)</f>
        <v/>
      </c>
      <c r="H1150" s="0">
        <f>CEILING(D1150/G1150,1)</f>
        <v/>
      </c>
      <c r="I1150" s="0">
        <f>H1150*F1150</f>
        <v/>
      </c>
    </row>
    <row r="1151">
      <c r="A1151" s="0" t="inlineStr">
        <is>
          <t>'Reference sheet'!N1153</t>
        </is>
      </c>
      <c r="B1151" s="0" t="inlineStr">
        <is>
          <t>Structure Medical Center</t>
        </is>
      </c>
      <c r="C1151" s="0" t="inlineStr">
        <is>
          <t>Synthetic Synapses</t>
        </is>
      </c>
      <c r="D1151" s="0" t="n">
        <v>18</v>
      </c>
      <c r="E1151" s="0">
        <f>VLOOKUP(C1151,'Item Tier Lookup'!$A:$B,2,FALSE)</f>
        <v/>
      </c>
      <c r="F1151" s="0">
        <f>VLOOKUP(E1151,'Tier Params'!$A:$B,2,FALSE)</f>
        <v/>
      </c>
      <c r="G1151" s="0">
        <f>VLOOKUP(E1151,'Tier Params'!$A:$C,3,FALSE)</f>
        <v/>
      </c>
      <c r="H1151" s="0">
        <f>CEILING(D1151/G1151,1)</f>
        <v/>
      </c>
      <c r="I1151" s="0">
        <f>H1151*F1151</f>
        <v/>
      </c>
    </row>
    <row r="1152">
      <c r="A1152" s="0" t="inlineStr">
        <is>
          <t>'Reference sheet'!N1154</t>
        </is>
      </c>
      <c r="B1152" s="0" t="inlineStr">
        <is>
          <t>Structure Medical Center</t>
        </is>
      </c>
      <c r="C1152" s="0" t="inlineStr">
        <is>
          <t>Supertensile Plastics</t>
        </is>
      </c>
      <c r="D1152" s="0" t="n">
        <v>60</v>
      </c>
      <c r="E1152" s="0">
        <f>VLOOKUP(C1152,'Item Tier Lookup'!$A:$B,2,FALSE)</f>
        <v/>
      </c>
      <c r="F1152" s="0">
        <f>VLOOKUP(E1152,'Tier Params'!$A:$B,2,FALSE)</f>
        <v/>
      </c>
      <c r="G1152" s="0">
        <f>VLOOKUP(E1152,'Tier Params'!$A:$C,3,FALSE)</f>
        <v/>
      </c>
      <c r="H1152" s="0">
        <f>CEILING(D1152/G1152,1)</f>
        <v/>
      </c>
      <c r="I1152" s="0">
        <f>H1152*F1152</f>
        <v/>
      </c>
    </row>
    <row r="1153">
      <c r="A1153" s="0" t="inlineStr">
        <is>
          <t>'Reference sheet'!N1155</t>
        </is>
      </c>
      <c r="B1153" s="0" t="inlineStr">
        <is>
          <t>Structure Medical Center</t>
        </is>
      </c>
      <c r="C1153" s="0" t="inlineStr">
        <is>
          <t>Oxygen</t>
        </is>
      </c>
      <c r="D1153" s="0" t="n">
        <v>480</v>
      </c>
      <c r="E1153" s="0">
        <f>VLOOKUP(C1153,'Item Tier Lookup'!$A:$B,2,FALSE)</f>
        <v/>
      </c>
      <c r="F1153" s="0">
        <f>VLOOKUP(E1153,'Tier Params'!$A:$B,2,FALSE)</f>
        <v/>
      </c>
      <c r="G1153" s="0">
        <f>VLOOKUP(E1153,'Tier Params'!$A:$C,3,FALSE)</f>
        <v/>
      </c>
      <c r="H1153" s="0">
        <f>CEILING(D1153/G1153,1)</f>
        <v/>
      </c>
      <c r="I1153" s="0">
        <f>H1153*F1153</f>
        <v/>
      </c>
    </row>
    <row r="1154">
      <c r="A1154" s="0" t="inlineStr">
        <is>
          <t>'Reference sheet'!N1156</t>
        </is>
      </c>
      <c r="B1154" s="0" t="inlineStr">
        <is>
          <t>Structure Medical Center</t>
        </is>
      </c>
      <c r="C1154" s="0" t="inlineStr">
        <is>
          <t>Noble Gas</t>
        </is>
      </c>
      <c r="D1154" s="0" t="n">
        <v>72000</v>
      </c>
      <c r="E1154" s="0">
        <f>VLOOKUP(C1154,'Item Tier Lookup'!$A:$B,2,FALSE)</f>
        <v/>
      </c>
      <c r="F1154" s="0">
        <f>VLOOKUP(E1154,'Tier Params'!$A:$B,2,FALSE)</f>
        <v/>
      </c>
      <c r="G1154" s="0">
        <f>VLOOKUP(E1154,'Tier Params'!$A:$C,3,FALSE)</f>
        <v/>
      </c>
      <c r="H1154" s="0">
        <f>CEILING(D1154/G1154,1)</f>
        <v/>
      </c>
      <c r="I1154" s="0">
        <f>H1154*F1154</f>
        <v/>
      </c>
    </row>
    <row r="1155">
      <c r="A1155" s="0" t="inlineStr">
        <is>
          <t>'Reference sheet'!N1157</t>
        </is>
      </c>
      <c r="B1155" s="0" t="inlineStr">
        <is>
          <t>Structure Medical Center</t>
        </is>
      </c>
      <c r="C1155" s="0" t="inlineStr">
        <is>
          <t>Biomass</t>
        </is>
      </c>
      <c r="D1155" s="0" t="n">
        <v>480</v>
      </c>
      <c r="E1155" s="0">
        <f>VLOOKUP(C1155,'Item Tier Lookup'!$A:$B,2,FALSE)</f>
        <v/>
      </c>
      <c r="F1155" s="0">
        <f>VLOOKUP(E1155,'Tier Params'!$A:$B,2,FALSE)</f>
        <v/>
      </c>
      <c r="G1155" s="0">
        <f>VLOOKUP(E1155,'Tier Params'!$A:$C,3,FALSE)</f>
        <v/>
      </c>
      <c r="H1155" s="0">
        <f>CEILING(D1155/G1155,1)</f>
        <v/>
      </c>
      <c r="I1155" s="0">
        <f>H1155*F1155</f>
        <v/>
      </c>
    </row>
    <row r="1156">
      <c r="A1156" s="0" t="inlineStr">
        <is>
          <t>'Reference sheet'!N1158</t>
        </is>
      </c>
      <c r="B1156" s="0" t="inlineStr">
        <is>
          <t>Structure Medical Center</t>
        </is>
      </c>
      <c r="C1156" s="0" t="inlineStr">
        <is>
          <t>Planktic Colonies</t>
        </is>
      </c>
      <c r="D1156" s="0" t="n">
        <v>72000</v>
      </c>
      <c r="E1156" s="0">
        <f>VLOOKUP(C1156,'Item Tier Lookup'!$A:$B,2,FALSE)</f>
        <v/>
      </c>
      <c r="F1156" s="0">
        <f>VLOOKUP(E1156,'Tier Params'!$A:$B,2,FALSE)</f>
        <v/>
      </c>
      <c r="G1156" s="0">
        <f>VLOOKUP(E1156,'Tier Params'!$A:$C,3,FALSE)</f>
        <v/>
      </c>
      <c r="H1156" s="0">
        <f>CEILING(D1156/G1156,1)</f>
        <v/>
      </c>
      <c r="I1156" s="0">
        <f>H1156*F1156</f>
        <v/>
      </c>
    </row>
    <row r="1157">
      <c r="A1157" s="0" t="inlineStr">
        <is>
          <t>'Reference sheet'!N1159</t>
        </is>
      </c>
      <c r="B1157" s="0" t="inlineStr">
        <is>
          <t>Structure Medical Center</t>
        </is>
      </c>
      <c r="C1157" s="0" t="inlineStr">
        <is>
          <t>Test Cultures</t>
        </is>
      </c>
      <c r="D1157" s="0" t="n">
        <v>60</v>
      </c>
      <c r="E1157" s="0">
        <f>VLOOKUP(C1157,'Item Tier Lookup'!$A:$B,2,FALSE)</f>
        <v/>
      </c>
      <c r="F1157" s="0">
        <f>VLOOKUP(E1157,'Tier Params'!$A:$B,2,FALSE)</f>
        <v/>
      </c>
      <c r="G1157" s="0">
        <f>VLOOKUP(E1157,'Tier Params'!$A:$C,3,FALSE)</f>
        <v/>
      </c>
      <c r="H1157" s="0">
        <f>CEILING(D1157/G1157,1)</f>
        <v/>
      </c>
      <c r="I1157" s="0">
        <f>H1157*F1157</f>
        <v/>
      </c>
    </row>
    <row r="1158">
      <c r="A1158" s="0" t="inlineStr">
        <is>
          <t>'Reference sheet'!N1160</t>
        </is>
      </c>
      <c r="B1158" s="0" t="inlineStr">
        <is>
          <t>Structure Medical Center</t>
        </is>
      </c>
      <c r="C1158" s="0" t="inlineStr">
        <is>
          <t>Bacteria</t>
        </is>
      </c>
      <c r="D1158" s="0" t="n">
        <v>480</v>
      </c>
      <c r="E1158" s="0">
        <f>VLOOKUP(C1158,'Item Tier Lookup'!$A:$B,2,FALSE)</f>
        <v/>
      </c>
      <c r="F1158" s="0">
        <f>VLOOKUP(E1158,'Tier Params'!$A:$B,2,FALSE)</f>
        <v/>
      </c>
      <c r="G1158" s="0">
        <f>VLOOKUP(E1158,'Tier Params'!$A:$C,3,FALSE)</f>
        <v/>
      </c>
      <c r="H1158" s="0">
        <f>CEILING(D1158/G1158,1)</f>
        <v/>
      </c>
      <c r="I1158" s="0">
        <f>H1158*F1158</f>
        <v/>
      </c>
    </row>
    <row r="1159">
      <c r="A1159" s="0" t="inlineStr">
        <is>
          <t>'Reference sheet'!N1161</t>
        </is>
      </c>
      <c r="B1159" s="0" t="inlineStr">
        <is>
          <t>Structure Medical Center</t>
        </is>
      </c>
      <c r="C1159" s="0" t="inlineStr">
        <is>
          <t>Microorganisms</t>
        </is>
      </c>
      <c r="D1159" s="0" t="n">
        <v>72000</v>
      </c>
      <c r="E1159" s="0">
        <f>VLOOKUP(C1159,'Item Tier Lookup'!$A:$B,2,FALSE)</f>
        <v/>
      </c>
      <c r="F1159" s="0">
        <f>VLOOKUP(E1159,'Tier Params'!$A:$B,2,FALSE)</f>
        <v/>
      </c>
      <c r="G1159" s="0">
        <f>VLOOKUP(E1159,'Tier Params'!$A:$C,3,FALSE)</f>
        <v/>
      </c>
      <c r="H1159" s="0">
        <f>CEILING(D1159/G1159,1)</f>
        <v/>
      </c>
      <c r="I1159" s="0">
        <f>H1159*F1159</f>
        <v/>
      </c>
    </row>
    <row r="1160">
      <c r="A1160" s="0" t="inlineStr">
        <is>
          <t>'Reference sheet'!N1162</t>
        </is>
      </c>
      <c r="B1160" s="0" t="inlineStr">
        <is>
          <t>Structure Medical Center</t>
        </is>
      </c>
      <c r="C1160" s="0" t="inlineStr">
        <is>
          <t>Water</t>
        </is>
      </c>
      <c r="D1160" s="0" t="n">
        <v>480</v>
      </c>
      <c r="E1160" s="0">
        <f>VLOOKUP(C1160,'Item Tier Lookup'!$A:$B,2,FALSE)</f>
        <v/>
      </c>
      <c r="F1160" s="0">
        <f>VLOOKUP(E1160,'Tier Params'!$A:$B,2,FALSE)</f>
        <v/>
      </c>
      <c r="G1160" s="0">
        <f>VLOOKUP(E1160,'Tier Params'!$A:$C,3,FALSE)</f>
        <v/>
      </c>
      <c r="H1160" s="0">
        <f>CEILING(D1160/G1160,1)</f>
        <v/>
      </c>
      <c r="I1160" s="0">
        <f>H1160*F1160</f>
        <v/>
      </c>
    </row>
    <row r="1161">
      <c r="A1161" s="0" t="inlineStr">
        <is>
          <t>'Reference sheet'!N1163</t>
        </is>
      </c>
      <c r="B1161" s="0" t="inlineStr">
        <is>
          <t>Structure Medical Center</t>
        </is>
      </c>
      <c r="C1161" s="0" t="inlineStr">
        <is>
          <t>Aqueous Liquids</t>
        </is>
      </c>
      <c r="D1161" s="0" t="n">
        <v>72000</v>
      </c>
      <c r="E1161" s="0">
        <f>VLOOKUP(C1161,'Item Tier Lookup'!$A:$B,2,FALSE)</f>
        <v/>
      </c>
      <c r="F1161" s="0">
        <f>VLOOKUP(E1161,'Tier Params'!$A:$B,2,FALSE)</f>
        <v/>
      </c>
      <c r="G1161" s="0">
        <f>VLOOKUP(E1161,'Tier Params'!$A:$C,3,FALSE)</f>
        <v/>
      </c>
      <c r="H1161" s="0">
        <f>CEILING(D1161/G1161,1)</f>
        <v/>
      </c>
      <c r="I1161" s="0">
        <f>H1161*F1161</f>
        <v/>
      </c>
    </row>
    <row r="1162">
      <c r="A1162" s="0" t="inlineStr">
        <is>
          <t>'Reference sheet'!N1164</t>
        </is>
      </c>
      <c r="B1162" s="0" t="inlineStr">
        <is>
          <t>Structure Medical Center</t>
        </is>
      </c>
      <c r="C1162" s="0" t="inlineStr">
        <is>
          <t>Transcranial Microcontrollers</t>
        </is>
      </c>
      <c r="D1162" s="0" t="n">
        <v>18</v>
      </c>
      <c r="E1162" s="0">
        <f>VLOOKUP(C1162,'Item Tier Lookup'!$A:$B,2,FALSE)</f>
        <v/>
      </c>
      <c r="F1162" s="0">
        <f>VLOOKUP(E1162,'Tier Params'!$A:$B,2,FALSE)</f>
        <v/>
      </c>
      <c r="G1162" s="0">
        <f>VLOOKUP(E1162,'Tier Params'!$A:$C,3,FALSE)</f>
        <v/>
      </c>
      <c r="H1162" s="0">
        <f>CEILING(D1162/G1162,1)</f>
        <v/>
      </c>
      <c r="I1162" s="0">
        <f>H1162*F1162</f>
        <v/>
      </c>
    </row>
    <row r="1163">
      <c r="A1163" s="0" t="inlineStr">
        <is>
          <t>'Reference sheet'!N1165</t>
        </is>
      </c>
      <c r="B1163" s="0" t="inlineStr">
        <is>
          <t>Structure Medical Center</t>
        </is>
      </c>
      <c r="C1163" s="0" t="inlineStr">
        <is>
          <t>Biocells</t>
        </is>
      </c>
      <c r="D1163" s="0" t="n">
        <v>60</v>
      </c>
      <c r="E1163" s="0">
        <f>VLOOKUP(C1163,'Item Tier Lookup'!$A:$B,2,FALSE)</f>
        <v/>
      </c>
      <c r="F1163" s="0">
        <f>VLOOKUP(E1163,'Tier Params'!$A:$B,2,FALSE)</f>
        <v/>
      </c>
      <c r="G1163" s="0">
        <f>VLOOKUP(E1163,'Tier Params'!$A:$C,3,FALSE)</f>
        <v/>
      </c>
      <c r="H1163" s="0">
        <f>CEILING(D1163/G1163,1)</f>
        <v/>
      </c>
      <c r="I1163" s="0">
        <f>H1163*F1163</f>
        <v/>
      </c>
    </row>
    <row r="1164">
      <c r="A1164" s="0" t="inlineStr">
        <is>
          <t>'Reference sheet'!N1166</t>
        </is>
      </c>
      <c r="B1164" s="0" t="inlineStr">
        <is>
          <t>Structure Medical Center</t>
        </is>
      </c>
      <c r="C1164" s="0" t="inlineStr">
        <is>
          <t>Biofuels</t>
        </is>
      </c>
      <c r="D1164" s="0" t="n">
        <v>480</v>
      </c>
      <c r="E1164" s="0">
        <f>VLOOKUP(C1164,'Item Tier Lookup'!$A:$B,2,FALSE)</f>
        <v/>
      </c>
      <c r="F1164" s="0">
        <f>VLOOKUP(E1164,'Tier Params'!$A:$B,2,FALSE)</f>
        <v/>
      </c>
      <c r="G1164" s="0">
        <f>VLOOKUP(E1164,'Tier Params'!$A:$C,3,FALSE)</f>
        <v/>
      </c>
      <c r="H1164" s="0">
        <f>CEILING(D1164/G1164,1)</f>
        <v/>
      </c>
      <c r="I1164" s="0">
        <f>H1164*F1164</f>
        <v/>
      </c>
    </row>
    <row r="1165">
      <c r="A1165" s="0" t="inlineStr">
        <is>
          <t>'Reference sheet'!N1167</t>
        </is>
      </c>
      <c r="B1165" s="0" t="inlineStr">
        <is>
          <t>Structure Medical Center</t>
        </is>
      </c>
      <c r="C1165" s="0" t="inlineStr">
        <is>
          <t>Carbon Compounds</t>
        </is>
      </c>
      <c r="D1165" s="0" t="n">
        <v>72000</v>
      </c>
      <c r="E1165" s="0">
        <f>VLOOKUP(C1165,'Item Tier Lookup'!$A:$B,2,FALSE)</f>
        <v/>
      </c>
      <c r="F1165" s="0">
        <f>VLOOKUP(E1165,'Tier Params'!$A:$B,2,FALSE)</f>
        <v/>
      </c>
      <c r="G1165" s="0">
        <f>VLOOKUP(E1165,'Tier Params'!$A:$C,3,FALSE)</f>
        <v/>
      </c>
      <c r="H1165" s="0">
        <f>CEILING(D1165/G1165,1)</f>
        <v/>
      </c>
      <c r="I1165" s="0">
        <f>H1165*F1165</f>
        <v/>
      </c>
    </row>
    <row r="1166">
      <c r="A1166" s="0" t="inlineStr">
        <is>
          <t>'Reference sheet'!N1168</t>
        </is>
      </c>
      <c r="B1166" s="0" t="inlineStr">
        <is>
          <t>Structure Medical Center</t>
        </is>
      </c>
      <c r="C1166" s="0" t="inlineStr">
        <is>
          <t>Precious Metals</t>
        </is>
      </c>
      <c r="D1166" s="0" t="n">
        <v>480</v>
      </c>
      <c r="E1166" s="0">
        <f>VLOOKUP(C1166,'Item Tier Lookup'!$A:$B,2,FALSE)</f>
        <v/>
      </c>
      <c r="F1166" s="0">
        <f>VLOOKUP(E1166,'Tier Params'!$A:$B,2,FALSE)</f>
        <v/>
      </c>
      <c r="G1166" s="0">
        <f>VLOOKUP(E1166,'Tier Params'!$A:$C,3,FALSE)</f>
        <v/>
      </c>
      <c r="H1166" s="0">
        <f>CEILING(D1166/G1166,1)</f>
        <v/>
      </c>
      <c r="I1166" s="0">
        <f>H1166*F1166</f>
        <v/>
      </c>
    </row>
    <row r="1167">
      <c r="A1167" s="0" t="inlineStr">
        <is>
          <t>'Reference sheet'!N1169</t>
        </is>
      </c>
      <c r="B1167" s="0" t="inlineStr">
        <is>
          <t>Structure Medical Center</t>
        </is>
      </c>
      <c r="C1167" s="0" t="inlineStr">
        <is>
          <t>Noble Metals</t>
        </is>
      </c>
      <c r="D1167" s="0" t="n">
        <v>72000</v>
      </c>
      <c r="E1167" s="0">
        <f>VLOOKUP(C1167,'Item Tier Lookup'!$A:$B,2,FALSE)</f>
        <v/>
      </c>
      <c r="F1167" s="0">
        <f>VLOOKUP(E1167,'Tier Params'!$A:$B,2,FALSE)</f>
        <v/>
      </c>
      <c r="G1167" s="0">
        <f>VLOOKUP(E1167,'Tier Params'!$A:$C,3,FALSE)</f>
        <v/>
      </c>
      <c r="H1167" s="0">
        <f>CEILING(D1167/G1167,1)</f>
        <v/>
      </c>
      <c r="I1167" s="0">
        <f>H1167*F1167</f>
        <v/>
      </c>
    </row>
    <row r="1168">
      <c r="A1168" s="0" t="inlineStr">
        <is>
          <t>'Reference sheet'!N1170</t>
        </is>
      </c>
      <c r="B1168" s="0" t="inlineStr">
        <is>
          <t>Structure Medical Center</t>
        </is>
      </c>
      <c r="C1168" s="0" t="inlineStr">
        <is>
          <t>Nanites</t>
        </is>
      </c>
      <c r="D1168" s="0" t="n">
        <v>60</v>
      </c>
      <c r="E1168" s="0">
        <f>VLOOKUP(C1168,'Item Tier Lookup'!$A:$B,2,FALSE)</f>
        <v/>
      </c>
      <c r="F1168" s="0">
        <f>VLOOKUP(E1168,'Tier Params'!$A:$B,2,FALSE)</f>
        <v/>
      </c>
      <c r="G1168" s="0">
        <f>VLOOKUP(E1168,'Tier Params'!$A:$C,3,FALSE)</f>
        <v/>
      </c>
      <c r="H1168" s="0">
        <f>CEILING(D1168/G1168,1)</f>
        <v/>
      </c>
      <c r="I1168" s="0">
        <f>H1168*F1168</f>
        <v/>
      </c>
    </row>
    <row r="1169">
      <c r="A1169" s="0" t="inlineStr">
        <is>
          <t>'Reference sheet'!N1171</t>
        </is>
      </c>
      <c r="B1169" s="0" t="inlineStr">
        <is>
          <t>Structure Medical Center</t>
        </is>
      </c>
      <c r="C1169" s="0" t="inlineStr">
        <is>
          <t>Bacteria</t>
        </is>
      </c>
      <c r="D1169" s="0" t="n">
        <v>480</v>
      </c>
      <c r="E1169" s="0">
        <f>VLOOKUP(C1169,'Item Tier Lookup'!$A:$B,2,FALSE)</f>
        <v/>
      </c>
      <c r="F1169" s="0">
        <f>VLOOKUP(E1169,'Tier Params'!$A:$B,2,FALSE)</f>
        <v/>
      </c>
      <c r="G1169" s="0">
        <f>VLOOKUP(E1169,'Tier Params'!$A:$C,3,FALSE)</f>
        <v/>
      </c>
      <c r="H1169" s="0">
        <f>CEILING(D1169/G1169,1)</f>
        <v/>
      </c>
      <c r="I1169" s="0">
        <f>H1169*F1169</f>
        <v/>
      </c>
    </row>
    <row r="1170">
      <c r="A1170" s="0" t="inlineStr">
        <is>
          <t>'Reference sheet'!N1172</t>
        </is>
      </c>
      <c r="B1170" s="0" t="inlineStr">
        <is>
          <t>Structure Medical Center</t>
        </is>
      </c>
      <c r="C1170" s="0" t="inlineStr">
        <is>
          <t>Microorganisms</t>
        </is>
      </c>
      <c r="D1170" s="0" t="n">
        <v>72000</v>
      </c>
      <c r="E1170" s="0">
        <f>VLOOKUP(C1170,'Item Tier Lookup'!$A:$B,2,FALSE)</f>
        <v/>
      </c>
      <c r="F1170" s="0">
        <f>VLOOKUP(E1170,'Tier Params'!$A:$B,2,FALSE)</f>
        <v/>
      </c>
      <c r="G1170" s="0">
        <f>VLOOKUP(E1170,'Tier Params'!$A:$C,3,FALSE)</f>
        <v/>
      </c>
      <c r="H1170" s="0">
        <f>CEILING(D1170/G1170,1)</f>
        <v/>
      </c>
      <c r="I1170" s="0">
        <f>H1170*F1170</f>
        <v/>
      </c>
    </row>
    <row r="1171">
      <c r="A1171" s="0" t="inlineStr">
        <is>
          <t>'Reference sheet'!N1173</t>
        </is>
      </c>
      <c r="B1171" s="0" t="inlineStr">
        <is>
          <t>Structure Medical Center</t>
        </is>
      </c>
      <c r="C1171" s="0" t="inlineStr">
        <is>
          <t>Reactive Metals</t>
        </is>
      </c>
      <c r="D1171" s="0" t="n">
        <v>480</v>
      </c>
      <c r="E1171" s="0">
        <f>VLOOKUP(C1171,'Item Tier Lookup'!$A:$B,2,FALSE)</f>
        <v/>
      </c>
      <c r="F1171" s="0">
        <f>VLOOKUP(E1171,'Tier Params'!$A:$B,2,FALSE)</f>
        <v/>
      </c>
      <c r="G1171" s="0">
        <f>VLOOKUP(E1171,'Tier Params'!$A:$C,3,FALSE)</f>
        <v/>
      </c>
      <c r="H1171" s="0">
        <f>CEILING(D1171/G1171,1)</f>
        <v/>
      </c>
      <c r="I1171" s="0">
        <f>H1171*F1171</f>
        <v/>
      </c>
    </row>
    <row r="1172">
      <c r="A1172" s="0" t="inlineStr">
        <is>
          <t>'Reference sheet'!N1174</t>
        </is>
      </c>
      <c r="B1172" s="0" t="inlineStr">
        <is>
          <t>Structure Medical Center</t>
        </is>
      </c>
      <c r="C1172" s="0" t="inlineStr">
        <is>
          <t>Base Metals</t>
        </is>
      </c>
      <c r="D1172" s="0" t="n">
        <v>72000</v>
      </c>
      <c r="E1172" s="0">
        <f>VLOOKUP(C1172,'Item Tier Lookup'!$A:$B,2,FALSE)</f>
        <v/>
      </c>
      <c r="F1172" s="0">
        <f>VLOOKUP(E1172,'Tier Params'!$A:$B,2,FALSE)</f>
        <v/>
      </c>
      <c r="G1172" s="0">
        <f>VLOOKUP(E1172,'Tier Params'!$A:$C,3,FALSE)</f>
        <v/>
      </c>
      <c r="H1172" s="0">
        <f>CEILING(D1172/G1172,1)</f>
        <v/>
      </c>
      <c r="I1172" s="0">
        <f>H1172*F1172</f>
        <v/>
      </c>
    </row>
    <row r="1173">
      <c r="A1173" s="0" t="inlineStr">
        <is>
          <t>'Reference sheet'!N1175</t>
        </is>
      </c>
      <c r="B1173" s="0" t="inlineStr">
        <is>
          <t>Structure Medical Center</t>
        </is>
      </c>
      <c r="C1173" s="0" t="inlineStr">
        <is>
          <t>Guidance Systems</t>
        </is>
      </c>
      <c r="D1173" s="0" t="n">
        <v>18</v>
      </c>
      <c r="E1173" s="0">
        <f>VLOOKUP(C1173,'Item Tier Lookup'!$A:$B,2,FALSE)</f>
        <v/>
      </c>
      <c r="F1173" s="0">
        <f>VLOOKUP(E1173,'Tier Params'!$A:$B,2,FALSE)</f>
        <v/>
      </c>
      <c r="G1173" s="0">
        <f>VLOOKUP(E1173,'Tier Params'!$A:$C,3,FALSE)</f>
        <v/>
      </c>
      <c r="H1173" s="0">
        <f>CEILING(D1173/G1173,1)</f>
        <v/>
      </c>
      <c r="I1173" s="0">
        <f>H1173*F1173</f>
        <v/>
      </c>
    </row>
    <row r="1174">
      <c r="A1174" s="0" t="inlineStr">
        <is>
          <t>'Reference sheet'!N1176</t>
        </is>
      </c>
      <c r="B1174" s="0" t="inlineStr">
        <is>
          <t>Structure Medical Center</t>
        </is>
      </c>
      <c r="C1174" s="0" t="inlineStr">
        <is>
          <t>Water-Cooled CPU</t>
        </is>
      </c>
      <c r="D1174" s="0" t="n">
        <v>60</v>
      </c>
      <c r="E1174" s="0">
        <f>VLOOKUP(C1174,'Item Tier Lookup'!$A:$B,2,FALSE)</f>
        <v/>
      </c>
      <c r="F1174" s="0">
        <f>VLOOKUP(E1174,'Tier Params'!$A:$B,2,FALSE)</f>
        <v/>
      </c>
      <c r="G1174" s="0">
        <f>VLOOKUP(E1174,'Tier Params'!$A:$C,3,FALSE)</f>
        <v/>
      </c>
      <c r="H1174" s="0">
        <f>CEILING(D1174/G1174,1)</f>
        <v/>
      </c>
      <c r="I1174" s="0">
        <f>H1174*F1174</f>
        <v/>
      </c>
    </row>
    <row r="1175">
      <c r="A1175" s="0" t="inlineStr">
        <is>
          <t>'Reference sheet'!N1177</t>
        </is>
      </c>
      <c r="B1175" s="0" t="inlineStr">
        <is>
          <t>Structure Medical Center</t>
        </is>
      </c>
      <c r="C1175" s="0" t="inlineStr">
        <is>
          <t>Water</t>
        </is>
      </c>
      <c r="D1175" s="0" t="n">
        <v>480</v>
      </c>
      <c r="E1175" s="0">
        <f>VLOOKUP(C1175,'Item Tier Lookup'!$A:$B,2,FALSE)</f>
        <v/>
      </c>
      <c r="F1175" s="0">
        <f>VLOOKUP(E1175,'Tier Params'!$A:$B,2,FALSE)</f>
        <v/>
      </c>
      <c r="G1175" s="0">
        <f>VLOOKUP(E1175,'Tier Params'!$A:$C,3,FALSE)</f>
        <v/>
      </c>
      <c r="H1175" s="0">
        <f>CEILING(D1175/G1175,1)</f>
        <v/>
      </c>
      <c r="I1175" s="0">
        <f>H1175*F1175</f>
        <v/>
      </c>
    </row>
    <row r="1176">
      <c r="A1176" s="0" t="inlineStr">
        <is>
          <t>'Reference sheet'!N1178</t>
        </is>
      </c>
      <c r="B1176" s="0" t="inlineStr">
        <is>
          <t>Structure Medical Center</t>
        </is>
      </c>
      <c r="C1176" s="0" t="inlineStr">
        <is>
          <t>Aqueous Liquids</t>
        </is>
      </c>
      <c r="D1176" s="0" t="n">
        <v>72000</v>
      </c>
      <c r="E1176" s="0">
        <f>VLOOKUP(C1176,'Item Tier Lookup'!$A:$B,2,FALSE)</f>
        <v/>
      </c>
      <c r="F1176" s="0">
        <f>VLOOKUP(E1176,'Tier Params'!$A:$B,2,FALSE)</f>
        <v/>
      </c>
      <c r="G1176" s="0">
        <f>VLOOKUP(E1176,'Tier Params'!$A:$C,3,FALSE)</f>
        <v/>
      </c>
      <c r="H1176" s="0">
        <f>CEILING(D1176/G1176,1)</f>
        <v/>
      </c>
      <c r="I1176" s="0">
        <f>H1176*F1176</f>
        <v/>
      </c>
    </row>
    <row r="1177">
      <c r="A1177" s="0" t="inlineStr">
        <is>
          <t>'Reference sheet'!N1179</t>
        </is>
      </c>
      <c r="B1177" s="0" t="inlineStr">
        <is>
          <t>Structure Medical Center</t>
        </is>
      </c>
      <c r="C1177" s="0" t="inlineStr">
        <is>
          <t>Reactive Metals</t>
        </is>
      </c>
      <c r="D1177" s="0" t="n">
        <v>480</v>
      </c>
      <c r="E1177" s="0">
        <f>VLOOKUP(C1177,'Item Tier Lookup'!$A:$B,2,FALSE)</f>
        <v/>
      </c>
      <c r="F1177" s="0">
        <f>VLOOKUP(E1177,'Tier Params'!$A:$B,2,FALSE)</f>
        <v/>
      </c>
      <c r="G1177" s="0">
        <f>VLOOKUP(E1177,'Tier Params'!$A:$C,3,FALSE)</f>
        <v/>
      </c>
      <c r="H1177" s="0">
        <f>CEILING(D1177/G1177,1)</f>
        <v/>
      </c>
      <c r="I1177" s="0">
        <f>H1177*F1177</f>
        <v/>
      </c>
    </row>
    <row r="1178">
      <c r="A1178" s="0" t="inlineStr">
        <is>
          <t>'Reference sheet'!N1180</t>
        </is>
      </c>
      <c r="B1178" s="0" t="inlineStr">
        <is>
          <t>Structure Medical Center</t>
        </is>
      </c>
      <c r="C1178" s="0" t="inlineStr">
        <is>
          <t>Base Metals</t>
        </is>
      </c>
      <c r="D1178" s="0" t="n">
        <v>72000</v>
      </c>
      <c r="E1178" s="0">
        <f>VLOOKUP(C1178,'Item Tier Lookup'!$A:$B,2,FALSE)</f>
        <v/>
      </c>
      <c r="F1178" s="0">
        <f>VLOOKUP(E1178,'Tier Params'!$A:$B,2,FALSE)</f>
        <v/>
      </c>
      <c r="G1178" s="0">
        <f>VLOOKUP(E1178,'Tier Params'!$A:$C,3,FALSE)</f>
        <v/>
      </c>
      <c r="H1178" s="0">
        <f>CEILING(D1178/G1178,1)</f>
        <v/>
      </c>
      <c r="I1178" s="0">
        <f>H1178*F1178</f>
        <v/>
      </c>
    </row>
    <row r="1179">
      <c r="A1179" s="0" t="inlineStr">
        <is>
          <t>'Reference sheet'!N1181</t>
        </is>
      </c>
      <c r="B1179" s="0" t="inlineStr">
        <is>
          <t>Structure Medical Center</t>
        </is>
      </c>
      <c r="C1179" s="0" t="inlineStr">
        <is>
          <t>Transmitter</t>
        </is>
      </c>
      <c r="D1179" s="0" t="n">
        <v>60</v>
      </c>
      <c r="E1179" s="0">
        <f>VLOOKUP(C1179,'Item Tier Lookup'!$A:$B,2,FALSE)</f>
        <v/>
      </c>
      <c r="F1179" s="0">
        <f>VLOOKUP(E1179,'Tier Params'!$A:$B,2,FALSE)</f>
        <v/>
      </c>
      <c r="G1179" s="0">
        <f>VLOOKUP(E1179,'Tier Params'!$A:$C,3,FALSE)</f>
        <v/>
      </c>
      <c r="H1179" s="0">
        <f>CEILING(D1179/G1179,1)</f>
        <v/>
      </c>
      <c r="I1179" s="0">
        <f>H1179*F1179</f>
        <v/>
      </c>
    </row>
    <row r="1180">
      <c r="A1180" s="0" t="inlineStr">
        <is>
          <t>'Reference sheet'!N1182</t>
        </is>
      </c>
      <c r="B1180" s="0" t="inlineStr">
        <is>
          <t>Structure Medical Center</t>
        </is>
      </c>
      <c r="C1180" s="0" t="inlineStr">
        <is>
          <t>Chiral Structures</t>
        </is>
      </c>
      <c r="D1180" s="0" t="n">
        <v>480</v>
      </c>
      <c r="E1180" s="0">
        <f>VLOOKUP(C1180,'Item Tier Lookup'!$A:$B,2,FALSE)</f>
        <v/>
      </c>
      <c r="F1180" s="0">
        <f>VLOOKUP(E1180,'Tier Params'!$A:$B,2,FALSE)</f>
        <v/>
      </c>
      <c r="G1180" s="0">
        <f>VLOOKUP(E1180,'Tier Params'!$A:$C,3,FALSE)</f>
        <v/>
      </c>
      <c r="H1180" s="0">
        <f>CEILING(D1180/G1180,1)</f>
        <v/>
      </c>
      <c r="I1180" s="0">
        <f>H1180*F1180</f>
        <v/>
      </c>
    </row>
    <row r="1181">
      <c r="A1181" s="0" t="inlineStr">
        <is>
          <t>'Reference sheet'!N1183</t>
        </is>
      </c>
      <c r="B1181" s="0" t="inlineStr">
        <is>
          <t>Structure Medical Center</t>
        </is>
      </c>
      <c r="C1181" s="0" t="inlineStr">
        <is>
          <t>Non-CS Crystals</t>
        </is>
      </c>
      <c r="D1181" s="0" t="n">
        <v>72000</v>
      </c>
      <c r="E1181" s="0">
        <f>VLOOKUP(C1181,'Item Tier Lookup'!$A:$B,2,FALSE)</f>
        <v/>
      </c>
      <c r="F1181" s="0">
        <f>VLOOKUP(E1181,'Tier Params'!$A:$B,2,FALSE)</f>
        <v/>
      </c>
      <c r="G1181" s="0">
        <f>VLOOKUP(E1181,'Tier Params'!$A:$C,3,FALSE)</f>
        <v/>
      </c>
      <c r="H1181" s="0">
        <f>CEILING(D1181/G1181,1)</f>
        <v/>
      </c>
      <c r="I1181" s="0">
        <f>H1181*F1181</f>
        <v/>
      </c>
    </row>
    <row r="1182">
      <c r="A1182" s="0" t="inlineStr">
        <is>
          <t>'Reference sheet'!N1184</t>
        </is>
      </c>
      <c r="B1182" s="0" t="inlineStr">
        <is>
          <t>Structure Medical Center</t>
        </is>
      </c>
      <c r="C1182" s="0" t="inlineStr">
        <is>
          <t>Plasmoids</t>
        </is>
      </c>
      <c r="D1182" s="0" t="n">
        <v>480</v>
      </c>
      <c r="E1182" s="0">
        <f>VLOOKUP(C1182,'Item Tier Lookup'!$A:$B,2,FALSE)</f>
        <v/>
      </c>
      <c r="F1182" s="0">
        <f>VLOOKUP(E1182,'Tier Params'!$A:$B,2,FALSE)</f>
        <v/>
      </c>
      <c r="G1182" s="0">
        <f>VLOOKUP(E1182,'Tier Params'!$A:$C,3,FALSE)</f>
        <v/>
      </c>
      <c r="H1182" s="0">
        <f>CEILING(D1182/G1182,1)</f>
        <v/>
      </c>
      <c r="I1182" s="0">
        <f>H1182*F1182</f>
        <v/>
      </c>
    </row>
    <row r="1183">
      <c r="A1183" s="0" t="inlineStr">
        <is>
          <t>'Reference sheet'!N1185</t>
        </is>
      </c>
      <c r="B1183" s="0" t="inlineStr">
        <is>
          <t>Structure Medical Center</t>
        </is>
      </c>
      <c r="C1183" s="0" t="inlineStr">
        <is>
          <t>Suspended Plasma</t>
        </is>
      </c>
      <c r="D1183" s="0" t="n">
        <v>72000</v>
      </c>
      <c r="E1183" s="0">
        <f>VLOOKUP(C1183,'Item Tier Lookup'!$A:$B,2,FALSE)</f>
        <v/>
      </c>
      <c r="F1183" s="0">
        <f>VLOOKUP(E1183,'Tier Params'!$A:$B,2,FALSE)</f>
        <v/>
      </c>
      <c r="G1183" s="0">
        <f>VLOOKUP(E1183,'Tier Params'!$A:$C,3,FALSE)</f>
        <v/>
      </c>
      <c r="H1183" s="0">
        <f>CEILING(D1183/G1183,1)</f>
        <v/>
      </c>
      <c r="I1183" s="0">
        <f>H1183*F1183</f>
        <v/>
      </c>
    </row>
    <row r="1184">
      <c r="A1184" s="0" t="inlineStr">
        <is>
          <t>'Reference sheet'!N1186</t>
        </is>
      </c>
      <c r="B1184" s="0" t="inlineStr">
        <is>
          <t>Structure Medical Center</t>
        </is>
      </c>
      <c r="C1184" s="0" t="inlineStr">
        <is>
          <t>Self-Harmonizing Power Core</t>
        </is>
      </c>
      <c r="D1184" s="0" t="n">
        <v>3</v>
      </c>
      <c r="E1184" s="0">
        <f>VLOOKUP(C1184,'Item Tier Lookup'!$A:$B,2,FALSE)</f>
        <v/>
      </c>
      <c r="F1184" s="0">
        <f>VLOOKUP(E1184,'Tier Params'!$A:$B,2,FALSE)</f>
        <v/>
      </c>
      <c r="G1184" s="0">
        <f>VLOOKUP(E1184,'Tier Params'!$A:$C,3,FALSE)</f>
        <v/>
      </c>
      <c r="H1184" s="0">
        <f>CEILING(D1184/G1184,1)</f>
        <v/>
      </c>
      <c r="I1184" s="0">
        <f>H1184*F1184</f>
        <v/>
      </c>
    </row>
    <row r="1185">
      <c r="A1185" s="0" t="inlineStr">
        <is>
          <t>'Reference sheet'!N1187</t>
        </is>
      </c>
      <c r="B1185" s="0" t="inlineStr">
        <is>
          <t>Structure Medical Center</t>
        </is>
      </c>
      <c r="C1185" s="0" t="inlineStr">
        <is>
          <t>Nuclear Reactors</t>
        </is>
      </c>
      <c r="D1185" s="0" t="n">
        <v>18</v>
      </c>
      <c r="E1185" s="0">
        <f>VLOOKUP(C1185,'Item Tier Lookup'!$A:$B,2,FALSE)</f>
        <v/>
      </c>
      <c r="F1185" s="0">
        <f>VLOOKUP(E1185,'Tier Params'!$A:$B,2,FALSE)</f>
        <v/>
      </c>
      <c r="G1185" s="0">
        <f>VLOOKUP(E1185,'Tier Params'!$A:$C,3,FALSE)</f>
        <v/>
      </c>
      <c r="H1185" s="0">
        <f>CEILING(D1185/G1185,1)</f>
        <v/>
      </c>
      <c r="I1185" s="0">
        <f>H1185*F1185</f>
        <v/>
      </c>
    </row>
    <row r="1186">
      <c r="A1186" s="0" t="inlineStr">
        <is>
          <t>'Reference sheet'!N1188</t>
        </is>
      </c>
      <c r="B1186" s="0" t="inlineStr">
        <is>
          <t>Structure Medical Center</t>
        </is>
      </c>
      <c r="C1186" s="0" t="inlineStr">
        <is>
          <t>Enriched Uranium</t>
        </is>
      </c>
      <c r="D1186" s="0" t="n">
        <v>60</v>
      </c>
      <c r="E1186" s="0">
        <f>VLOOKUP(C1186,'Item Tier Lookup'!$A:$B,2,FALSE)</f>
        <v/>
      </c>
      <c r="F1186" s="0">
        <f>VLOOKUP(E1186,'Tier Params'!$A:$B,2,FALSE)</f>
        <v/>
      </c>
      <c r="G1186" s="0">
        <f>VLOOKUP(E1186,'Tier Params'!$A:$C,3,FALSE)</f>
        <v/>
      </c>
      <c r="H1186" s="0">
        <f>CEILING(D1186/G1186,1)</f>
        <v/>
      </c>
      <c r="I1186" s="0">
        <f>H1186*F1186</f>
        <v/>
      </c>
    </row>
    <row r="1187">
      <c r="A1187" s="0" t="inlineStr">
        <is>
          <t>'Reference sheet'!N1189</t>
        </is>
      </c>
      <c r="B1187" s="0" t="inlineStr">
        <is>
          <t>Structure Medical Center</t>
        </is>
      </c>
      <c r="C1187" s="0" t="inlineStr">
        <is>
          <t>Toxic Metals</t>
        </is>
      </c>
      <c r="D1187" s="0" t="n">
        <v>480</v>
      </c>
      <c r="E1187" s="0">
        <f>VLOOKUP(C1187,'Item Tier Lookup'!$A:$B,2,FALSE)</f>
        <v/>
      </c>
      <c r="F1187" s="0">
        <f>VLOOKUP(E1187,'Tier Params'!$A:$B,2,FALSE)</f>
        <v/>
      </c>
      <c r="G1187" s="0">
        <f>VLOOKUP(E1187,'Tier Params'!$A:$C,3,FALSE)</f>
        <v/>
      </c>
      <c r="H1187" s="0">
        <f>CEILING(D1187/G1187,1)</f>
        <v/>
      </c>
      <c r="I1187" s="0">
        <f>H1187*F1187</f>
        <v/>
      </c>
    </row>
    <row r="1188">
      <c r="A1188" s="0" t="inlineStr">
        <is>
          <t>'Reference sheet'!N1190</t>
        </is>
      </c>
      <c r="B1188" s="0" t="inlineStr">
        <is>
          <t>Structure Medical Center</t>
        </is>
      </c>
      <c r="C1188" s="0" t="inlineStr">
        <is>
          <t>Heavy Metals</t>
        </is>
      </c>
      <c r="D1188" s="0" t="n">
        <v>72000</v>
      </c>
      <c r="E1188" s="0">
        <f>VLOOKUP(C1188,'Item Tier Lookup'!$A:$B,2,FALSE)</f>
        <v/>
      </c>
      <c r="F1188" s="0">
        <f>VLOOKUP(E1188,'Tier Params'!$A:$B,2,FALSE)</f>
        <v/>
      </c>
      <c r="G1188" s="0">
        <f>VLOOKUP(E1188,'Tier Params'!$A:$C,3,FALSE)</f>
        <v/>
      </c>
      <c r="H1188" s="0">
        <f>CEILING(D1188/G1188,1)</f>
        <v/>
      </c>
      <c r="I1188" s="0">
        <f>H1188*F1188</f>
        <v/>
      </c>
    </row>
    <row r="1189">
      <c r="A1189" s="0" t="inlineStr">
        <is>
          <t>'Reference sheet'!N1191</t>
        </is>
      </c>
      <c r="B1189" s="0" t="inlineStr">
        <is>
          <t>Structure Medical Center</t>
        </is>
      </c>
      <c r="C1189" s="0" t="inlineStr">
        <is>
          <t>Precious Metals</t>
        </is>
      </c>
      <c r="D1189" s="0" t="n">
        <v>480</v>
      </c>
      <c r="E1189" s="0">
        <f>VLOOKUP(C1189,'Item Tier Lookup'!$A:$B,2,FALSE)</f>
        <v/>
      </c>
      <c r="F1189" s="0">
        <f>VLOOKUP(E1189,'Tier Params'!$A:$B,2,FALSE)</f>
        <v/>
      </c>
      <c r="G1189" s="0">
        <f>VLOOKUP(E1189,'Tier Params'!$A:$C,3,FALSE)</f>
        <v/>
      </c>
      <c r="H1189" s="0">
        <f>CEILING(D1189/G1189,1)</f>
        <v/>
      </c>
      <c r="I1189" s="0">
        <f>H1189*F1189</f>
        <v/>
      </c>
    </row>
    <row r="1190">
      <c r="A1190" s="0" t="inlineStr">
        <is>
          <t>'Reference sheet'!N1192</t>
        </is>
      </c>
      <c r="B1190" s="0" t="inlineStr">
        <is>
          <t>Structure Medical Center</t>
        </is>
      </c>
      <c r="C1190" s="0" t="inlineStr">
        <is>
          <t>Noble Metals</t>
        </is>
      </c>
      <c r="D1190" s="0" t="n">
        <v>72000</v>
      </c>
      <c r="E1190" s="0">
        <f>VLOOKUP(C1190,'Item Tier Lookup'!$A:$B,2,FALSE)</f>
        <v/>
      </c>
      <c r="F1190" s="0">
        <f>VLOOKUP(E1190,'Tier Params'!$A:$B,2,FALSE)</f>
        <v/>
      </c>
      <c r="G1190" s="0">
        <f>VLOOKUP(E1190,'Tier Params'!$A:$C,3,FALSE)</f>
        <v/>
      </c>
      <c r="H1190" s="0">
        <f>CEILING(D1190/G1190,1)</f>
        <v/>
      </c>
      <c r="I1190" s="0">
        <f>H1190*F1190</f>
        <v/>
      </c>
    </row>
    <row r="1191">
      <c r="A1191" s="0" t="inlineStr">
        <is>
          <t>'Reference sheet'!N1193</t>
        </is>
      </c>
      <c r="B1191" s="0" t="inlineStr">
        <is>
          <t>Structure Medical Center</t>
        </is>
      </c>
      <c r="C1191" s="0" t="inlineStr">
        <is>
          <t>Microfiber Shielding</t>
        </is>
      </c>
      <c r="D1191" s="0" t="n">
        <v>60</v>
      </c>
      <c r="E1191" s="0">
        <f>VLOOKUP(C1191,'Item Tier Lookup'!$A:$B,2,FALSE)</f>
        <v/>
      </c>
      <c r="F1191" s="0">
        <f>VLOOKUP(E1191,'Tier Params'!$A:$B,2,FALSE)</f>
        <v/>
      </c>
      <c r="G1191" s="0">
        <f>VLOOKUP(E1191,'Tier Params'!$A:$C,3,FALSE)</f>
        <v/>
      </c>
      <c r="H1191" s="0">
        <f>CEILING(D1191/G1191,1)</f>
        <v/>
      </c>
      <c r="I1191" s="0">
        <f>H1191*F1191</f>
        <v/>
      </c>
    </row>
    <row r="1192">
      <c r="A1192" s="0" t="inlineStr">
        <is>
          <t>'Reference sheet'!N1194</t>
        </is>
      </c>
      <c r="B1192" s="0" t="inlineStr">
        <is>
          <t>Structure Medical Center</t>
        </is>
      </c>
      <c r="C1192" s="0" t="inlineStr">
        <is>
          <t>Silicon</t>
        </is>
      </c>
      <c r="D1192" s="0" t="n">
        <v>480</v>
      </c>
      <c r="E1192" s="0">
        <f>VLOOKUP(C1192,'Item Tier Lookup'!$A:$B,2,FALSE)</f>
        <v/>
      </c>
      <c r="F1192" s="0">
        <f>VLOOKUP(E1192,'Tier Params'!$A:$B,2,FALSE)</f>
        <v/>
      </c>
      <c r="G1192" s="0">
        <f>VLOOKUP(E1192,'Tier Params'!$A:$C,3,FALSE)</f>
        <v/>
      </c>
      <c r="H1192" s="0">
        <f>CEILING(D1192/G1192,1)</f>
        <v/>
      </c>
      <c r="I1192" s="0">
        <f>H1192*F1192</f>
        <v/>
      </c>
    </row>
    <row r="1193">
      <c r="A1193" s="0" t="inlineStr">
        <is>
          <t>'Reference sheet'!N1195</t>
        </is>
      </c>
      <c r="B1193" s="0" t="inlineStr">
        <is>
          <t>Structure Medical Center</t>
        </is>
      </c>
      <c r="C1193" s="0" t="inlineStr">
        <is>
          <t>Felsic Magma</t>
        </is>
      </c>
      <c r="D1193" s="0" t="n">
        <v>72000</v>
      </c>
      <c r="E1193" s="0">
        <f>VLOOKUP(C1193,'Item Tier Lookup'!$A:$B,2,FALSE)</f>
        <v/>
      </c>
      <c r="F1193" s="0">
        <f>VLOOKUP(E1193,'Tier Params'!$A:$B,2,FALSE)</f>
        <v/>
      </c>
      <c r="G1193" s="0">
        <f>VLOOKUP(E1193,'Tier Params'!$A:$C,3,FALSE)</f>
        <v/>
      </c>
      <c r="H1193" s="0">
        <f>CEILING(D1193/G1193,1)</f>
        <v/>
      </c>
      <c r="I1193" s="0">
        <f>H1193*F1193</f>
        <v/>
      </c>
    </row>
    <row r="1194">
      <c r="A1194" s="0" t="inlineStr">
        <is>
          <t>'Reference sheet'!N1196</t>
        </is>
      </c>
      <c r="B1194" s="0" t="inlineStr">
        <is>
          <t>Structure Medical Center</t>
        </is>
      </c>
      <c r="C1194" s="0" t="inlineStr">
        <is>
          <t>Industrial Fibers</t>
        </is>
      </c>
      <c r="D1194" s="0" t="n">
        <v>480</v>
      </c>
      <c r="E1194" s="0">
        <f>VLOOKUP(C1194,'Item Tier Lookup'!$A:$B,2,FALSE)</f>
        <v/>
      </c>
      <c r="F1194" s="0">
        <f>VLOOKUP(E1194,'Tier Params'!$A:$B,2,FALSE)</f>
        <v/>
      </c>
      <c r="G1194" s="0">
        <f>VLOOKUP(E1194,'Tier Params'!$A:$C,3,FALSE)</f>
        <v/>
      </c>
      <c r="H1194" s="0">
        <f>CEILING(D1194/G1194,1)</f>
        <v/>
      </c>
      <c r="I1194" s="0">
        <f>H1194*F1194</f>
        <v/>
      </c>
    </row>
    <row r="1195">
      <c r="A1195" s="0" t="inlineStr">
        <is>
          <t>'Reference sheet'!N1197</t>
        </is>
      </c>
      <c r="B1195" s="0" t="inlineStr">
        <is>
          <t>Structure Medical Center</t>
        </is>
      </c>
      <c r="C1195" s="0" t="inlineStr">
        <is>
          <t>Autotrophs</t>
        </is>
      </c>
      <c r="D1195" s="0" t="n">
        <v>72000</v>
      </c>
      <c r="E1195" s="0">
        <f>VLOOKUP(C1195,'Item Tier Lookup'!$A:$B,2,FALSE)</f>
        <v/>
      </c>
      <c r="F1195" s="0">
        <f>VLOOKUP(E1195,'Tier Params'!$A:$B,2,FALSE)</f>
        <v/>
      </c>
      <c r="G1195" s="0">
        <f>VLOOKUP(E1195,'Tier Params'!$A:$C,3,FALSE)</f>
        <v/>
      </c>
      <c r="H1195" s="0">
        <f>CEILING(D1195/G1195,1)</f>
        <v/>
      </c>
      <c r="I1195" s="0">
        <f>H1195*F1195</f>
        <v/>
      </c>
    </row>
    <row r="1196">
      <c r="A1196" s="0" t="inlineStr">
        <is>
          <t>'Reference sheet'!N1198</t>
        </is>
      </c>
      <c r="B1196" s="0" t="inlineStr">
        <is>
          <t>Structure Medical Center</t>
        </is>
      </c>
      <c r="C1196" s="0" t="inlineStr">
        <is>
          <t>Camera Drones</t>
        </is>
      </c>
      <c r="D1196" s="0" t="n">
        <v>18</v>
      </c>
      <c r="E1196" s="0">
        <f>VLOOKUP(C1196,'Item Tier Lookup'!$A:$B,2,FALSE)</f>
        <v/>
      </c>
      <c r="F1196" s="0">
        <f>VLOOKUP(E1196,'Tier Params'!$A:$B,2,FALSE)</f>
        <v/>
      </c>
      <c r="G1196" s="0">
        <f>VLOOKUP(E1196,'Tier Params'!$A:$C,3,FALSE)</f>
        <v/>
      </c>
      <c r="H1196" s="0">
        <f>CEILING(D1196/G1196,1)</f>
        <v/>
      </c>
      <c r="I1196" s="0">
        <f>H1196*F1196</f>
        <v/>
      </c>
    </row>
    <row r="1197">
      <c r="A1197" s="0" t="inlineStr">
        <is>
          <t>'Reference sheet'!N1199</t>
        </is>
      </c>
      <c r="B1197" s="0" t="inlineStr">
        <is>
          <t>Structure Medical Center</t>
        </is>
      </c>
      <c r="C1197" s="0" t="inlineStr">
        <is>
          <t>Rocket Fuel</t>
        </is>
      </c>
      <c r="D1197" s="0" t="n">
        <v>60</v>
      </c>
      <c r="E1197" s="0">
        <f>VLOOKUP(C1197,'Item Tier Lookup'!$A:$B,2,FALSE)</f>
        <v/>
      </c>
      <c r="F1197" s="0">
        <f>VLOOKUP(E1197,'Tier Params'!$A:$B,2,FALSE)</f>
        <v/>
      </c>
      <c r="G1197" s="0">
        <f>VLOOKUP(E1197,'Tier Params'!$A:$C,3,FALSE)</f>
        <v/>
      </c>
      <c r="H1197" s="0">
        <f>CEILING(D1197/G1197,1)</f>
        <v/>
      </c>
      <c r="I1197" s="0">
        <f>H1197*F1197</f>
        <v/>
      </c>
    </row>
    <row r="1198">
      <c r="A1198" s="0" t="inlineStr">
        <is>
          <t>'Reference sheet'!N1200</t>
        </is>
      </c>
      <c r="B1198" s="0" t="inlineStr">
        <is>
          <t>Structure Medical Center</t>
        </is>
      </c>
      <c r="C1198" s="0" t="inlineStr">
        <is>
          <t>Electrolytes</t>
        </is>
      </c>
      <c r="D1198" s="0" t="n">
        <v>480</v>
      </c>
      <c r="E1198" s="0">
        <f>VLOOKUP(C1198,'Item Tier Lookup'!$A:$B,2,FALSE)</f>
        <v/>
      </c>
      <c r="F1198" s="0">
        <f>VLOOKUP(E1198,'Tier Params'!$A:$B,2,FALSE)</f>
        <v/>
      </c>
      <c r="G1198" s="0">
        <f>VLOOKUP(E1198,'Tier Params'!$A:$C,3,FALSE)</f>
        <v/>
      </c>
      <c r="H1198" s="0">
        <f>CEILING(D1198/G1198,1)</f>
        <v/>
      </c>
      <c r="I1198" s="0">
        <f>H1198*F1198</f>
        <v/>
      </c>
    </row>
    <row r="1199">
      <c r="A1199" s="0" t="inlineStr">
        <is>
          <t>'Reference sheet'!N1201</t>
        </is>
      </c>
      <c r="B1199" s="0" t="inlineStr">
        <is>
          <t>Structure Medical Center</t>
        </is>
      </c>
      <c r="C1199" s="0" t="inlineStr">
        <is>
          <t>Ionic Solutions</t>
        </is>
      </c>
      <c r="D1199" s="0" t="n">
        <v>72000</v>
      </c>
      <c r="E1199" s="0">
        <f>VLOOKUP(C1199,'Item Tier Lookup'!$A:$B,2,FALSE)</f>
        <v/>
      </c>
      <c r="F1199" s="0">
        <f>VLOOKUP(E1199,'Tier Params'!$A:$B,2,FALSE)</f>
        <v/>
      </c>
      <c r="G1199" s="0">
        <f>VLOOKUP(E1199,'Tier Params'!$A:$C,3,FALSE)</f>
        <v/>
      </c>
      <c r="H1199" s="0">
        <f>CEILING(D1199/G1199,1)</f>
        <v/>
      </c>
      <c r="I1199" s="0">
        <f>H1199*F1199</f>
        <v/>
      </c>
    </row>
    <row r="1200">
      <c r="A1200" s="0" t="inlineStr">
        <is>
          <t>'Reference sheet'!N1202</t>
        </is>
      </c>
      <c r="B1200" s="0" t="inlineStr">
        <is>
          <t>Structure Medical Center</t>
        </is>
      </c>
      <c r="C1200" s="0" t="inlineStr">
        <is>
          <t>Plasmoids</t>
        </is>
      </c>
      <c r="D1200" s="0" t="n">
        <v>480</v>
      </c>
      <c r="E1200" s="0">
        <f>VLOOKUP(C1200,'Item Tier Lookup'!$A:$B,2,FALSE)</f>
        <v/>
      </c>
      <c r="F1200" s="0">
        <f>VLOOKUP(E1200,'Tier Params'!$A:$B,2,FALSE)</f>
        <v/>
      </c>
      <c r="G1200" s="0">
        <f>VLOOKUP(E1200,'Tier Params'!$A:$C,3,FALSE)</f>
        <v/>
      </c>
      <c r="H1200" s="0">
        <f>CEILING(D1200/G1200,1)</f>
        <v/>
      </c>
      <c r="I1200" s="0">
        <f>H1200*F1200</f>
        <v/>
      </c>
    </row>
    <row r="1201">
      <c r="A1201" s="0" t="inlineStr">
        <is>
          <t>'Reference sheet'!N1203</t>
        </is>
      </c>
      <c r="B1201" s="0" t="inlineStr">
        <is>
          <t>Structure Medical Center</t>
        </is>
      </c>
      <c r="C1201" s="0" t="inlineStr">
        <is>
          <t>Suspended Plasma</t>
        </is>
      </c>
      <c r="D1201" s="0" t="n">
        <v>72000</v>
      </c>
      <c r="E1201" s="0">
        <f>VLOOKUP(C1201,'Item Tier Lookup'!$A:$B,2,FALSE)</f>
        <v/>
      </c>
      <c r="F1201" s="0">
        <f>VLOOKUP(E1201,'Tier Params'!$A:$B,2,FALSE)</f>
        <v/>
      </c>
      <c r="G1201" s="0">
        <f>VLOOKUP(E1201,'Tier Params'!$A:$C,3,FALSE)</f>
        <v/>
      </c>
      <c r="H1201" s="0">
        <f>CEILING(D1201/G1201,1)</f>
        <v/>
      </c>
      <c r="I1201" s="0">
        <f>H1201*F1201</f>
        <v/>
      </c>
    </row>
    <row r="1202">
      <c r="A1202" s="0" t="inlineStr">
        <is>
          <t>'Reference sheet'!N1204</t>
        </is>
      </c>
      <c r="B1202" s="0" t="inlineStr">
        <is>
          <t>Structure Medical Center</t>
        </is>
      </c>
      <c r="C1202" s="0" t="inlineStr">
        <is>
          <t>Silicate Glass</t>
        </is>
      </c>
      <c r="D1202" s="0" t="n">
        <v>60</v>
      </c>
      <c r="E1202" s="0">
        <f>VLOOKUP(C1202,'Item Tier Lookup'!$A:$B,2,FALSE)</f>
        <v/>
      </c>
      <c r="F1202" s="0">
        <f>VLOOKUP(E1202,'Tier Params'!$A:$B,2,FALSE)</f>
        <v/>
      </c>
      <c r="G1202" s="0">
        <f>VLOOKUP(E1202,'Tier Params'!$A:$C,3,FALSE)</f>
        <v/>
      </c>
      <c r="H1202" s="0">
        <f>CEILING(D1202/G1202,1)</f>
        <v/>
      </c>
      <c r="I1202" s="0">
        <f>H1202*F1202</f>
        <v/>
      </c>
    </row>
    <row r="1203">
      <c r="A1203" s="0" t="inlineStr">
        <is>
          <t>'Reference sheet'!N1205</t>
        </is>
      </c>
      <c r="B1203" s="0" t="inlineStr">
        <is>
          <t>Structure Medical Center</t>
        </is>
      </c>
      <c r="C1203" s="0" t="inlineStr">
        <is>
          <t>Oxidizing Compound</t>
        </is>
      </c>
      <c r="D1203" s="0" t="n">
        <v>480</v>
      </c>
      <c r="E1203" s="0">
        <f>VLOOKUP(C1203,'Item Tier Lookup'!$A:$B,2,FALSE)</f>
        <v/>
      </c>
      <c r="F1203" s="0">
        <f>VLOOKUP(E1203,'Tier Params'!$A:$B,2,FALSE)</f>
        <v/>
      </c>
      <c r="G1203" s="0">
        <f>VLOOKUP(E1203,'Tier Params'!$A:$C,3,FALSE)</f>
        <v/>
      </c>
      <c r="H1203" s="0">
        <f>CEILING(D1203/G1203,1)</f>
        <v/>
      </c>
      <c r="I1203" s="0">
        <f>H1203*F1203</f>
        <v/>
      </c>
    </row>
    <row r="1204">
      <c r="A1204" s="0" t="inlineStr">
        <is>
          <t>'Reference sheet'!N1206</t>
        </is>
      </c>
      <c r="B1204" s="0" t="inlineStr">
        <is>
          <t>Structure Medical Center</t>
        </is>
      </c>
      <c r="C1204" s="0" t="inlineStr">
        <is>
          <t>Reactive Gas</t>
        </is>
      </c>
      <c r="D1204" s="0" t="n">
        <v>72000</v>
      </c>
      <c r="E1204" s="0">
        <f>VLOOKUP(C1204,'Item Tier Lookup'!$A:$B,2,FALSE)</f>
        <v/>
      </c>
      <c r="F1204" s="0">
        <f>VLOOKUP(E1204,'Tier Params'!$A:$B,2,FALSE)</f>
        <v/>
      </c>
      <c r="G1204" s="0">
        <f>VLOOKUP(E1204,'Tier Params'!$A:$C,3,FALSE)</f>
        <v/>
      </c>
      <c r="H1204" s="0">
        <f>CEILING(D1204/G1204,1)</f>
        <v/>
      </c>
      <c r="I1204" s="0">
        <f>H1204*F1204</f>
        <v/>
      </c>
    </row>
    <row r="1205">
      <c r="A1205" s="0" t="inlineStr">
        <is>
          <t>'Reference sheet'!N1207</t>
        </is>
      </c>
      <c r="B1205" s="0" t="inlineStr">
        <is>
          <t>Structure Medical Center</t>
        </is>
      </c>
      <c r="C1205" s="0" t="inlineStr">
        <is>
          <t>Silicon</t>
        </is>
      </c>
      <c r="D1205" s="0" t="n">
        <v>480</v>
      </c>
      <c r="E1205" s="0">
        <f>VLOOKUP(C1205,'Item Tier Lookup'!$A:$B,2,FALSE)</f>
        <v/>
      </c>
      <c r="F1205" s="0">
        <f>VLOOKUP(E1205,'Tier Params'!$A:$B,2,FALSE)</f>
        <v/>
      </c>
      <c r="G1205" s="0">
        <f>VLOOKUP(E1205,'Tier Params'!$A:$C,3,FALSE)</f>
        <v/>
      </c>
      <c r="H1205" s="0">
        <f>CEILING(D1205/G1205,1)</f>
        <v/>
      </c>
      <c r="I1205" s="0">
        <f>H1205*F1205</f>
        <v/>
      </c>
    </row>
    <row r="1206">
      <c r="A1206" s="0" t="inlineStr">
        <is>
          <t>'Reference sheet'!N1208</t>
        </is>
      </c>
      <c r="B1206" s="0" t="inlineStr">
        <is>
          <t>Structure Medical Center</t>
        </is>
      </c>
      <c r="C1206" s="0" t="inlineStr">
        <is>
          <t>Felsic Magma</t>
        </is>
      </c>
      <c r="D1206" s="0" t="n">
        <v>72000</v>
      </c>
      <c r="E1206" s="0">
        <f>VLOOKUP(C1206,'Item Tier Lookup'!$A:$B,2,FALSE)</f>
        <v/>
      </c>
      <c r="F1206" s="0">
        <f>VLOOKUP(E1206,'Tier Params'!$A:$B,2,FALSE)</f>
        <v/>
      </c>
      <c r="G1206" s="0">
        <f>VLOOKUP(E1206,'Tier Params'!$A:$C,3,FALSE)</f>
        <v/>
      </c>
      <c r="H1206" s="0">
        <f>CEILING(D1206/G1206,1)</f>
        <v/>
      </c>
      <c r="I1206" s="0">
        <f>H1206*F1206</f>
        <v/>
      </c>
    </row>
    <row r="1207">
      <c r="A1207" s="0" t="inlineStr">
        <is>
          <t>'Reference sheet'!N1209</t>
        </is>
      </c>
      <c r="B1207" s="0" t="inlineStr">
        <is>
          <t>Structure Medical Center</t>
        </is>
      </c>
      <c r="C1207" s="0" t="inlineStr">
        <is>
          <t>Hermetic Membranes</t>
        </is>
      </c>
      <c r="D1207" s="0" t="n">
        <v>18</v>
      </c>
      <c r="E1207" s="0">
        <f>VLOOKUP(C1207,'Item Tier Lookup'!$A:$B,2,FALSE)</f>
        <v/>
      </c>
      <c r="F1207" s="0">
        <f>VLOOKUP(E1207,'Tier Params'!$A:$B,2,FALSE)</f>
        <v/>
      </c>
      <c r="G1207" s="0">
        <f>VLOOKUP(E1207,'Tier Params'!$A:$C,3,FALSE)</f>
        <v/>
      </c>
      <c r="H1207" s="0">
        <f>CEILING(D1207/G1207,1)</f>
        <v/>
      </c>
      <c r="I1207" s="0">
        <f>H1207*F1207</f>
        <v/>
      </c>
    </row>
    <row r="1208">
      <c r="A1208" s="0" t="inlineStr">
        <is>
          <t>'Reference sheet'!N1210</t>
        </is>
      </c>
      <c r="B1208" s="0" t="inlineStr">
        <is>
          <t>Structure Medical Center</t>
        </is>
      </c>
      <c r="C1208" s="0" t="inlineStr">
        <is>
          <t>Polyaramids</t>
        </is>
      </c>
      <c r="D1208" s="0" t="n">
        <v>60</v>
      </c>
      <c r="E1208" s="0">
        <f>VLOOKUP(C1208,'Item Tier Lookup'!$A:$B,2,FALSE)</f>
        <v/>
      </c>
      <c r="F1208" s="0">
        <f>VLOOKUP(E1208,'Tier Params'!$A:$B,2,FALSE)</f>
        <v/>
      </c>
      <c r="G1208" s="0">
        <f>VLOOKUP(E1208,'Tier Params'!$A:$C,3,FALSE)</f>
        <v/>
      </c>
      <c r="H1208" s="0">
        <f>CEILING(D1208/G1208,1)</f>
        <v/>
      </c>
      <c r="I1208" s="0">
        <f>H1208*F1208</f>
        <v/>
      </c>
    </row>
    <row r="1209">
      <c r="A1209" s="0" t="inlineStr">
        <is>
          <t>'Reference sheet'!N1211</t>
        </is>
      </c>
      <c r="B1209" s="0" t="inlineStr">
        <is>
          <t>Structure Medical Center</t>
        </is>
      </c>
      <c r="C1209" s="0" t="inlineStr">
        <is>
          <t>Oxidizing Compound</t>
        </is>
      </c>
      <c r="D1209" s="0" t="n">
        <v>480</v>
      </c>
      <c r="E1209" s="0">
        <f>VLOOKUP(C1209,'Item Tier Lookup'!$A:$B,2,FALSE)</f>
        <v/>
      </c>
      <c r="F1209" s="0">
        <f>VLOOKUP(E1209,'Tier Params'!$A:$B,2,FALSE)</f>
        <v/>
      </c>
      <c r="G1209" s="0">
        <f>VLOOKUP(E1209,'Tier Params'!$A:$C,3,FALSE)</f>
        <v/>
      </c>
      <c r="H1209" s="0">
        <f>CEILING(D1209/G1209,1)</f>
        <v/>
      </c>
      <c r="I1209" s="0">
        <f>H1209*F1209</f>
        <v/>
      </c>
    </row>
    <row r="1210">
      <c r="A1210" s="0" t="inlineStr">
        <is>
          <t>'Reference sheet'!N1212</t>
        </is>
      </c>
      <c r="B1210" s="0" t="inlineStr">
        <is>
          <t>Structure Medical Center</t>
        </is>
      </c>
      <c r="C1210" s="0" t="inlineStr">
        <is>
          <t>Reactive Gas</t>
        </is>
      </c>
      <c r="D1210" s="0" t="n">
        <v>72000</v>
      </c>
      <c r="E1210" s="0">
        <f>VLOOKUP(C1210,'Item Tier Lookup'!$A:$B,2,FALSE)</f>
        <v/>
      </c>
      <c r="F1210" s="0">
        <f>VLOOKUP(E1210,'Tier Params'!$A:$B,2,FALSE)</f>
        <v/>
      </c>
      <c r="G1210" s="0">
        <f>VLOOKUP(E1210,'Tier Params'!$A:$C,3,FALSE)</f>
        <v/>
      </c>
      <c r="H1210" s="0">
        <f>CEILING(D1210/G1210,1)</f>
        <v/>
      </c>
      <c r="I1210" s="0">
        <f>H1210*F1210</f>
        <v/>
      </c>
    </row>
    <row r="1211">
      <c r="A1211" s="0" t="inlineStr">
        <is>
          <t>'Reference sheet'!N1213</t>
        </is>
      </c>
      <c r="B1211" s="0" t="inlineStr">
        <is>
          <t>Structure Medical Center</t>
        </is>
      </c>
      <c r="C1211" s="0" t="inlineStr">
        <is>
          <t>Industrial Fibers</t>
        </is>
      </c>
      <c r="D1211" s="0" t="n">
        <v>480</v>
      </c>
      <c r="E1211" s="0">
        <f>VLOOKUP(C1211,'Item Tier Lookup'!$A:$B,2,FALSE)</f>
        <v/>
      </c>
      <c r="F1211" s="0">
        <f>VLOOKUP(E1211,'Tier Params'!$A:$B,2,FALSE)</f>
        <v/>
      </c>
      <c r="G1211" s="0">
        <f>VLOOKUP(E1211,'Tier Params'!$A:$C,3,FALSE)</f>
        <v/>
      </c>
      <c r="H1211" s="0">
        <f>CEILING(D1211/G1211,1)</f>
        <v/>
      </c>
      <c r="I1211" s="0">
        <f>H1211*F1211</f>
        <v/>
      </c>
    </row>
    <row r="1212">
      <c r="A1212" s="0" t="inlineStr">
        <is>
          <t>'Reference sheet'!N1214</t>
        </is>
      </c>
      <c r="B1212" s="0" t="inlineStr">
        <is>
          <t>Structure Medical Center</t>
        </is>
      </c>
      <c r="C1212" s="0" t="inlineStr">
        <is>
          <t>Autotrophs</t>
        </is>
      </c>
      <c r="D1212" s="0" t="n">
        <v>72000</v>
      </c>
      <c r="E1212" s="0">
        <f>VLOOKUP(C1212,'Item Tier Lookup'!$A:$B,2,FALSE)</f>
        <v/>
      </c>
      <c r="F1212" s="0">
        <f>VLOOKUP(E1212,'Tier Params'!$A:$B,2,FALSE)</f>
        <v/>
      </c>
      <c r="G1212" s="0">
        <f>VLOOKUP(E1212,'Tier Params'!$A:$C,3,FALSE)</f>
        <v/>
      </c>
      <c r="H1212" s="0">
        <f>CEILING(D1212/G1212,1)</f>
        <v/>
      </c>
      <c r="I1212" s="0">
        <f>H1212*F1212</f>
        <v/>
      </c>
    </row>
    <row r="1213">
      <c r="A1213" s="0" t="inlineStr">
        <is>
          <t>'Reference sheet'!N1215</t>
        </is>
      </c>
      <c r="B1213" s="0" t="inlineStr">
        <is>
          <t>Structure Medical Center</t>
        </is>
      </c>
      <c r="C1213" s="0" t="inlineStr">
        <is>
          <t>Genetically Enhanced Livestock</t>
        </is>
      </c>
      <c r="D1213" s="0" t="n">
        <v>60</v>
      </c>
      <c r="E1213" s="0">
        <f>VLOOKUP(C1213,'Item Tier Lookup'!$A:$B,2,FALSE)</f>
        <v/>
      </c>
      <c r="F1213" s="0">
        <f>VLOOKUP(E1213,'Tier Params'!$A:$B,2,FALSE)</f>
        <v/>
      </c>
      <c r="G1213" s="0">
        <f>VLOOKUP(E1213,'Tier Params'!$A:$C,3,FALSE)</f>
        <v/>
      </c>
      <c r="H1213" s="0">
        <f>CEILING(D1213/G1213,1)</f>
        <v/>
      </c>
      <c r="I1213" s="0">
        <f>H1213*F1213</f>
        <v/>
      </c>
    </row>
    <row r="1214">
      <c r="A1214" s="0" t="inlineStr">
        <is>
          <t>'Reference sheet'!N1216</t>
        </is>
      </c>
      <c r="B1214" s="0" t="inlineStr">
        <is>
          <t>Structure Medical Center</t>
        </is>
      </c>
      <c r="C1214" s="0" t="inlineStr">
        <is>
          <t>Proteins</t>
        </is>
      </c>
      <c r="D1214" s="0" t="n">
        <v>480</v>
      </c>
      <c r="E1214" s="0">
        <f>VLOOKUP(C1214,'Item Tier Lookup'!$A:$B,2,FALSE)</f>
        <v/>
      </c>
      <c r="F1214" s="0">
        <f>VLOOKUP(E1214,'Tier Params'!$A:$B,2,FALSE)</f>
        <v/>
      </c>
      <c r="G1214" s="0">
        <f>VLOOKUP(E1214,'Tier Params'!$A:$C,3,FALSE)</f>
        <v/>
      </c>
      <c r="H1214" s="0">
        <f>CEILING(D1214/G1214,1)</f>
        <v/>
      </c>
      <c r="I1214" s="0">
        <f>H1214*F1214</f>
        <v/>
      </c>
    </row>
    <row r="1215">
      <c r="A1215" s="0" t="inlineStr">
        <is>
          <t>'Reference sheet'!N1217</t>
        </is>
      </c>
      <c r="B1215" s="0" t="inlineStr">
        <is>
          <t>Structure Medical Center</t>
        </is>
      </c>
      <c r="C1215" s="0" t="inlineStr">
        <is>
          <t>Complex Organisms</t>
        </is>
      </c>
      <c r="D1215" s="0" t="n">
        <v>72000</v>
      </c>
      <c r="E1215" s="0">
        <f>VLOOKUP(C1215,'Item Tier Lookup'!$A:$B,2,FALSE)</f>
        <v/>
      </c>
      <c r="F1215" s="0">
        <f>VLOOKUP(E1215,'Tier Params'!$A:$B,2,FALSE)</f>
        <v/>
      </c>
      <c r="G1215" s="0">
        <f>VLOOKUP(E1215,'Tier Params'!$A:$C,3,FALSE)</f>
        <v/>
      </c>
      <c r="H1215" s="0">
        <f>CEILING(D1215/G1215,1)</f>
        <v/>
      </c>
      <c r="I1215" s="0">
        <f>H1215*F1215</f>
        <v/>
      </c>
    </row>
    <row r="1216">
      <c r="A1216" s="0" t="inlineStr">
        <is>
          <t>'Reference sheet'!N1218</t>
        </is>
      </c>
      <c r="B1216" s="0" t="inlineStr">
        <is>
          <t>Structure Medical Center</t>
        </is>
      </c>
      <c r="C1216" s="0" t="inlineStr">
        <is>
          <t>Biomass</t>
        </is>
      </c>
      <c r="D1216" s="0" t="n">
        <v>480</v>
      </c>
      <c r="E1216" s="0">
        <f>VLOOKUP(C1216,'Item Tier Lookup'!$A:$B,2,FALSE)</f>
        <v/>
      </c>
      <c r="F1216" s="0">
        <f>VLOOKUP(E1216,'Tier Params'!$A:$B,2,FALSE)</f>
        <v/>
      </c>
      <c r="G1216" s="0">
        <f>VLOOKUP(E1216,'Tier Params'!$A:$C,3,FALSE)</f>
        <v/>
      </c>
      <c r="H1216" s="0">
        <f>CEILING(D1216/G1216,1)</f>
        <v/>
      </c>
      <c r="I1216" s="0">
        <f>H1216*F1216</f>
        <v/>
      </c>
    </row>
    <row r="1217">
      <c r="A1217" s="0" t="inlineStr">
        <is>
          <t>'Reference sheet'!N1219</t>
        </is>
      </c>
      <c r="B1217" s="0" t="inlineStr">
        <is>
          <t>Structure Medical Center</t>
        </is>
      </c>
      <c r="C1217" s="0" t="inlineStr">
        <is>
          <t>Planktic Colonies</t>
        </is>
      </c>
      <c r="D1217" s="0" t="n">
        <v>72000</v>
      </c>
      <c r="E1217" s="0">
        <f>VLOOKUP(C1217,'Item Tier Lookup'!$A:$B,2,FALSE)</f>
        <v/>
      </c>
      <c r="F1217" s="0">
        <f>VLOOKUP(E1217,'Tier Params'!$A:$B,2,FALSE)</f>
        <v/>
      </c>
      <c r="G1217" s="0">
        <f>VLOOKUP(E1217,'Tier Params'!$A:$C,3,FALSE)</f>
        <v/>
      </c>
      <c r="H1217" s="0">
        <f>CEILING(D1217/G1217,1)</f>
        <v/>
      </c>
      <c r="I1217" s="0">
        <f>H1217*F1217</f>
        <v/>
      </c>
    </row>
    <row r="1218">
      <c r="A1218" s="0" t="inlineStr">
        <is>
          <t>'Reference sheet'!N1220</t>
        </is>
      </c>
      <c r="B1218" s="0" t="inlineStr">
        <is>
          <t>Structure Medical Center</t>
        </is>
      </c>
      <c r="C1218" s="0" t="inlineStr">
        <is>
          <t>Sterile Conduits</t>
        </is>
      </c>
      <c r="D1218" s="0" t="n">
        <v>3</v>
      </c>
      <c r="E1218" s="0">
        <f>VLOOKUP(C1218,'Item Tier Lookup'!$A:$B,2,FALSE)</f>
        <v/>
      </c>
      <c r="F1218" s="0">
        <f>VLOOKUP(E1218,'Tier Params'!$A:$B,2,FALSE)</f>
        <v/>
      </c>
      <c r="G1218" s="0">
        <f>VLOOKUP(E1218,'Tier Params'!$A:$C,3,FALSE)</f>
        <v/>
      </c>
      <c r="H1218" s="0">
        <f>CEILING(D1218/G1218,1)</f>
        <v/>
      </c>
      <c r="I1218" s="0">
        <f>H1218*F1218</f>
        <v/>
      </c>
    </row>
    <row r="1219">
      <c r="A1219" s="0" t="inlineStr">
        <is>
          <t>'Reference sheet'!N1221</t>
        </is>
      </c>
      <c r="B1219" s="0" t="inlineStr">
        <is>
          <t>Structure Medical Center</t>
        </is>
      </c>
      <c r="C1219" s="0" t="inlineStr">
        <is>
          <t>Water</t>
        </is>
      </c>
      <c r="D1219" s="0" t="n">
        <v>120</v>
      </c>
      <c r="E1219" s="0">
        <f>VLOOKUP(C1219,'Item Tier Lookup'!$A:$B,2,FALSE)</f>
        <v/>
      </c>
      <c r="F1219" s="0">
        <f>VLOOKUP(E1219,'Tier Params'!$A:$B,2,FALSE)</f>
        <v/>
      </c>
      <c r="G1219" s="0">
        <f>VLOOKUP(E1219,'Tier Params'!$A:$C,3,FALSE)</f>
        <v/>
      </c>
      <c r="H1219" s="0">
        <f>CEILING(D1219/G1219,1)</f>
        <v/>
      </c>
      <c r="I1219" s="0">
        <f>H1219*F1219</f>
        <v/>
      </c>
    </row>
    <row r="1220">
      <c r="A1220" s="0" t="inlineStr">
        <is>
          <t>'Reference sheet'!N1222</t>
        </is>
      </c>
      <c r="B1220" s="0" t="inlineStr">
        <is>
          <t>Structure Medical Center</t>
        </is>
      </c>
      <c r="C1220" s="0" t="inlineStr">
        <is>
          <t>Aqueous Liquids</t>
        </is>
      </c>
      <c r="D1220" s="0" t="n">
        <v>18000</v>
      </c>
      <c r="E1220" s="0">
        <f>VLOOKUP(C1220,'Item Tier Lookup'!$A:$B,2,FALSE)</f>
        <v/>
      </c>
      <c r="F1220" s="0">
        <f>VLOOKUP(E1220,'Tier Params'!$A:$B,2,FALSE)</f>
        <v/>
      </c>
      <c r="G1220" s="0">
        <f>VLOOKUP(E1220,'Tier Params'!$A:$C,3,FALSE)</f>
        <v/>
      </c>
      <c r="H1220" s="0">
        <f>CEILING(D1220/G1220,1)</f>
        <v/>
      </c>
      <c r="I1220" s="0">
        <f>H1220*F1220</f>
        <v/>
      </c>
    </row>
    <row r="1221">
      <c r="A1221" s="0" t="inlineStr">
        <is>
          <t>'Reference sheet'!N1223</t>
        </is>
      </c>
      <c r="B1221" s="0" t="inlineStr">
        <is>
          <t>Structure Medical Center</t>
        </is>
      </c>
      <c r="C1221" s="0" t="inlineStr">
        <is>
          <t>Vaccines</t>
        </is>
      </c>
      <c r="D1221" s="0" t="n">
        <v>18</v>
      </c>
      <c r="E1221" s="0">
        <f>VLOOKUP(C1221,'Item Tier Lookup'!$A:$B,2,FALSE)</f>
        <v/>
      </c>
      <c r="F1221" s="0">
        <f>VLOOKUP(E1221,'Tier Params'!$A:$B,2,FALSE)</f>
        <v/>
      </c>
      <c r="G1221" s="0">
        <f>VLOOKUP(E1221,'Tier Params'!$A:$C,3,FALSE)</f>
        <v/>
      </c>
      <c r="H1221" s="0">
        <f>CEILING(D1221/G1221,1)</f>
        <v/>
      </c>
      <c r="I1221" s="0">
        <f>H1221*F1221</f>
        <v/>
      </c>
    </row>
    <row r="1222">
      <c r="A1222" s="0" t="inlineStr">
        <is>
          <t>'Reference sheet'!N1224</t>
        </is>
      </c>
      <c r="B1222" s="0" t="inlineStr">
        <is>
          <t>Structure Medical Center</t>
        </is>
      </c>
      <c r="C1222" s="0" t="inlineStr">
        <is>
          <t>Livestock</t>
        </is>
      </c>
      <c r="D1222" s="0" t="n">
        <v>60</v>
      </c>
      <c r="E1222" s="0">
        <f>VLOOKUP(C1222,'Item Tier Lookup'!$A:$B,2,FALSE)</f>
        <v/>
      </c>
      <c r="F1222" s="0">
        <f>VLOOKUP(E1222,'Tier Params'!$A:$B,2,FALSE)</f>
        <v/>
      </c>
      <c r="G1222" s="0">
        <f>VLOOKUP(E1222,'Tier Params'!$A:$C,3,FALSE)</f>
        <v/>
      </c>
      <c r="H1222" s="0">
        <f>CEILING(D1222/G1222,1)</f>
        <v/>
      </c>
      <c r="I1222" s="0">
        <f>H1222*F1222</f>
        <v/>
      </c>
    </row>
    <row r="1223">
      <c r="A1223" s="0" t="inlineStr">
        <is>
          <t>'Reference sheet'!N1225</t>
        </is>
      </c>
      <c r="B1223" s="0" t="inlineStr">
        <is>
          <t>Structure Medical Center</t>
        </is>
      </c>
      <c r="C1223" s="0" t="inlineStr">
        <is>
          <t>Proteins</t>
        </is>
      </c>
      <c r="D1223" s="0" t="n">
        <v>480</v>
      </c>
      <c r="E1223" s="0">
        <f>VLOOKUP(C1223,'Item Tier Lookup'!$A:$B,2,FALSE)</f>
        <v/>
      </c>
      <c r="F1223" s="0">
        <f>VLOOKUP(E1223,'Tier Params'!$A:$B,2,FALSE)</f>
        <v/>
      </c>
      <c r="G1223" s="0">
        <f>VLOOKUP(E1223,'Tier Params'!$A:$C,3,FALSE)</f>
        <v/>
      </c>
      <c r="H1223" s="0">
        <f>CEILING(D1223/G1223,1)</f>
        <v/>
      </c>
      <c r="I1223" s="0">
        <f>H1223*F1223</f>
        <v/>
      </c>
    </row>
    <row r="1224">
      <c r="A1224" s="0" t="inlineStr">
        <is>
          <t>'Reference sheet'!N1226</t>
        </is>
      </c>
      <c r="B1224" s="0" t="inlineStr">
        <is>
          <t>Structure Medical Center</t>
        </is>
      </c>
      <c r="C1224" s="0" t="inlineStr">
        <is>
          <t>Complex Organisms</t>
        </is>
      </c>
      <c r="D1224" s="0" t="n">
        <v>72000</v>
      </c>
      <c r="E1224" s="0">
        <f>VLOOKUP(C1224,'Item Tier Lookup'!$A:$B,2,FALSE)</f>
        <v/>
      </c>
      <c r="F1224" s="0">
        <f>VLOOKUP(E1224,'Tier Params'!$A:$B,2,FALSE)</f>
        <v/>
      </c>
      <c r="G1224" s="0">
        <f>VLOOKUP(E1224,'Tier Params'!$A:$C,3,FALSE)</f>
        <v/>
      </c>
      <c r="H1224" s="0">
        <f>CEILING(D1224/G1224,1)</f>
        <v/>
      </c>
      <c r="I1224" s="0">
        <f>H1224*F1224</f>
        <v/>
      </c>
    </row>
    <row r="1225">
      <c r="A1225" s="0" t="inlineStr">
        <is>
          <t>'Reference sheet'!N1227</t>
        </is>
      </c>
      <c r="B1225" s="0" t="inlineStr">
        <is>
          <t>Structure Medical Center</t>
        </is>
      </c>
      <c r="C1225" s="0" t="inlineStr">
        <is>
          <t>Biofuels</t>
        </is>
      </c>
      <c r="D1225" s="0" t="n">
        <v>480</v>
      </c>
      <c r="E1225" s="0">
        <f>VLOOKUP(C1225,'Item Tier Lookup'!$A:$B,2,FALSE)</f>
        <v/>
      </c>
      <c r="F1225" s="0">
        <f>VLOOKUP(E1225,'Tier Params'!$A:$B,2,FALSE)</f>
        <v/>
      </c>
      <c r="G1225" s="0">
        <f>VLOOKUP(E1225,'Tier Params'!$A:$C,3,FALSE)</f>
        <v/>
      </c>
      <c r="H1225" s="0">
        <f>CEILING(D1225/G1225,1)</f>
        <v/>
      </c>
      <c r="I1225" s="0">
        <f>H1225*F1225</f>
        <v/>
      </c>
    </row>
    <row r="1226">
      <c r="A1226" s="0" t="inlineStr">
        <is>
          <t>'Reference sheet'!N1228</t>
        </is>
      </c>
      <c r="B1226" s="0" t="inlineStr">
        <is>
          <t>Structure Medical Center</t>
        </is>
      </c>
      <c r="C1226" s="0" t="inlineStr">
        <is>
          <t>Carbon Compounds</t>
        </is>
      </c>
      <c r="D1226" s="0" t="n">
        <v>72000</v>
      </c>
      <c r="E1226" s="0">
        <f>VLOOKUP(C1226,'Item Tier Lookup'!$A:$B,2,FALSE)</f>
        <v/>
      </c>
      <c r="F1226" s="0">
        <f>VLOOKUP(E1226,'Tier Params'!$A:$B,2,FALSE)</f>
        <v/>
      </c>
      <c r="G1226" s="0">
        <f>VLOOKUP(E1226,'Tier Params'!$A:$C,3,FALSE)</f>
        <v/>
      </c>
      <c r="H1226" s="0">
        <f>CEILING(D1226/G1226,1)</f>
        <v/>
      </c>
      <c r="I1226" s="0">
        <f>H1226*F1226</f>
        <v/>
      </c>
    </row>
    <row r="1227">
      <c r="A1227" s="0" t="inlineStr">
        <is>
          <t>'Reference sheet'!N1229</t>
        </is>
      </c>
      <c r="B1227" s="0" t="inlineStr">
        <is>
          <t>Structure Medical Center</t>
        </is>
      </c>
      <c r="C1227" s="0" t="inlineStr">
        <is>
          <t>Viral Agent</t>
        </is>
      </c>
      <c r="D1227" s="0" t="n">
        <v>60</v>
      </c>
      <c r="E1227" s="0">
        <f>VLOOKUP(C1227,'Item Tier Lookup'!$A:$B,2,FALSE)</f>
        <v/>
      </c>
      <c r="F1227" s="0">
        <f>VLOOKUP(E1227,'Tier Params'!$A:$B,2,FALSE)</f>
        <v/>
      </c>
      <c r="G1227" s="0">
        <f>VLOOKUP(E1227,'Tier Params'!$A:$C,3,FALSE)</f>
        <v/>
      </c>
      <c r="H1227" s="0">
        <f>CEILING(D1227/G1227,1)</f>
        <v/>
      </c>
      <c r="I1227" s="0">
        <f>H1227*F1227</f>
        <v/>
      </c>
    </row>
    <row r="1228">
      <c r="A1228" s="0" t="inlineStr">
        <is>
          <t>'Reference sheet'!N1230</t>
        </is>
      </c>
      <c r="B1228" s="0" t="inlineStr">
        <is>
          <t>Structure Medical Center</t>
        </is>
      </c>
      <c r="C1228" s="0" t="inlineStr">
        <is>
          <t>Bacteria</t>
        </is>
      </c>
      <c r="D1228" s="0" t="n">
        <v>480</v>
      </c>
      <c r="E1228" s="0">
        <f>VLOOKUP(C1228,'Item Tier Lookup'!$A:$B,2,FALSE)</f>
        <v/>
      </c>
      <c r="F1228" s="0">
        <f>VLOOKUP(E1228,'Tier Params'!$A:$B,2,FALSE)</f>
        <v/>
      </c>
      <c r="G1228" s="0">
        <f>VLOOKUP(E1228,'Tier Params'!$A:$C,3,FALSE)</f>
        <v/>
      </c>
      <c r="H1228" s="0">
        <f>CEILING(D1228/G1228,1)</f>
        <v/>
      </c>
      <c r="I1228" s="0">
        <f>H1228*F1228</f>
        <v/>
      </c>
    </row>
    <row r="1229">
      <c r="A1229" s="0" t="inlineStr">
        <is>
          <t>'Reference sheet'!N1231</t>
        </is>
      </c>
      <c r="B1229" s="0" t="inlineStr">
        <is>
          <t>Structure Medical Center</t>
        </is>
      </c>
      <c r="C1229" s="0" t="inlineStr">
        <is>
          <t>Microorganisms</t>
        </is>
      </c>
      <c r="D1229" s="0" t="n">
        <v>72000</v>
      </c>
      <c r="E1229" s="0">
        <f>VLOOKUP(C1229,'Item Tier Lookup'!$A:$B,2,FALSE)</f>
        <v/>
      </c>
      <c r="F1229" s="0">
        <f>VLOOKUP(E1229,'Tier Params'!$A:$B,2,FALSE)</f>
        <v/>
      </c>
      <c r="G1229" s="0">
        <f>VLOOKUP(E1229,'Tier Params'!$A:$C,3,FALSE)</f>
        <v/>
      </c>
      <c r="H1229" s="0">
        <f>CEILING(D1229/G1229,1)</f>
        <v/>
      </c>
      <c r="I1229" s="0">
        <f>H1229*F1229</f>
        <v/>
      </c>
    </row>
    <row r="1230">
      <c r="A1230" s="0" t="inlineStr">
        <is>
          <t>'Reference sheet'!N1232</t>
        </is>
      </c>
      <c r="B1230" s="0" t="inlineStr">
        <is>
          <t>Structure Medical Center</t>
        </is>
      </c>
      <c r="C1230" s="0" t="inlineStr">
        <is>
          <t>Biomass</t>
        </is>
      </c>
      <c r="D1230" s="0" t="n">
        <v>480</v>
      </c>
      <c r="E1230" s="0">
        <f>VLOOKUP(C1230,'Item Tier Lookup'!$A:$B,2,FALSE)</f>
        <v/>
      </c>
      <c r="F1230" s="0">
        <f>VLOOKUP(E1230,'Tier Params'!$A:$B,2,FALSE)</f>
        <v/>
      </c>
      <c r="G1230" s="0">
        <f>VLOOKUP(E1230,'Tier Params'!$A:$C,3,FALSE)</f>
        <v/>
      </c>
      <c r="H1230" s="0">
        <f>CEILING(D1230/G1230,1)</f>
        <v/>
      </c>
      <c r="I1230" s="0">
        <f>H1230*F1230</f>
        <v/>
      </c>
    </row>
    <row r="1231">
      <c r="A1231" s="0" t="inlineStr">
        <is>
          <t>'Reference sheet'!N1233</t>
        </is>
      </c>
      <c r="B1231" s="0" t="inlineStr">
        <is>
          <t>Structure Medical Center</t>
        </is>
      </c>
      <c r="C1231" s="0" t="inlineStr">
        <is>
          <t>Planktic Colonies</t>
        </is>
      </c>
      <c r="D1231" s="0" t="n">
        <v>72000</v>
      </c>
      <c r="E1231" s="0">
        <f>VLOOKUP(C1231,'Item Tier Lookup'!$A:$B,2,FALSE)</f>
        <v/>
      </c>
      <c r="F1231" s="0">
        <f>VLOOKUP(E1231,'Tier Params'!$A:$B,2,FALSE)</f>
        <v/>
      </c>
      <c r="G1231" s="0">
        <f>VLOOKUP(E1231,'Tier Params'!$A:$C,3,FALSE)</f>
        <v/>
      </c>
      <c r="H1231" s="0">
        <f>CEILING(D1231/G1231,1)</f>
        <v/>
      </c>
      <c r="I1231" s="0">
        <f>H1231*F1231</f>
        <v/>
      </c>
    </row>
    <row r="1232">
      <c r="A1232" s="0" t="inlineStr">
        <is>
          <t>'Reference sheet'!N1234</t>
        </is>
      </c>
      <c r="B1232" s="0" t="inlineStr">
        <is>
          <t>Structure Medical Center</t>
        </is>
      </c>
      <c r="C1232" s="0" t="inlineStr">
        <is>
          <t>Smartfab Units</t>
        </is>
      </c>
      <c r="D1232" s="0" t="n">
        <v>18</v>
      </c>
      <c r="E1232" s="0">
        <f>VLOOKUP(C1232,'Item Tier Lookup'!$A:$B,2,FALSE)</f>
        <v/>
      </c>
      <c r="F1232" s="0">
        <f>VLOOKUP(E1232,'Tier Params'!$A:$B,2,FALSE)</f>
        <v/>
      </c>
      <c r="G1232" s="0">
        <f>VLOOKUP(E1232,'Tier Params'!$A:$C,3,FALSE)</f>
        <v/>
      </c>
      <c r="H1232" s="0">
        <f>CEILING(D1232/G1232,1)</f>
        <v/>
      </c>
      <c r="I1232" s="0">
        <f>H1232*F1232</f>
        <v/>
      </c>
    </row>
    <row r="1233">
      <c r="A1233" s="0" t="inlineStr">
        <is>
          <t>'Reference sheet'!N1235</t>
        </is>
      </c>
      <c r="B1233" s="0" t="inlineStr">
        <is>
          <t>Structure Medical Center</t>
        </is>
      </c>
      <c r="C1233" s="0" t="inlineStr">
        <is>
          <t>Miniature Electronics</t>
        </is>
      </c>
      <c r="D1233" s="0" t="n">
        <v>60</v>
      </c>
      <c r="E1233" s="0">
        <f>VLOOKUP(C1233,'Item Tier Lookup'!$A:$B,2,FALSE)</f>
        <v/>
      </c>
      <c r="F1233" s="0">
        <f>VLOOKUP(E1233,'Tier Params'!$A:$B,2,FALSE)</f>
        <v/>
      </c>
      <c r="G1233" s="0">
        <f>VLOOKUP(E1233,'Tier Params'!$A:$C,3,FALSE)</f>
        <v/>
      </c>
      <c r="H1233" s="0">
        <f>CEILING(D1233/G1233,1)</f>
        <v/>
      </c>
      <c r="I1233" s="0">
        <f>H1233*F1233</f>
        <v/>
      </c>
    </row>
    <row r="1234">
      <c r="A1234" s="0" t="inlineStr">
        <is>
          <t>'Reference sheet'!N1236</t>
        </is>
      </c>
      <c r="B1234" s="0" t="inlineStr">
        <is>
          <t>Structure Medical Center</t>
        </is>
      </c>
      <c r="C1234" s="0" t="inlineStr">
        <is>
          <t>Chiral Structures</t>
        </is>
      </c>
      <c r="D1234" s="0" t="n">
        <v>480</v>
      </c>
      <c r="E1234" s="0">
        <f>VLOOKUP(C1234,'Item Tier Lookup'!$A:$B,2,FALSE)</f>
        <v/>
      </c>
      <c r="F1234" s="0">
        <f>VLOOKUP(E1234,'Tier Params'!$A:$B,2,FALSE)</f>
        <v/>
      </c>
      <c r="G1234" s="0">
        <f>VLOOKUP(E1234,'Tier Params'!$A:$C,3,FALSE)</f>
        <v/>
      </c>
      <c r="H1234" s="0">
        <f>CEILING(D1234/G1234,1)</f>
        <v/>
      </c>
      <c r="I1234" s="0">
        <f>H1234*F1234</f>
        <v/>
      </c>
    </row>
    <row r="1235">
      <c r="A1235" s="0" t="inlineStr">
        <is>
          <t>'Reference sheet'!N1237</t>
        </is>
      </c>
      <c r="B1235" s="0" t="inlineStr">
        <is>
          <t>Structure Medical Center</t>
        </is>
      </c>
      <c r="C1235" s="0" t="inlineStr">
        <is>
          <t>Non-CS Crystals</t>
        </is>
      </c>
      <c r="D1235" s="0" t="n">
        <v>72000</v>
      </c>
      <c r="E1235" s="0">
        <f>VLOOKUP(C1235,'Item Tier Lookup'!$A:$B,2,FALSE)</f>
        <v/>
      </c>
      <c r="F1235" s="0">
        <f>VLOOKUP(E1235,'Tier Params'!$A:$B,2,FALSE)</f>
        <v/>
      </c>
      <c r="G1235" s="0">
        <f>VLOOKUP(E1235,'Tier Params'!$A:$C,3,FALSE)</f>
        <v/>
      </c>
      <c r="H1235" s="0">
        <f>CEILING(D1235/G1235,1)</f>
        <v/>
      </c>
      <c r="I1235" s="0">
        <f>H1235*F1235</f>
        <v/>
      </c>
    </row>
    <row r="1236">
      <c r="A1236" s="0" t="inlineStr">
        <is>
          <t>'Reference sheet'!N1238</t>
        </is>
      </c>
      <c r="B1236" s="0" t="inlineStr">
        <is>
          <t>Structure Medical Center</t>
        </is>
      </c>
      <c r="C1236" s="0" t="inlineStr">
        <is>
          <t>Silicon</t>
        </is>
      </c>
      <c r="D1236" s="0" t="n">
        <v>480</v>
      </c>
      <c r="E1236" s="0">
        <f>VLOOKUP(C1236,'Item Tier Lookup'!$A:$B,2,FALSE)</f>
        <v/>
      </c>
      <c r="F1236" s="0">
        <f>VLOOKUP(E1236,'Tier Params'!$A:$B,2,FALSE)</f>
        <v/>
      </c>
      <c r="G1236" s="0">
        <f>VLOOKUP(E1236,'Tier Params'!$A:$C,3,FALSE)</f>
        <v/>
      </c>
      <c r="H1236" s="0">
        <f>CEILING(D1236/G1236,1)</f>
        <v/>
      </c>
      <c r="I1236" s="0">
        <f>H1236*F1236</f>
        <v/>
      </c>
    </row>
    <row r="1237">
      <c r="A1237" s="0" t="inlineStr">
        <is>
          <t>'Reference sheet'!N1239</t>
        </is>
      </c>
      <c r="B1237" s="0" t="inlineStr">
        <is>
          <t>Structure Medical Center</t>
        </is>
      </c>
      <c r="C1237" s="0" t="inlineStr">
        <is>
          <t>Felsic Magma</t>
        </is>
      </c>
      <c r="D1237" s="0" t="n">
        <v>72000</v>
      </c>
      <c r="E1237" s="0">
        <f>VLOOKUP(C1237,'Item Tier Lookup'!$A:$B,2,FALSE)</f>
        <v/>
      </c>
      <c r="F1237" s="0">
        <f>VLOOKUP(E1237,'Tier Params'!$A:$B,2,FALSE)</f>
        <v/>
      </c>
      <c r="G1237" s="0">
        <f>VLOOKUP(E1237,'Tier Params'!$A:$C,3,FALSE)</f>
        <v/>
      </c>
      <c r="H1237" s="0">
        <f>CEILING(D1237/G1237,1)</f>
        <v/>
      </c>
      <c r="I1237" s="0">
        <f>H1237*F1237</f>
        <v/>
      </c>
    </row>
    <row r="1238">
      <c r="A1238" s="0" t="inlineStr">
        <is>
          <t>'Reference sheet'!N1240</t>
        </is>
      </c>
      <c r="B1238" s="0" t="inlineStr">
        <is>
          <t>Structure Medical Center</t>
        </is>
      </c>
      <c r="C1238" s="0" t="inlineStr">
        <is>
          <t>Construction Blocks</t>
        </is>
      </c>
      <c r="D1238" s="0" t="n">
        <v>60</v>
      </c>
      <c r="E1238" s="0">
        <f>VLOOKUP(C1238,'Item Tier Lookup'!$A:$B,2,FALSE)</f>
        <v/>
      </c>
      <c r="F1238" s="0">
        <f>VLOOKUP(E1238,'Tier Params'!$A:$B,2,FALSE)</f>
        <v/>
      </c>
      <c r="G1238" s="0">
        <f>VLOOKUP(E1238,'Tier Params'!$A:$C,3,FALSE)</f>
        <v/>
      </c>
      <c r="H1238" s="0">
        <f>CEILING(D1238/G1238,1)</f>
        <v/>
      </c>
      <c r="I1238" s="0">
        <f>H1238*F1238</f>
        <v/>
      </c>
    </row>
    <row r="1239">
      <c r="A1239" s="0" t="inlineStr">
        <is>
          <t>'Reference sheet'!N1241</t>
        </is>
      </c>
      <c r="B1239" s="0" t="inlineStr">
        <is>
          <t>Structure Medical Center</t>
        </is>
      </c>
      <c r="C1239" s="0" t="inlineStr">
        <is>
          <t>Toxic Metals</t>
        </is>
      </c>
      <c r="D1239" s="0" t="n">
        <v>480</v>
      </c>
      <c r="E1239" s="0">
        <f>VLOOKUP(C1239,'Item Tier Lookup'!$A:$B,2,FALSE)</f>
        <v/>
      </c>
      <c r="F1239" s="0">
        <f>VLOOKUP(E1239,'Tier Params'!$A:$B,2,FALSE)</f>
        <v/>
      </c>
      <c r="G1239" s="0">
        <f>VLOOKUP(E1239,'Tier Params'!$A:$C,3,FALSE)</f>
        <v/>
      </c>
      <c r="H1239" s="0">
        <f>CEILING(D1239/G1239,1)</f>
        <v/>
      </c>
      <c r="I1239" s="0">
        <f>H1239*F1239</f>
        <v/>
      </c>
    </row>
    <row r="1240">
      <c r="A1240" s="0" t="inlineStr">
        <is>
          <t>'Reference sheet'!N1242</t>
        </is>
      </c>
      <c r="B1240" s="0" t="inlineStr">
        <is>
          <t>Structure Medical Center</t>
        </is>
      </c>
      <c r="C1240" s="0" t="inlineStr">
        <is>
          <t>Heavy Metals</t>
        </is>
      </c>
      <c r="D1240" s="0" t="n">
        <v>72000</v>
      </c>
      <c r="E1240" s="0">
        <f>VLOOKUP(C1240,'Item Tier Lookup'!$A:$B,2,FALSE)</f>
        <v/>
      </c>
      <c r="F1240" s="0">
        <f>VLOOKUP(E1240,'Tier Params'!$A:$B,2,FALSE)</f>
        <v/>
      </c>
      <c r="G1240" s="0">
        <f>VLOOKUP(E1240,'Tier Params'!$A:$C,3,FALSE)</f>
        <v/>
      </c>
      <c r="H1240" s="0">
        <f>CEILING(D1240/G1240,1)</f>
        <v/>
      </c>
      <c r="I1240" s="0">
        <f>H1240*F1240</f>
        <v/>
      </c>
    </row>
    <row r="1241">
      <c r="A1241" s="0" t="inlineStr">
        <is>
          <t>'Reference sheet'!N1243</t>
        </is>
      </c>
      <c r="B1241" s="0" t="inlineStr">
        <is>
          <t>Structure Medical Center</t>
        </is>
      </c>
      <c r="C1241" s="0" t="inlineStr">
        <is>
          <t>Reactive Metals</t>
        </is>
      </c>
      <c r="D1241" s="0" t="n">
        <v>480</v>
      </c>
      <c r="E1241" s="0">
        <f>VLOOKUP(C1241,'Item Tier Lookup'!$A:$B,2,FALSE)</f>
        <v/>
      </c>
      <c r="F1241" s="0">
        <f>VLOOKUP(E1241,'Tier Params'!$A:$B,2,FALSE)</f>
        <v/>
      </c>
      <c r="G1241" s="0">
        <f>VLOOKUP(E1241,'Tier Params'!$A:$C,3,FALSE)</f>
        <v/>
      </c>
      <c r="H1241" s="0">
        <f>CEILING(D1241/G1241,1)</f>
        <v/>
      </c>
      <c r="I1241" s="0">
        <f>H1241*F1241</f>
        <v/>
      </c>
    </row>
    <row r="1242">
      <c r="A1242" s="0" t="inlineStr">
        <is>
          <t>'Reference sheet'!N1244</t>
        </is>
      </c>
      <c r="B1242" s="0" t="inlineStr">
        <is>
          <t>Structure Medical Center</t>
        </is>
      </c>
      <c r="C1242" s="0" t="inlineStr">
        <is>
          <t>Base Metals</t>
        </is>
      </c>
      <c r="D1242" s="0" t="n">
        <v>72000</v>
      </c>
      <c r="E1242" s="0">
        <f>VLOOKUP(C1242,'Item Tier Lookup'!$A:$B,2,FALSE)</f>
        <v/>
      </c>
      <c r="F1242" s="0">
        <f>VLOOKUP(E1242,'Tier Params'!$A:$B,2,FALSE)</f>
        <v/>
      </c>
      <c r="G1242" s="0">
        <f>VLOOKUP(E1242,'Tier Params'!$A:$C,3,FALSE)</f>
        <v/>
      </c>
      <c r="H1242" s="0">
        <f>CEILING(D1242/G1242,1)</f>
        <v/>
      </c>
      <c r="I1242" s="0">
        <f>H1242*F1242</f>
        <v/>
      </c>
    </row>
    <row r="1243">
      <c r="A1243" s="0" t="inlineStr">
        <is>
          <t>'Reference sheet'!N1245</t>
        </is>
      </c>
      <c r="B1243" s="0" t="inlineStr">
        <is>
          <t>Structure Medical Center</t>
        </is>
      </c>
      <c r="C1243" s="0" t="inlineStr">
        <is>
          <t>Wetware Mainframe</t>
        </is>
      </c>
      <c r="D1243" s="0" t="n">
        <v>5</v>
      </c>
      <c r="E1243" s="0">
        <f>VLOOKUP(C1243,'Item Tier Lookup'!$A:$B,2,FALSE)</f>
        <v/>
      </c>
      <c r="F1243" s="0">
        <f>VLOOKUP(E1243,'Tier Params'!$A:$B,2,FALSE)</f>
        <v/>
      </c>
      <c r="G1243" s="0">
        <f>VLOOKUP(E1243,'Tier Params'!$A:$C,3,FALSE)</f>
        <v/>
      </c>
      <c r="H1243" s="0">
        <f>CEILING(D1243/G1243,1)</f>
        <v/>
      </c>
      <c r="I1243" s="0">
        <f>H1243*F1243</f>
        <v/>
      </c>
    </row>
    <row r="1244">
      <c r="A1244" s="0" t="inlineStr">
        <is>
          <t>'Reference sheet'!N1246</t>
        </is>
      </c>
      <c r="B1244" s="0" t="inlineStr">
        <is>
          <t>Structure Medical Center</t>
        </is>
      </c>
      <c r="C1244" s="0" t="inlineStr">
        <is>
          <t>Supercomputers</t>
        </is>
      </c>
      <c r="D1244" s="0" t="n">
        <v>30</v>
      </c>
      <c r="E1244" s="0">
        <f>VLOOKUP(C1244,'Item Tier Lookup'!$A:$B,2,FALSE)</f>
        <v/>
      </c>
      <c r="F1244" s="0">
        <f>VLOOKUP(E1244,'Tier Params'!$A:$B,2,FALSE)</f>
        <v/>
      </c>
      <c r="G1244" s="0">
        <f>VLOOKUP(E1244,'Tier Params'!$A:$C,3,FALSE)</f>
        <v/>
      </c>
      <c r="H1244" s="0">
        <f>CEILING(D1244/G1244,1)</f>
        <v/>
      </c>
      <c r="I1244" s="0">
        <f>H1244*F1244</f>
        <v/>
      </c>
    </row>
    <row r="1245">
      <c r="A1245" s="0" t="inlineStr">
        <is>
          <t>'Reference sheet'!N1247</t>
        </is>
      </c>
      <c r="B1245" s="0" t="inlineStr">
        <is>
          <t>Structure Medical Center</t>
        </is>
      </c>
      <c r="C1245" s="0" t="inlineStr">
        <is>
          <t>Water-Cooled CPU</t>
        </is>
      </c>
      <c r="D1245" s="0" t="n">
        <v>100</v>
      </c>
      <c r="E1245" s="0">
        <f>VLOOKUP(C1245,'Item Tier Lookup'!$A:$B,2,FALSE)</f>
        <v/>
      </c>
      <c r="F1245" s="0">
        <f>VLOOKUP(E1245,'Tier Params'!$A:$B,2,FALSE)</f>
        <v/>
      </c>
      <c r="G1245" s="0">
        <f>VLOOKUP(E1245,'Tier Params'!$A:$C,3,FALSE)</f>
        <v/>
      </c>
      <c r="H1245" s="0">
        <f>CEILING(D1245/G1245,1)</f>
        <v/>
      </c>
      <c r="I1245" s="0">
        <f>H1245*F1245</f>
        <v/>
      </c>
    </row>
    <row r="1246">
      <c r="A1246" s="0" t="inlineStr">
        <is>
          <t>'Reference sheet'!N1248</t>
        </is>
      </c>
      <c r="B1246" s="0" t="inlineStr">
        <is>
          <t>Structure Medical Center</t>
        </is>
      </c>
      <c r="C1246" s="0" t="inlineStr">
        <is>
          <t>Water</t>
        </is>
      </c>
      <c r="D1246" s="0" t="n">
        <v>800</v>
      </c>
      <c r="E1246" s="0">
        <f>VLOOKUP(C1246,'Item Tier Lookup'!$A:$B,2,FALSE)</f>
        <v/>
      </c>
      <c r="F1246" s="0">
        <f>VLOOKUP(E1246,'Tier Params'!$A:$B,2,FALSE)</f>
        <v/>
      </c>
      <c r="G1246" s="0">
        <f>VLOOKUP(E1246,'Tier Params'!$A:$C,3,FALSE)</f>
        <v/>
      </c>
      <c r="H1246" s="0">
        <f>CEILING(D1246/G1246,1)</f>
        <v/>
      </c>
      <c r="I1246" s="0">
        <f>H1246*F1246</f>
        <v/>
      </c>
    </row>
    <row r="1247">
      <c r="A1247" s="0" t="inlineStr">
        <is>
          <t>'Reference sheet'!N1249</t>
        </is>
      </c>
      <c r="B1247" s="0" t="inlineStr">
        <is>
          <t>Structure Medical Center</t>
        </is>
      </c>
      <c r="C1247" s="0" t="inlineStr">
        <is>
          <t>Aqueous Liquids</t>
        </is>
      </c>
      <c r="D1247" s="0" t="n">
        <v>120000</v>
      </c>
      <c r="E1247" s="0">
        <f>VLOOKUP(C1247,'Item Tier Lookup'!$A:$B,2,FALSE)</f>
        <v/>
      </c>
      <c r="F1247" s="0">
        <f>VLOOKUP(E1247,'Tier Params'!$A:$B,2,FALSE)</f>
        <v/>
      </c>
      <c r="G1247" s="0">
        <f>VLOOKUP(E1247,'Tier Params'!$A:$C,3,FALSE)</f>
        <v/>
      </c>
      <c r="H1247" s="0">
        <f>CEILING(D1247/G1247,1)</f>
        <v/>
      </c>
      <c r="I1247" s="0">
        <f>H1247*F1247</f>
        <v/>
      </c>
    </row>
    <row r="1248">
      <c r="A1248" s="0" t="inlineStr">
        <is>
          <t>'Reference sheet'!N1250</t>
        </is>
      </c>
      <c r="B1248" s="0" t="inlineStr">
        <is>
          <t>Structure Medical Center</t>
        </is>
      </c>
      <c r="C1248" s="0" t="inlineStr">
        <is>
          <t>Reactive Metals</t>
        </is>
      </c>
      <c r="D1248" s="0" t="n">
        <v>800</v>
      </c>
      <c r="E1248" s="0">
        <f>VLOOKUP(C1248,'Item Tier Lookup'!$A:$B,2,FALSE)</f>
        <v/>
      </c>
      <c r="F1248" s="0">
        <f>VLOOKUP(E1248,'Tier Params'!$A:$B,2,FALSE)</f>
        <v/>
      </c>
      <c r="G1248" s="0">
        <f>VLOOKUP(E1248,'Tier Params'!$A:$C,3,FALSE)</f>
        <v/>
      </c>
      <c r="H1248" s="0">
        <f>CEILING(D1248/G1248,1)</f>
        <v/>
      </c>
      <c r="I1248" s="0">
        <f>H1248*F1248</f>
        <v/>
      </c>
    </row>
    <row r="1249">
      <c r="A1249" s="0" t="inlineStr">
        <is>
          <t>'Reference sheet'!N1251</t>
        </is>
      </c>
      <c r="B1249" s="0" t="inlineStr">
        <is>
          <t>Structure Medical Center</t>
        </is>
      </c>
      <c r="C1249" s="0" t="inlineStr">
        <is>
          <t>Base Metals</t>
        </is>
      </c>
      <c r="D1249" s="0" t="n">
        <v>120000</v>
      </c>
      <c r="E1249" s="0">
        <f>VLOOKUP(C1249,'Item Tier Lookup'!$A:$B,2,FALSE)</f>
        <v/>
      </c>
      <c r="F1249" s="0">
        <f>VLOOKUP(E1249,'Tier Params'!$A:$B,2,FALSE)</f>
        <v/>
      </c>
      <c r="G1249" s="0">
        <f>VLOOKUP(E1249,'Tier Params'!$A:$C,3,FALSE)</f>
        <v/>
      </c>
      <c r="H1249" s="0">
        <f>CEILING(D1249/G1249,1)</f>
        <v/>
      </c>
      <c r="I1249" s="0">
        <f>H1249*F1249</f>
        <v/>
      </c>
    </row>
    <row r="1250">
      <c r="A1250" s="0" t="inlineStr">
        <is>
          <t>'Reference sheet'!N1252</t>
        </is>
      </c>
      <c r="B1250" s="0" t="inlineStr">
        <is>
          <t>Structure Medical Center</t>
        </is>
      </c>
      <c r="C1250" s="0" t="inlineStr">
        <is>
          <t>Coolant</t>
        </is>
      </c>
      <c r="D1250" s="0" t="n">
        <v>100</v>
      </c>
      <c r="E1250" s="0">
        <f>VLOOKUP(C1250,'Item Tier Lookup'!$A:$B,2,FALSE)</f>
        <v/>
      </c>
      <c r="F1250" s="0">
        <f>VLOOKUP(E1250,'Tier Params'!$A:$B,2,FALSE)</f>
        <v/>
      </c>
      <c r="G1250" s="0">
        <f>VLOOKUP(E1250,'Tier Params'!$A:$C,3,FALSE)</f>
        <v/>
      </c>
      <c r="H1250" s="0">
        <f>CEILING(D1250/G1250,1)</f>
        <v/>
      </c>
      <c r="I1250" s="0">
        <f>H1250*F1250</f>
        <v/>
      </c>
    </row>
    <row r="1251">
      <c r="A1251" s="0" t="inlineStr">
        <is>
          <t>'Reference sheet'!N1253</t>
        </is>
      </c>
      <c r="B1251" s="0" t="inlineStr">
        <is>
          <t>Structure Medical Center</t>
        </is>
      </c>
      <c r="C1251" s="0" t="inlineStr">
        <is>
          <t>Water</t>
        </is>
      </c>
      <c r="D1251" s="0" t="n">
        <v>800</v>
      </c>
      <c r="E1251" s="0">
        <f>VLOOKUP(C1251,'Item Tier Lookup'!$A:$B,2,FALSE)</f>
        <v/>
      </c>
      <c r="F1251" s="0">
        <f>VLOOKUP(E1251,'Tier Params'!$A:$B,2,FALSE)</f>
        <v/>
      </c>
      <c r="G1251" s="0">
        <f>VLOOKUP(E1251,'Tier Params'!$A:$C,3,FALSE)</f>
        <v/>
      </c>
      <c r="H1251" s="0">
        <f>CEILING(D1251/G1251,1)</f>
        <v/>
      </c>
      <c r="I1251" s="0">
        <f>H1251*F1251</f>
        <v/>
      </c>
    </row>
    <row r="1252">
      <c r="A1252" s="0" t="inlineStr">
        <is>
          <t>'Reference sheet'!N1254</t>
        </is>
      </c>
      <c r="B1252" s="0" t="inlineStr">
        <is>
          <t>Structure Medical Center</t>
        </is>
      </c>
      <c r="C1252" s="0" t="inlineStr">
        <is>
          <t>Aqueous Liquids</t>
        </is>
      </c>
      <c r="D1252" s="0" t="n">
        <v>120000</v>
      </c>
      <c r="E1252" s="0">
        <f>VLOOKUP(C1252,'Item Tier Lookup'!$A:$B,2,FALSE)</f>
        <v/>
      </c>
      <c r="F1252" s="0">
        <f>VLOOKUP(E1252,'Tier Params'!$A:$B,2,FALSE)</f>
        <v/>
      </c>
      <c r="G1252" s="0">
        <f>VLOOKUP(E1252,'Tier Params'!$A:$C,3,FALSE)</f>
        <v/>
      </c>
      <c r="H1252" s="0">
        <f>CEILING(D1252/G1252,1)</f>
        <v/>
      </c>
      <c r="I1252" s="0">
        <f>H1252*F1252</f>
        <v/>
      </c>
    </row>
    <row r="1253">
      <c r="A1253" s="0" t="inlineStr">
        <is>
          <t>'Reference sheet'!N1255</t>
        </is>
      </c>
      <c r="B1253" s="0" t="inlineStr">
        <is>
          <t>Structure Medical Center</t>
        </is>
      </c>
      <c r="C1253" s="0" t="inlineStr">
        <is>
          <t>Electrolytes</t>
        </is>
      </c>
      <c r="D1253" s="0" t="n">
        <v>800</v>
      </c>
      <c r="E1253" s="0">
        <f>VLOOKUP(C1253,'Item Tier Lookup'!$A:$B,2,FALSE)</f>
        <v/>
      </c>
      <c r="F1253" s="0">
        <f>VLOOKUP(E1253,'Tier Params'!$A:$B,2,FALSE)</f>
        <v/>
      </c>
      <c r="G1253" s="0">
        <f>VLOOKUP(E1253,'Tier Params'!$A:$C,3,FALSE)</f>
        <v/>
      </c>
      <c r="H1253" s="0">
        <f>CEILING(D1253/G1253,1)</f>
        <v/>
      </c>
      <c r="I1253" s="0">
        <f>H1253*F1253</f>
        <v/>
      </c>
    </row>
    <row r="1254">
      <c r="A1254" s="0" t="inlineStr">
        <is>
          <t>'Reference sheet'!N1256</t>
        </is>
      </c>
      <c r="B1254" s="0" t="inlineStr">
        <is>
          <t>Structure Medical Center</t>
        </is>
      </c>
      <c r="C1254" s="0" t="inlineStr">
        <is>
          <t>Ionic Solutions</t>
        </is>
      </c>
      <c r="D1254" s="0" t="n">
        <v>120000</v>
      </c>
      <c r="E1254" s="0">
        <f>VLOOKUP(C1254,'Item Tier Lookup'!$A:$B,2,FALSE)</f>
        <v/>
      </c>
      <c r="F1254" s="0">
        <f>VLOOKUP(E1254,'Tier Params'!$A:$B,2,FALSE)</f>
        <v/>
      </c>
      <c r="G1254" s="0">
        <f>VLOOKUP(E1254,'Tier Params'!$A:$C,3,FALSE)</f>
        <v/>
      </c>
      <c r="H1254" s="0">
        <f>CEILING(D1254/G1254,1)</f>
        <v/>
      </c>
      <c r="I1254" s="0">
        <f>H1254*F1254</f>
        <v/>
      </c>
    </row>
    <row r="1255">
      <c r="A1255" s="0" t="inlineStr">
        <is>
          <t>'Reference sheet'!N1257</t>
        </is>
      </c>
      <c r="B1255" s="0" t="inlineStr">
        <is>
          <t>Structure Medical Center</t>
        </is>
      </c>
      <c r="C1255" s="0" t="inlineStr">
        <is>
          <t>Consumer Electronics</t>
        </is>
      </c>
      <c r="D1255" s="0" t="n">
        <v>100</v>
      </c>
      <c r="E1255" s="0">
        <f>VLOOKUP(C1255,'Item Tier Lookup'!$A:$B,2,FALSE)</f>
        <v/>
      </c>
      <c r="F1255" s="0">
        <f>VLOOKUP(E1255,'Tier Params'!$A:$B,2,FALSE)</f>
        <v/>
      </c>
      <c r="G1255" s="0">
        <f>VLOOKUP(E1255,'Tier Params'!$A:$C,3,FALSE)</f>
        <v/>
      </c>
      <c r="H1255" s="0">
        <f>CEILING(D1255/G1255,1)</f>
        <v/>
      </c>
      <c r="I1255" s="0">
        <f>H1255*F1255</f>
        <v/>
      </c>
    </row>
    <row r="1256">
      <c r="A1256" s="0" t="inlineStr">
        <is>
          <t>'Reference sheet'!N1258</t>
        </is>
      </c>
      <c r="B1256" s="0" t="inlineStr">
        <is>
          <t>Structure Medical Center</t>
        </is>
      </c>
      <c r="C1256" s="0" t="inlineStr">
        <is>
          <t>Toxic Metals</t>
        </is>
      </c>
      <c r="D1256" s="0" t="n">
        <v>800</v>
      </c>
      <c r="E1256" s="0">
        <f>VLOOKUP(C1256,'Item Tier Lookup'!$A:$B,2,FALSE)</f>
        <v/>
      </c>
      <c r="F1256" s="0">
        <f>VLOOKUP(E1256,'Tier Params'!$A:$B,2,FALSE)</f>
        <v/>
      </c>
      <c r="G1256" s="0">
        <f>VLOOKUP(E1256,'Tier Params'!$A:$C,3,FALSE)</f>
        <v/>
      </c>
      <c r="H1256" s="0">
        <f>CEILING(D1256/G1256,1)</f>
        <v/>
      </c>
      <c r="I1256" s="0">
        <f>H1256*F1256</f>
        <v/>
      </c>
    </row>
    <row r="1257">
      <c r="A1257" s="0" t="inlineStr">
        <is>
          <t>'Reference sheet'!N1259</t>
        </is>
      </c>
      <c r="B1257" s="0" t="inlineStr">
        <is>
          <t>Structure Medical Center</t>
        </is>
      </c>
      <c r="C1257" s="0" t="inlineStr">
        <is>
          <t>Heavy Metals</t>
        </is>
      </c>
      <c r="D1257" s="0" t="n">
        <v>120000</v>
      </c>
      <c r="E1257" s="0">
        <f>VLOOKUP(C1257,'Item Tier Lookup'!$A:$B,2,FALSE)</f>
        <v/>
      </c>
      <c r="F1257" s="0">
        <f>VLOOKUP(E1257,'Tier Params'!$A:$B,2,FALSE)</f>
        <v/>
      </c>
      <c r="G1257" s="0">
        <f>VLOOKUP(E1257,'Tier Params'!$A:$C,3,FALSE)</f>
        <v/>
      </c>
      <c r="H1257" s="0">
        <f>CEILING(D1257/G1257,1)</f>
        <v/>
      </c>
      <c r="I1257" s="0">
        <f>H1257*F1257</f>
        <v/>
      </c>
    </row>
    <row r="1258">
      <c r="A1258" s="0" t="inlineStr">
        <is>
          <t>'Reference sheet'!N1260</t>
        </is>
      </c>
      <c r="B1258" s="0" t="inlineStr">
        <is>
          <t>Structure Medical Center</t>
        </is>
      </c>
      <c r="C1258" s="0" t="inlineStr">
        <is>
          <t>Chiral Structures</t>
        </is>
      </c>
      <c r="D1258" s="0" t="n">
        <v>800</v>
      </c>
      <c r="E1258" s="0">
        <f>VLOOKUP(C1258,'Item Tier Lookup'!$A:$B,2,FALSE)</f>
        <v/>
      </c>
      <c r="F1258" s="0">
        <f>VLOOKUP(E1258,'Tier Params'!$A:$B,2,FALSE)</f>
        <v/>
      </c>
      <c r="G1258" s="0">
        <f>VLOOKUP(E1258,'Tier Params'!$A:$C,3,FALSE)</f>
        <v/>
      </c>
      <c r="H1258" s="0">
        <f>CEILING(D1258/G1258,1)</f>
        <v/>
      </c>
      <c r="I1258" s="0">
        <f>H1258*F1258</f>
        <v/>
      </c>
    </row>
    <row r="1259">
      <c r="A1259" s="0" t="inlineStr">
        <is>
          <t>'Reference sheet'!N1261</t>
        </is>
      </c>
      <c r="B1259" s="0" t="inlineStr">
        <is>
          <t>Structure Medical Center</t>
        </is>
      </c>
      <c r="C1259" s="0" t="inlineStr">
        <is>
          <t>Non-CS Crystals</t>
        </is>
      </c>
      <c r="D1259" s="0" t="n">
        <v>120000</v>
      </c>
      <c r="E1259" s="0">
        <f>VLOOKUP(C1259,'Item Tier Lookup'!$A:$B,2,FALSE)</f>
        <v/>
      </c>
      <c r="F1259" s="0">
        <f>VLOOKUP(E1259,'Tier Params'!$A:$B,2,FALSE)</f>
        <v/>
      </c>
      <c r="G1259" s="0">
        <f>VLOOKUP(E1259,'Tier Params'!$A:$C,3,FALSE)</f>
        <v/>
      </c>
      <c r="H1259" s="0">
        <f>CEILING(D1259/G1259,1)</f>
        <v/>
      </c>
      <c r="I1259" s="0">
        <f>H1259*F1259</f>
        <v/>
      </c>
    </row>
    <row r="1260">
      <c r="A1260" s="0" t="inlineStr">
        <is>
          <t>'Reference sheet'!N1262</t>
        </is>
      </c>
      <c r="B1260" s="0" t="inlineStr">
        <is>
          <t>Structure Medical Center</t>
        </is>
      </c>
      <c r="C1260" s="0" t="inlineStr">
        <is>
          <t>Biotech Research Reports</t>
        </is>
      </c>
      <c r="D1260" s="0" t="n">
        <v>30</v>
      </c>
      <c r="E1260" s="0">
        <f>VLOOKUP(C1260,'Item Tier Lookup'!$A:$B,2,FALSE)</f>
        <v/>
      </c>
      <c r="F1260" s="0">
        <f>VLOOKUP(E1260,'Tier Params'!$A:$B,2,FALSE)</f>
        <v/>
      </c>
      <c r="G1260" s="0">
        <f>VLOOKUP(E1260,'Tier Params'!$A:$C,3,FALSE)</f>
        <v/>
      </c>
      <c r="H1260" s="0">
        <f>CEILING(D1260/G1260,1)</f>
        <v/>
      </c>
      <c r="I1260" s="0">
        <f>H1260*F1260</f>
        <v/>
      </c>
    </row>
    <row r="1261">
      <c r="A1261" s="0" t="inlineStr">
        <is>
          <t>'Reference sheet'!N1263</t>
        </is>
      </c>
      <c r="B1261" s="0" t="inlineStr">
        <is>
          <t>Structure Medical Center</t>
        </is>
      </c>
      <c r="C1261" s="0" t="inlineStr">
        <is>
          <t>Construction Blocks</t>
        </is>
      </c>
      <c r="D1261" s="0" t="n">
        <v>100</v>
      </c>
      <c r="E1261" s="0">
        <f>VLOOKUP(C1261,'Item Tier Lookup'!$A:$B,2,FALSE)</f>
        <v/>
      </c>
      <c r="F1261" s="0">
        <f>VLOOKUP(E1261,'Tier Params'!$A:$B,2,FALSE)</f>
        <v/>
      </c>
      <c r="G1261" s="0">
        <f>VLOOKUP(E1261,'Tier Params'!$A:$C,3,FALSE)</f>
        <v/>
      </c>
      <c r="H1261" s="0">
        <f>CEILING(D1261/G1261,1)</f>
        <v/>
      </c>
      <c r="I1261" s="0">
        <f>H1261*F1261</f>
        <v/>
      </c>
    </row>
    <row r="1262">
      <c r="A1262" s="0" t="inlineStr">
        <is>
          <t>'Reference sheet'!N1264</t>
        </is>
      </c>
      <c r="B1262" s="0" t="inlineStr">
        <is>
          <t>Structure Medical Center</t>
        </is>
      </c>
      <c r="C1262" s="0" t="inlineStr">
        <is>
          <t>Toxic Metals</t>
        </is>
      </c>
      <c r="D1262" s="0" t="n">
        <v>800</v>
      </c>
      <c r="E1262" s="0">
        <f>VLOOKUP(C1262,'Item Tier Lookup'!$A:$B,2,FALSE)</f>
        <v/>
      </c>
      <c r="F1262" s="0">
        <f>VLOOKUP(E1262,'Tier Params'!$A:$B,2,FALSE)</f>
        <v/>
      </c>
      <c r="G1262" s="0">
        <f>VLOOKUP(E1262,'Tier Params'!$A:$C,3,FALSE)</f>
        <v/>
      </c>
      <c r="H1262" s="0">
        <f>CEILING(D1262/G1262,1)</f>
        <v/>
      </c>
      <c r="I1262" s="0">
        <f>H1262*F1262</f>
        <v/>
      </c>
    </row>
    <row r="1263">
      <c r="A1263" s="0" t="inlineStr">
        <is>
          <t>'Reference sheet'!N1265</t>
        </is>
      </c>
      <c r="B1263" s="0" t="inlineStr">
        <is>
          <t>Structure Medical Center</t>
        </is>
      </c>
      <c r="C1263" s="0" t="inlineStr">
        <is>
          <t>Heavy Metals</t>
        </is>
      </c>
      <c r="D1263" s="0" t="n">
        <v>120000</v>
      </c>
      <c r="E1263" s="0">
        <f>VLOOKUP(C1263,'Item Tier Lookup'!$A:$B,2,FALSE)</f>
        <v/>
      </c>
      <c r="F1263" s="0">
        <f>VLOOKUP(E1263,'Tier Params'!$A:$B,2,FALSE)</f>
        <v/>
      </c>
      <c r="G1263" s="0">
        <f>VLOOKUP(E1263,'Tier Params'!$A:$C,3,FALSE)</f>
        <v/>
      </c>
      <c r="H1263" s="0">
        <f>CEILING(D1263/G1263,1)</f>
        <v/>
      </c>
      <c r="I1263" s="0">
        <f>H1263*F1263</f>
        <v/>
      </c>
    </row>
    <row r="1264">
      <c r="A1264" s="0" t="inlineStr">
        <is>
          <t>'Reference sheet'!N1266</t>
        </is>
      </c>
      <c r="B1264" s="0" t="inlineStr">
        <is>
          <t>Structure Medical Center</t>
        </is>
      </c>
      <c r="C1264" s="0" t="inlineStr">
        <is>
          <t>Reactive Metals</t>
        </is>
      </c>
      <c r="D1264" s="0" t="n">
        <v>800</v>
      </c>
      <c r="E1264" s="0">
        <f>VLOOKUP(C1264,'Item Tier Lookup'!$A:$B,2,FALSE)</f>
        <v/>
      </c>
      <c r="F1264" s="0">
        <f>VLOOKUP(E1264,'Tier Params'!$A:$B,2,FALSE)</f>
        <v/>
      </c>
      <c r="G1264" s="0">
        <f>VLOOKUP(E1264,'Tier Params'!$A:$C,3,FALSE)</f>
        <v/>
      </c>
      <c r="H1264" s="0">
        <f>CEILING(D1264/G1264,1)</f>
        <v/>
      </c>
      <c r="I1264" s="0">
        <f>H1264*F1264</f>
        <v/>
      </c>
    </row>
    <row r="1265">
      <c r="A1265" s="0" t="inlineStr">
        <is>
          <t>'Reference sheet'!N1267</t>
        </is>
      </c>
      <c r="B1265" s="0" t="inlineStr">
        <is>
          <t>Structure Medical Center</t>
        </is>
      </c>
      <c r="C1265" s="0" t="inlineStr">
        <is>
          <t>Base Metals</t>
        </is>
      </c>
      <c r="D1265" s="0" t="n">
        <v>120000</v>
      </c>
      <c r="E1265" s="0">
        <f>VLOOKUP(C1265,'Item Tier Lookup'!$A:$B,2,FALSE)</f>
        <v/>
      </c>
      <c r="F1265" s="0">
        <f>VLOOKUP(E1265,'Tier Params'!$A:$B,2,FALSE)</f>
        <v/>
      </c>
      <c r="G1265" s="0">
        <f>VLOOKUP(E1265,'Tier Params'!$A:$C,3,FALSE)</f>
        <v/>
      </c>
      <c r="H1265" s="0">
        <f>CEILING(D1265/G1265,1)</f>
        <v/>
      </c>
      <c r="I1265" s="0">
        <f>H1265*F1265</f>
        <v/>
      </c>
    </row>
    <row r="1266">
      <c r="A1266" s="0" t="inlineStr">
        <is>
          <t>'Reference sheet'!N1268</t>
        </is>
      </c>
      <c r="B1266" s="0" t="inlineStr">
        <is>
          <t>Structure Medical Center</t>
        </is>
      </c>
      <c r="C1266" s="0" t="inlineStr">
        <is>
          <t>Livestock</t>
        </is>
      </c>
      <c r="D1266" s="0" t="n">
        <v>100</v>
      </c>
      <c r="E1266" s="0">
        <f>VLOOKUP(C1266,'Item Tier Lookup'!$A:$B,2,FALSE)</f>
        <v/>
      </c>
      <c r="F1266" s="0">
        <f>VLOOKUP(E1266,'Tier Params'!$A:$B,2,FALSE)</f>
        <v/>
      </c>
      <c r="G1266" s="0">
        <f>VLOOKUP(E1266,'Tier Params'!$A:$C,3,FALSE)</f>
        <v/>
      </c>
      <c r="H1266" s="0">
        <f>CEILING(D1266/G1266,1)</f>
        <v/>
      </c>
      <c r="I1266" s="0">
        <f>H1266*F1266</f>
        <v/>
      </c>
    </row>
    <row r="1267">
      <c r="A1267" s="0" t="inlineStr">
        <is>
          <t>'Reference sheet'!N1269</t>
        </is>
      </c>
      <c r="B1267" s="0" t="inlineStr">
        <is>
          <t>Structure Medical Center</t>
        </is>
      </c>
      <c r="C1267" s="0" t="inlineStr">
        <is>
          <t>Proteins</t>
        </is>
      </c>
      <c r="D1267" s="0" t="n">
        <v>800</v>
      </c>
      <c r="E1267" s="0">
        <f>VLOOKUP(C1267,'Item Tier Lookup'!$A:$B,2,FALSE)</f>
        <v/>
      </c>
      <c r="F1267" s="0">
        <f>VLOOKUP(E1267,'Tier Params'!$A:$B,2,FALSE)</f>
        <v/>
      </c>
      <c r="G1267" s="0">
        <f>VLOOKUP(E1267,'Tier Params'!$A:$C,3,FALSE)</f>
        <v/>
      </c>
      <c r="H1267" s="0">
        <f>CEILING(D1267/G1267,1)</f>
        <v/>
      </c>
      <c r="I1267" s="0">
        <f>H1267*F1267</f>
        <v/>
      </c>
    </row>
    <row r="1268">
      <c r="A1268" s="0" t="inlineStr">
        <is>
          <t>'Reference sheet'!N1270</t>
        </is>
      </c>
      <c r="B1268" s="0" t="inlineStr">
        <is>
          <t>Structure Medical Center</t>
        </is>
      </c>
      <c r="C1268" s="0" t="inlineStr">
        <is>
          <t>Complex Organisms</t>
        </is>
      </c>
      <c r="D1268" s="0" t="n">
        <v>120000</v>
      </c>
      <c r="E1268" s="0">
        <f>VLOOKUP(C1268,'Item Tier Lookup'!$A:$B,2,FALSE)</f>
        <v/>
      </c>
      <c r="F1268" s="0">
        <f>VLOOKUP(E1268,'Tier Params'!$A:$B,2,FALSE)</f>
        <v/>
      </c>
      <c r="G1268" s="0">
        <f>VLOOKUP(E1268,'Tier Params'!$A:$C,3,FALSE)</f>
        <v/>
      </c>
      <c r="H1268" s="0">
        <f>CEILING(D1268/G1268,1)</f>
        <v/>
      </c>
      <c r="I1268" s="0">
        <f>H1268*F1268</f>
        <v/>
      </c>
    </row>
    <row r="1269">
      <c r="A1269" s="0" t="inlineStr">
        <is>
          <t>'Reference sheet'!N1271</t>
        </is>
      </c>
      <c r="B1269" s="0" t="inlineStr">
        <is>
          <t>Structure Medical Center</t>
        </is>
      </c>
      <c r="C1269" s="0" t="inlineStr">
        <is>
          <t>Biofuels</t>
        </is>
      </c>
      <c r="D1269" s="0" t="n">
        <v>800</v>
      </c>
      <c r="E1269" s="0">
        <f>VLOOKUP(C1269,'Item Tier Lookup'!$A:$B,2,FALSE)</f>
        <v/>
      </c>
      <c r="F1269" s="0">
        <f>VLOOKUP(E1269,'Tier Params'!$A:$B,2,FALSE)</f>
        <v/>
      </c>
      <c r="G1269" s="0">
        <f>VLOOKUP(E1269,'Tier Params'!$A:$C,3,FALSE)</f>
        <v/>
      </c>
      <c r="H1269" s="0">
        <f>CEILING(D1269/G1269,1)</f>
        <v/>
      </c>
      <c r="I1269" s="0">
        <f>H1269*F1269</f>
        <v/>
      </c>
    </row>
    <row r="1270">
      <c r="A1270" s="0" t="inlineStr">
        <is>
          <t>'Reference sheet'!N1272</t>
        </is>
      </c>
      <c r="B1270" s="0" t="inlineStr">
        <is>
          <t>Structure Medical Center</t>
        </is>
      </c>
      <c r="C1270" s="0" t="inlineStr">
        <is>
          <t>Carbon Compounds</t>
        </is>
      </c>
      <c r="D1270" s="0" t="n">
        <v>120000</v>
      </c>
      <c r="E1270" s="0">
        <f>VLOOKUP(C1270,'Item Tier Lookup'!$A:$B,2,FALSE)</f>
        <v/>
      </c>
      <c r="F1270" s="0">
        <f>VLOOKUP(E1270,'Tier Params'!$A:$B,2,FALSE)</f>
        <v/>
      </c>
      <c r="G1270" s="0">
        <f>VLOOKUP(E1270,'Tier Params'!$A:$C,3,FALSE)</f>
        <v/>
      </c>
      <c r="H1270" s="0">
        <f>CEILING(D1270/G1270,1)</f>
        <v/>
      </c>
      <c r="I1270" s="0">
        <f>H1270*F1270</f>
        <v/>
      </c>
    </row>
    <row r="1271">
      <c r="A1271" s="0" t="inlineStr">
        <is>
          <t>'Reference sheet'!N1273</t>
        </is>
      </c>
      <c r="B1271" s="0" t="inlineStr">
        <is>
          <t>Structure Medical Center</t>
        </is>
      </c>
      <c r="C1271" s="0" t="inlineStr">
        <is>
          <t>Nanites</t>
        </is>
      </c>
      <c r="D1271" s="0" t="n">
        <v>100</v>
      </c>
      <c r="E1271" s="0">
        <f>VLOOKUP(C1271,'Item Tier Lookup'!$A:$B,2,FALSE)</f>
        <v/>
      </c>
      <c r="F1271" s="0">
        <f>VLOOKUP(E1271,'Tier Params'!$A:$B,2,FALSE)</f>
        <v/>
      </c>
      <c r="G1271" s="0">
        <f>VLOOKUP(E1271,'Tier Params'!$A:$C,3,FALSE)</f>
        <v/>
      </c>
      <c r="H1271" s="0">
        <f>CEILING(D1271/G1271,1)</f>
        <v/>
      </c>
      <c r="I1271" s="0">
        <f>H1271*F1271</f>
        <v/>
      </c>
    </row>
    <row r="1272">
      <c r="A1272" s="0" t="inlineStr">
        <is>
          <t>'Reference sheet'!N1274</t>
        </is>
      </c>
      <c r="B1272" s="0" t="inlineStr">
        <is>
          <t>Structure Medical Center</t>
        </is>
      </c>
      <c r="C1272" s="0" t="inlineStr">
        <is>
          <t>Bacteria</t>
        </is>
      </c>
      <c r="D1272" s="0" t="n">
        <v>800</v>
      </c>
      <c r="E1272" s="0">
        <f>VLOOKUP(C1272,'Item Tier Lookup'!$A:$B,2,FALSE)</f>
        <v/>
      </c>
      <c r="F1272" s="0">
        <f>VLOOKUP(E1272,'Tier Params'!$A:$B,2,FALSE)</f>
        <v/>
      </c>
      <c r="G1272" s="0">
        <f>VLOOKUP(E1272,'Tier Params'!$A:$C,3,FALSE)</f>
        <v/>
      </c>
      <c r="H1272" s="0">
        <f>CEILING(D1272/G1272,1)</f>
        <v/>
      </c>
      <c r="I1272" s="0">
        <f>H1272*F1272</f>
        <v/>
      </c>
    </row>
    <row r="1273">
      <c r="A1273" s="0" t="inlineStr">
        <is>
          <t>'Reference sheet'!N1275</t>
        </is>
      </c>
      <c r="B1273" s="0" t="inlineStr">
        <is>
          <t>Structure Medical Center</t>
        </is>
      </c>
      <c r="C1273" s="0" t="inlineStr">
        <is>
          <t>Microorganisms</t>
        </is>
      </c>
      <c r="D1273" s="0" t="n">
        <v>120000</v>
      </c>
      <c r="E1273" s="0">
        <f>VLOOKUP(C1273,'Item Tier Lookup'!$A:$B,2,FALSE)</f>
        <v/>
      </c>
      <c r="F1273" s="0">
        <f>VLOOKUP(E1273,'Tier Params'!$A:$B,2,FALSE)</f>
        <v/>
      </c>
      <c r="G1273" s="0">
        <f>VLOOKUP(E1273,'Tier Params'!$A:$C,3,FALSE)</f>
        <v/>
      </c>
      <c r="H1273" s="0">
        <f>CEILING(D1273/G1273,1)</f>
        <v/>
      </c>
      <c r="I1273" s="0">
        <f>H1273*F1273</f>
        <v/>
      </c>
    </row>
    <row r="1274">
      <c r="A1274" s="0" t="inlineStr">
        <is>
          <t>'Reference sheet'!N1276</t>
        </is>
      </c>
      <c r="B1274" s="0" t="inlineStr">
        <is>
          <t>Structure Medical Center</t>
        </is>
      </c>
      <c r="C1274" s="0" t="inlineStr">
        <is>
          <t>Reactive Metals</t>
        </is>
      </c>
      <c r="D1274" s="0" t="n">
        <v>800</v>
      </c>
      <c r="E1274" s="0">
        <f>VLOOKUP(C1274,'Item Tier Lookup'!$A:$B,2,FALSE)</f>
        <v/>
      </c>
      <c r="F1274" s="0">
        <f>VLOOKUP(E1274,'Tier Params'!$A:$B,2,FALSE)</f>
        <v/>
      </c>
      <c r="G1274" s="0">
        <f>VLOOKUP(E1274,'Tier Params'!$A:$C,3,FALSE)</f>
        <v/>
      </c>
      <c r="H1274" s="0">
        <f>CEILING(D1274/G1274,1)</f>
        <v/>
      </c>
      <c r="I1274" s="0">
        <f>H1274*F1274</f>
        <v/>
      </c>
    </row>
    <row r="1275">
      <c r="A1275" s="0" t="inlineStr">
        <is>
          <t>'Reference sheet'!N1277</t>
        </is>
      </c>
      <c r="B1275" s="0" t="inlineStr">
        <is>
          <t>Structure Medical Center</t>
        </is>
      </c>
      <c r="C1275" s="0" t="inlineStr">
        <is>
          <t>Base Metals</t>
        </is>
      </c>
      <c r="D1275" s="0" t="n">
        <v>120000</v>
      </c>
      <c r="E1275" s="0">
        <f>VLOOKUP(C1275,'Item Tier Lookup'!$A:$B,2,FALSE)</f>
        <v/>
      </c>
      <c r="F1275" s="0">
        <f>VLOOKUP(E1275,'Tier Params'!$A:$B,2,FALSE)</f>
        <v/>
      </c>
      <c r="G1275" s="0">
        <f>VLOOKUP(E1275,'Tier Params'!$A:$C,3,FALSE)</f>
        <v/>
      </c>
      <c r="H1275" s="0">
        <f>CEILING(D1275/G1275,1)</f>
        <v/>
      </c>
      <c r="I1275" s="0">
        <f>H1275*F1275</f>
        <v/>
      </c>
    </row>
    <row r="1276">
      <c r="A1276" s="0" t="inlineStr">
        <is>
          <t>'Reference sheet'!N1278</t>
        </is>
      </c>
      <c r="B1276" s="0" t="inlineStr">
        <is>
          <t>Structure Medical Center</t>
        </is>
      </c>
      <c r="C1276" s="0" t="inlineStr">
        <is>
          <t>Cryoprotectant Solution</t>
        </is>
      </c>
      <c r="D1276" s="0" t="n">
        <v>30</v>
      </c>
      <c r="E1276" s="0">
        <f>VLOOKUP(C1276,'Item Tier Lookup'!$A:$B,2,FALSE)</f>
        <v/>
      </c>
      <c r="F1276" s="0">
        <f>VLOOKUP(E1276,'Tier Params'!$A:$B,2,FALSE)</f>
        <v/>
      </c>
      <c r="G1276" s="0">
        <f>VLOOKUP(E1276,'Tier Params'!$A:$C,3,FALSE)</f>
        <v/>
      </c>
      <c r="H1276" s="0">
        <f>CEILING(D1276/G1276,1)</f>
        <v/>
      </c>
      <c r="I1276" s="0">
        <f>H1276*F1276</f>
        <v/>
      </c>
    </row>
    <row r="1277">
      <c r="A1277" s="0" t="inlineStr">
        <is>
          <t>'Reference sheet'!N1279</t>
        </is>
      </c>
      <c r="B1277" s="0" t="inlineStr">
        <is>
          <t>Structure Medical Center</t>
        </is>
      </c>
      <c r="C1277" s="0" t="inlineStr">
        <is>
          <t>Test Cultures</t>
        </is>
      </c>
      <c r="D1277" s="0" t="n">
        <v>100</v>
      </c>
      <c r="E1277" s="0">
        <f>VLOOKUP(C1277,'Item Tier Lookup'!$A:$B,2,FALSE)</f>
        <v/>
      </c>
      <c r="F1277" s="0">
        <f>VLOOKUP(E1277,'Tier Params'!$A:$B,2,FALSE)</f>
        <v/>
      </c>
      <c r="G1277" s="0">
        <f>VLOOKUP(E1277,'Tier Params'!$A:$C,3,FALSE)</f>
        <v/>
      </c>
      <c r="H1277" s="0">
        <f>CEILING(D1277/G1277,1)</f>
        <v/>
      </c>
      <c r="I1277" s="0">
        <f>H1277*F1277</f>
        <v/>
      </c>
    </row>
    <row r="1278">
      <c r="A1278" s="0" t="inlineStr">
        <is>
          <t>'Reference sheet'!N1280</t>
        </is>
      </c>
      <c r="B1278" s="0" t="inlineStr">
        <is>
          <t>Structure Medical Center</t>
        </is>
      </c>
      <c r="C1278" s="0" t="inlineStr">
        <is>
          <t>Bacteria</t>
        </is>
      </c>
      <c r="D1278" s="0" t="n">
        <v>800</v>
      </c>
      <c r="E1278" s="0">
        <f>VLOOKUP(C1278,'Item Tier Lookup'!$A:$B,2,FALSE)</f>
        <v/>
      </c>
      <c r="F1278" s="0">
        <f>VLOOKUP(E1278,'Tier Params'!$A:$B,2,FALSE)</f>
        <v/>
      </c>
      <c r="G1278" s="0">
        <f>VLOOKUP(E1278,'Tier Params'!$A:$C,3,FALSE)</f>
        <v/>
      </c>
      <c r="H1278" s="0">
        <f>CEILING(D1278/G1278,1)</f>
        <v/>
      </c>
      <c r="I1278" s="0">
        <f>H1278*F1278</f>
        <v/>
      </c>
    </row>
    <row r="1279">
      <c r="A1279" s="0" t="inlineStr">
        <is>
          <t>'Reference sheet'!N1281</t>
        </is>
      </c>
      <c r="B1279" s="0" t="inlineStr">
        <is>
          <t>Structure Medical Center</t>
        </is>
      </c>
      <c r="C1279" s="0" t="inlineStr">
        <is>
          <t>Microorganisms</t>
        </is>
      </c>
      <c r="D1279" s="0" t="n">
        <v>120000</v>
      </c>
      <c r="E1279" s="0">
        <f>VLOOKUP(C1279,'Item Tier Lookup'!$A:$B,2,FALSE)</f>
        <v/>
      </c>
      <c r="F1279" s="0">
        <f>VLOOKUP(E1279,'Tier Params'!$A:$B,2,FALSE)</f>
        <v/>
      </c>
      <c r="G1279" s="0">
        <f>VLOOKUP(E1279,'Tier Params'!$A:$C,3,FALSE)</f>
        <v/>
      </c>
      <c r="H1279" s="0">
        <f>CEILING(D1279/G1279,1)</f>
        <v/>
      </c>
      <c r="I1279" s="0">
        <f>H1279*F1279</f>
        <v/>
      </c>
    </row>
    <row r="1280">
      <c r="A1280" s="0" t="inlineStr">
        <is>
          <t>'Reference sheet'!N1282</t>
        </is>
      </c>
      <c r="B1280" s="0" t="inlineStr">
        <is>
          <t>Structure Medical Center</t>
        </is>
      </c>
      <c r="C1280" s="0" t="inlineStr">
        <is>
          <t>Water</t>
        </is>
      </c>
      <c r="D1280" s="0" t="n">
        <v>800</v>
      </c>
      <c r="E1280" s="0">
        <f>VLOOKUP(C1280,'Item Tier Lookup'!$A:$B,2,FALSE)</f>
        <v/>
      </c>
      <c r="F1280" s="0">
        <f>VLOOKUP(E1280,'Tier Params'!$A:$B,2,FALSE)</f>
        <v/>
      </c>
      <c r="G1280" s="0">
        <f>VLOOKUP(E1280,'Tier Params'!$A:$C,3,FALSE)</f>
        <v/>
      </c>
      <c r="H1280" s="0">
        <f>CEILING(D1280/G1280,1)</f>
        <v/>
      </c>
      <c r="I1280" s="0">
        <f>H1280*F1280</f>
        <v/>
      </c>
    </row>
    <row r="1281">
      <c r="A1281" s="0" t="inlineStr">
        <is>
          <t>'Reference sheet'!N1283</t>
        </is>
      </c>
      <c r="B1281" s="0" t="inlineStr">
        <is>
          <t>Structure Medical Center</t>
        </is>
      </c>
      <c r="C1281" s="0" t="inlineStr">
        <is>
          <t>Aqueous Liquids</t>
        </is>
      </c>
      <c r="D1281" s="0" t="n">
        <v>120000</v>
      </c>
      <c r="E1281" s="0">
        <f>VLOOKUP(C1281,'Item Tier Lookup'!$A:$B,2,FALSE)</f>
        <v/>
      </c>
      <c r="F1281" s="0">
        <f>VLOOKUP(E1281,'Tier Params'!$A:$B,2,FALSE)</f>
        <v/>
      </c>
      <c r="G1281" s="0">
        <f>VLOOKUP(E1281,'Tier Params'!$A:$C,3,FALSE)</f>
        <v/>
      </c>
      <c r="H1281" s="0">
        <f>CEILING(D1281/G1281,1)</f>
        <v/>
      </c>
      <c r="I1281" s="0">
        <f>H1281*F1281</f>
        <v/>
      </c>
    </row>
    <row r="1282">
      <c r="A1282" s="0" t="inlineStr">
        <is>
          <t>'Reference sheet'!N1284</t>
        </is>
      </c>
      <c r="B1282" s="0" t="inlineStr">
        <is>
          <t>Structure Medical Center</t>
        </is>
      </c>
      <c r="C1282" s="0" t="inlineStr">
        <is>
          <t>Synthetic Oil</t>
        </is>
      </c>
      <c r="D1282" s="0" t="n">
        <v>100</v>
      </c>
      <c r="E1282" s="0">
        <f>VLOOKUP(C1282,'Item Tier Lookup'!$A:$B,2,FALSE)</f>
        <v/>
      </c>
      <c r="F1282" s="0">
        <f>VLOOKUP(E1282,'Tier Params'!$A:$B,2,FALSE)</f>
        <v/>
      </c>
      <c r="G1282" s="0">
        <f>VLOOKUP(E1282,'Tier Params'!$A:$C,3,FALSE)</f>
        <v/>
      </c>
      <c r="H1282" s="0">
        <f>CEILING(D1282/G1282,1)</f>
        <v/>
      </c>
      <c r="I1282" s="0">
        <f>H1282*F1282</f>
        <v/>
      </c>
    </row>
    <row r="1283">
      <c r="A1283" s="0" t="inlineStr">
        <is>
          <t>'Reference sheet'!N1285</t>
        </is>
      </c>
      <c r="B1283" s="0" t="inlineStr">
        <is>
          <t>Structure Medical Center</t>
        </is>
      </c>
      <c r="C1283" s="0" t="inlineStr">
        <is>
          <t>Oxygen</t>
        </is>
      </c>
      <c r="D1283" s="0" t="n">
        <v>800</v>
      </c>
      <c r="E1283" s="0">
        <f>VLOOKUP(C1283,'Item Tier Lookup'!$A:$B,2,FALSE)</f>
        <v/>
      </c>
      <c r="F1283" s="0">
        <f>VLOOKUP(E1283,'Tier Params'!$A:$B,2,FALSE)</f>
        <v/>
      </c>
      <c r="G1283" s="0">
        <f>VLOOKUP(E1283,'Tier Params'!$A:$C,3,FALSE)</f>
        <v/>
      </c>
      <c r="H1283" s="0">
        <f>CEILING(D1283/G1283,1)</f>
        <v/>
      </c>
      <c r="I1283" s="0">
        <f>H1283*F1283</f>
        <v/>
      </c>
    </row>
    <row r="1284">
      <c r="A1284" s="0" t="inlineStr">
        <is>
          <t>'Reference sheet'!N1286</t>
        </is>
      </c>
      <c r="B1284" s="0" t="inlineStr">
        <is>
          <t>Structure Medical Center</t>
        </is>
      </c>
      <c r="C1284" s="0" t="inlineStr">
        <is>
          <t>Noble Gas</t>
        </is>
      </c>
      <c r="D1284" s="0" t="n">
        <v>120000</v>
      </c>
      <c r="E1284" s="0">
        <f>VLOOKUP(C1284,'Item Tier Lookup'!$A:$B,2,FALSE)</f>
        <v/>
      </c>
      <c r="F1284" s="0">
        <f>VLOOKUP(E1284,'Tier Params'!$A:$B,2,FALSE)</f>
        <v/>
      </c>
      <c r="G1284" s="0">
        <f>VLOOKUP(E1284,'Tier Params'!$A:$C,3,FALSE)</f>
        <v/>
      </c>
      <c r="H1284" s="0">
        <f>CEILING(D1284/G1284,1)</f>
        <v/>
      </c>
      <c r="I1284" s="0">
        <f>H1284*F1284</f>
        <v/>
      </c>
    </row>
    <row r="1285">
      <c r="A1285" s="0" t="inlineStr">
        <is>
          <t>'Reference sheet'!N1287</t>
        </is>
      </c>
      <c r="B1285" s="0" t="inlineStr">
        <is>
          <t>Structure Medical Center</t>
        </is>
      </c>
      <c r="C1285" s="0" t="inlineStr">
        <is>
          <t>Electrolytes</t>
        </is>
      </c>
      <c r="D1285" s="0" t="n">
        <v>800</v>
      </c>
      <c r="E1285" s="0">
        <f>VLOOKUP(C1285,'Item Tier Lookup'!$A:$B,2,FALSE)</f>
        <v/>
      </c>
      <c r="F1285" s="0">
        <f>VLOOKUP(E1285,'Tier Params'!$A:$B,2,FALSE)</f>
        <v/>
      </c>
      <c r="G1285" s="0">
        <f>VLOOKUP(E1285,'Tier Params'!$A:$C,3,FALSE)</f>
        <v/>
      </c>
      <c r="H1285" s="0">
        <f>CEILING(D1285/G1285,1)</f>
        <v/>
      </c>
      <c r="I1285" s="0">
        <f>H1285*F1285</f>
        <v/>
      </c>
    </row>
    <row r="1286">
      <c r="A1286" s="0" t="inlineStr">
        <is>
          <t>'Reference sheet'!N1288</t>
        </is>
      </c>
      <c r="B1286" s="0" t="inlineStr">
        <is>
          <t>Structure Medical Center</t>
        </is>
      </c>
      <c r="C1286" s="0" t="inlineStr">
        <is>
          <t>Ionic Solutions</t>
        </is>
      </c>
      <c r="D1286" s="0" t="n">
        <v>120000</v>
      </c>
      <c r="E1286" s="0">
        <f>VLOOKUP(C1286,'Item Tier Lookup'!$A:$B,2,FALSE)</f>
        <v/>
      </c>
      <c r="F1286" s="0">
        <f>VLOOKUP(E1286,'Tier Params'!$A:$B,2,FALSE)</f>
        <v/>
      </c>
      <c r="G1286" s="0">
        <f>VLOOKUP(E1286,'Tier Params'!$A:$C,3,FALSE)</f>
        <v/>
      </c>
      <c r="H1286" s="0">
        <f>CEILING(D1286/G1286,1)</f>
        <v/>
      </c>
      <c r="I1286" s="0">
        <f>H1286*F1286</f>
        <v/>
      </c>
    </row>
    <row r="1287">
      <c r="A1287" s="0" t="inlineStr">
        <is>
          <t>'Reference sheet'!N1289</t>
        </is>
      </c>
      <c r="B1287" s="0" t="inlineStr">
        <is>
          <t>Structure Medical Center</t>
        </is>
      </c>
      <c r="C1287" s="0" t="inlineStr">
        <is>
          <t>Fertilizer</t>
        </is>
      </c>
      <c r="D1287" s="0" t="n">
        <v>100</v>
      </c>
      <c r="E1287" s="0">
        <f>VLOOKUP(C1287,'Item Tier Lookup'!$A:$B,2,FALSE)</f>
        <v/>
      </c>
      <c r="F1287" s="0">
        <f>VLOOKUP(E1287,'Tier Params'!$A:$B,2,FALSE)</f>
        <v/>
      </c>
      <c r="G1287" s="0">
        <f>VLOOKUP(E1287,'Tier Params'!$A:$C,3,FALSE)</f>
        <v/>
      </c>
      <c r="H1287" s="0">
        <f>CEILING(D1287/G1287,1)</f>
        <v/>
      </c>
      <c r="I1287" s="0">
        <f>H1287*F1287</f>
        <v/>
      </c>
    </row>
    <row r="1288">
      <c r="A1288" s="0" t="inlineStr">
        <is>
          <t>'Reference sheet'!N1290</t>
        </is>
      </c>
      <c r="B1288" s="0" t="inlineStr">
        <is>
          <t>Structure Medical Center</t>
        </is>
      </c>
      <c r="C1288" s="0" t="inlineStr">
        <is>
          <t>Bacteria</t>
        </is>
      </c>
      <c r="D1288" s="0" t="n">
        <v>800</v>
      </c>
      <c r="E1288" s="0">
        <f>VLOOKUP(C1288,'Item Tier Lookup'!$A:$B,2,FALSE)</f>
        <v/>
      </c>
      <c r="F1288" s="0">
        <f>VLOOKUP(E1288,'Tier Params'!$A:$B,2,FALSE)</f>
        <v/>
      </c>
      <c r="G1288" s="0">
        <f>VLOOKUP(E1288,'Tier Params'!$A:$C,3,FALSE)</f>
        <v/>
      </c>
      <c r="H1288" s="0">
        <f>CEILING(D1288/G1288,1)</f>
        <v/>
      </c>
      <c r="I1288" s="0">
        <f>H1288*F1288</f>
        <v/>
      </c>
    </row>
    <row r="1289">
      <c r="A1289" s="0" t="inlineStr">
        <is>
          <t>'Reference sheet'!N1291</t>
        </is>
      </c>
      <c r="B1289" s="0" t="inlineStr">
        <is>
          <t>Structure Medical Center</t>
        </is>
      </c>
      <c r="C1289" s="0" t="inlineStr">
        <is>
          <t>Microorganisms</t>
        </is>
      </c>
      <c r="D1289" s="0" t="n">
        <v>120000</v>
      </c>
      <c r="E1289" s="0">
        <f>VLOOKUP(C1289,'Item Tier Lookup'!$A:$B,2,FALSE)</f>
        <v/>
      </c>
      <c r="F1289" s="0">
        <f>VLOOKUP(E1289,'Tier Params'!$A:$B,2,FALSE)</f>
        <v/>
      </c>
      <c r="G1289" s="0">
        <f>VLOOKUP(E1289,'Tier Params'!$A:$C,3,FALSE)</f>
        <v/>
      </c>
      <c r="H1289" s="0">
        <f>CEILING(D1289/G1289,1)</f>
        <v/>
      </c>
      <c r="I1289" s="0">
        <f>H1289*F1289</f>
        <v/>
      </c>
    </row>
    <row r="1290">
      <c r="A1290" s="0" t="inlineStr">
        <is>
          <t>'Reference sheet'!N1292</t>
        </is>
      </c>
      <c r="B1290" s="0" t="inlineStr">
        <is>
          <t>Structure Medical Center</t>
        </is>
      </c>
      <c r="C1290" s="0" t="inlineStr">
        <is>
          <t>Proteins</t>
        </is>
      </c>
      <c r="D1290" s="0" t="n">
        <v>800</v>
      </c>
      <c r="E1290" s="0">
        <f>VLOOKUP(C1290,'Item Tier Lookup'!$A:$B,2,FALSE)</f>
        <v/>
      </c>
      <c r="F1290" s="0">
        <f>VLOOKUP(E1290,'Tier Params'!$A:$B,2,FALSE)</f>
        <v/>
      </c>
      <c r="G1290" s="0">
        <f>VLOOKUP(E1290,'Tier Params'!$A:$C,3,FALSE)</f>
        <v/>
      </c>
      <c r="H1290" s="0">
        <f>CEILING(D1290/G1290,1)</f>
        <v/>
      </c>
      <c r="I1290" s="0">
        <f>H1290*F1290</f>
        <v/>
      </c>
    </row>
    <row r="1291">
      <c r="A1291" s="0" t="inlineStr">
        <is>
          <t>'Reference sheet'!N1293</t>
        </is>
      </c>
      <c r="B1291" s="0" t="inlineStr">
        <is>
          <t>Structure Medical Center</t>
        </is>
      </c>
      <c r="C1291" s="0" t="inlineStr">
        <is>
          <t>Complex Organisms</t>
        </is>
      </c>
      <c r="D1291" s="0" t="n">
        <v>120000</v>
      </c>
      <c r="E1291" s="0">
        <f>VLOOKUP(C1291,'Item Tier Lookup'!$A:$B,2,FALSE)</f>
        <v/>
      </c>
      <c r="F1291" s="0">
        <f>VLOOKUP(E1291,'Tier Params'!$A:$B,2,FALSE)</f>
        <v/>
      </c>
      <c r="G1291" s="0">
        <f>VLOOKUP(E1291,'Tier Params'!$A:$C,3,FALSE)</f>
        <v/>
      </c>
      <c r="H1291" s="0">
        <f>CEILING(D1291/G1291,1)</f>
        <v/>
      </c>
      <c r="I1291" s="0">
        <f>H1291*F1291</f>
        <v/>
      </c>
    </row>
    <row r="1292">
      <c r="A1292" s="0" t="inlineStr">
        <is>
          <t>'Reference sheet'!N1294</t>
        </is>
      </c>
      <c r="B1292" s="0" t="inlineStr">
        <is>
          <t>Structure Office Center</t>
        </is>
      </c>
      <c r="C1292" s="0" t="inlineStr">
        <is>
          <t>Structure Office Center</t>
        </is>
      </c>
      <c r="D1292" s="0" t="n">
        <v>1</v>
      </c>
      <c r="E1292" s="0">
        <f>VLOOKUP(C1292,'Item Tier Lookup'!$A:$B,2,FALSE)</f>
        <v/>
      </c>
      <c r="F1292" s="0">
        <f>VLOOKUP(E1292,'Tier Params'!$A:$B,2,FALSE)</f>
        <v/>
      </c>
      <c r="G1292" s="0">
        <f>VLOOKUP(E1292,'Tier Params'!$A:$C,3,FALSE)</f>
        <v/>
      </c>
      <c r="H1292" s="0">
        <f>CEILING(D1292/G1292,1)</f>
        <v/>
      </c>
      <c r="I1292" s="0">
        <f>H1292*F1292</f>
        <v/>
      </c>
    </row>
    <row r="1293">
      <c r="A1293" s="0" t="inlineStr">
        <is>
          <t>'Reference sheet'!N1295</t>
        </is>
      </c>
      <c r="B1293" s="0" t="inlineStr">
        <is>
          <t>Structure Office Center</t>
        </is>
      </c>
      <c r="C1293" s="0" t="inlineStr">
        <is>
          <t>Tritanium</t>
        </is>
      </c>
      <c r="D1293" s="0" t="n">
        <v>450000</v>
      </c>
      <c r="E1293" s="0">
        <f>VLOOKUP(C1293,'Item Tier Lookup'!$A:$B,2,FALSE)</f>
        <v/>
      </c>
      <c r="F1293" s="0">
        <f>VLOOKUP(E1293,'Tier Params'!$A:$B,2,FALSE)</f>
        <v/>
      </c>
      <c r="G1293" s="0">
        <f>VLOOKUP(E1293,'Tier Params'!$A:$C,3,FALSE)</f>
        <v/>
      </c>
      <c r="H1293" s="0">
        <f>CEILING(D1293/G1293,1)</f>
        <v/>
      </c>
      <c r="I1293" s="0">
        <f>H1293*F1293</f>
        <v/>
      </c>
    </row>
    <row r="1294">
      <c r="A1294" s="0" t="inlineStr">
        <is>
          <t>'Reference sheet'!N1296</t>
        </is>
      </c>
      <c r="B1294" s="0" t="inlineStr">
        <is>
          <t>Structure Office Center</t>
        </is>
      </c>
      <c r="C1294" s="0" t="inlineStr">
        <is>
          <t>Pyerite</t>
        </is>
      </c>
      <c r="D1294" s="0" t="n">
        <v>90000</v>
      </c>
      <c r="E1294" s="0">
        <f>VLOOKUP(C1294,'Item Tier Lookup'!$A:$B,2,FALSE)</f>
        <v/>
      </c>
      <c r="F1294" s="0">
        <f>VLOOKUP(E1294,'Tier Params'!$A:$B,2,FALSE)</f>
        <v/>
      </c>
      <c r="G1294" s="0">
        <f>VLOOKUP(E1294,'Tier Params'!$A:$C,3,FALSE)</f>
        <v/>
      </c>
      <c r="H1294" s="0">
        <f>CEILING(D1294/G1294,1)</f>
        <v/>
      </c>
      <c r="I1294" s="0">
        <f>H1294*F1294</f>
        <v/>
      </c>
    </row>
    <row r="1295">
      <c r="A1295" s="0" t="inlineStr">
        <is>
          <t>'Reference sheet'!N1297</t>
        </is>
      </c>
      <c r="B1295" s="0" t="inlineStr">
        <is>
          <t>Structure Office Center</t>
        </is>
      </c>
      <c r="C1295" s="0" t="inlineStr">
        <is>
          <t>Mexallon</t>
        </is>
      </c>
      <c r="D1295" s="0" t="n">
        <v>31500</v>
      </c>
      <c r="E1295" s="0">
        <f>VLOOKUP(C1295,'Item Tier Lookup'!$A:$B,2,FALSE)</f>
        <v/>
      </c>
      <c r="F1295" s="0">
        <f>VLOOKUP(E1295,'Tier Params'!$A:$B,2,FALSE)</f>
        <v/>
      </c>
      <c r="G1295" s="0">
        <f>VLOOKUP(E1295,'Tier Params'!$A:$C,3,FALSE)</f>
        <v/>
      </c>
      <c r="H1295" s="0">
        <f>CEILING(D1295/G1295,1)</f>
        <v/>
      </c>
      <c r="I1295" s="0">
        <f>H1295*F1295</f>
        <v/>
      </c>
    </row>
    <row r="1296">
      <c r="A1296" s="0" t="inlineStr">
        <is>
          <t>'Reference sheet'!N1298</t>
        </is>
      </c>
      <c r="B1296" s="0" t="inlineStr">
        <is>
          <t>Structure Office Center</t>
        </is>
      </c>
      <c r="C1296" s="0" t="inlineStr">
        <is>
          <t>Isogen</t>
        </is>
      </c>
      <c r="D1296" s="0" t="n">
        <v>3600</v>
      </c>
      <c r="E1296" s="0">
        <f>VLOOKUP(C1296,'Item Tier Lookup'!$A:$B,2,FALSE)</f>
        <v/>
      </c>
      <c r="F1296" s="0">
        <f>VLOOKUP(E1296,'Tier Params'!$A:$B,2,FALSE)</f>
        <v/>
      </c>
      <c r="G1296" s="0">
        <f>VLOOKUP(E1296,'Tier Params'!$A:$C,3,FALSE)</f>
        <v/>
      </c>
      <c r="H1296" s="0">
        <f>CEILING(D1296/G1296,1)</f>
        <v/>
      </c>
      <c r="I1296" s="0">
        <f>H1296*F1296</f>
        <v/>
      </c>
    </row>
    <row r="1297">
      <c r="A1297" s="0" t="inlineStr">
        <is>
          <t>'Reference sheet'!N1299</t>
        </is>
      </c>
      <c r="B1297" s="0" t="inlineStr">
        <is>
          <t>Structure Office Center</t>
        </is>
      </c>
      <c r="C1297" s="0" t="inlineStr">
        <is>
          <t>Nocxium</t>
        </is>
      </c>
      <c r="D1297" s="0" t="n">
        <v>675</v>
      </c>
      <c r="E1297" s="0">
        <f>VLOOKUP(C1297,'Item Tier Lookup'!$A:$B,2,FALSE)</f>
        <v/>
      </c>
      <c r="F1297" s="0">
        <f>VLOOKUP(E1297,'Tier Params'!$A:$B,2,FALSE)</f>
        <v/>
      </c>
      <c r="G1297" s="0">
        <f>VLOOKUP(E1297,'Tier Params'!$A:$C,3,FALSE)</f>
        <v/>
      </c>
      <c r="H1297" s="0">
        <f>CEILING(D1297/G1297,1)</f>
        <v/>
      </c>
      <c r="I1297" s="0">
        <f>H1297*F1297</f>
        <v/>
      </c>
    </row>
    <row r="1298">
      <c r="A1298" s="0" t="inlineStr">
        <is>
          <t>'Reference sheet'!N1300</t>
        </is>
      </c>
      <c r="B1298" s="0" t="inlineStr">
        <is>
          <t>Structure Office Center</t>
        </is>
      </c>
      <c r="C1298" s="0" t="inlineStr">
        <is>
          <t>Zydrine</t>
        </is>
      </c>
      <c r="D1298" s="0" t="n">
        <v>315</v>
      </c>
      <c r="E1298" s="0">
        <f>VLOOKUP(C1298,'Item Tier Lookup'!$A:$B,2,FALSE)</f>
        <v/>
      </c>
      <c r="F1298" s="0">
        <f>VLOOKUP(E1298,'Tier Params'!$A:$B,2,FALSE)</f>
        <v/>
      </c>
      <c r="G1298" s="0">
        <f>VLOOKUP(E1298,'Tier Params'!$A:$C,3,FALSE)</f>
        <v/>
      </c>
      <c r="H1298" s="0">
        <f>CEILING(D1298/G1298,1)</f>
        <v/>
      </c>
      <c r="I1298" s="0">
        <f>H1298*F1298</f>
        <v/>
      </c>
    </row>
    <row r="1299">
      <c r="A1299" s="0" t="inlineStr">
        <is>
          <t>'Reference sheet'!N1301</t>
        </is>
      </c>
      <c r="B1299" s="0" t="inlineStr">
        <is>
          <t>Structure Office Center</t>
        </is>
      </c>
      <c r="C1299" s="0" t="inlineStr">
        <is>
          <t>Megacyte</t>
        </is>
      </c>
      <c r="D1299" s="0" t="n">
        <v>135</v>
      </c>
      <c r="E1299" s="0">
        <f>VLOOKUP(C1299,'Item Tier Lookup'!$A:$B,2,FALSE)</f>
        <v/>
      </c>
      <c r="F1299" s="0">
        <f>VLOOKUP(E1299,'Tier Params'!$A:$B,2,FALSE)</f>
        <v/>
      </c>
      <c r="G1299" s="0">
        <f>VLOOKUP(E1299,'Tier Params'!$A:$C,3,FALSE)</f>
        <v/>
      </c>
      <c r="H1299" s="0">
        <f>CEILING(D1299/G1299,1)</f>
        <v/>
      </c>
      <c r="I1299" s="0">
        <f>H1299*F1299</f>
        <v/>
      </c>
    </row>
    <row r="1300">
      <c r="A1300" s="0" t="inlineStr">
        <is>
          <t>'Reference sheet'!N1302</t>
        </is>
      </c>
      <c r="B1300" s="0" t="inlineStr">
        <is>
          <t>Structure Office Center</t>
        </is>
      </c>
      <c r="C1300" s="0" t="inlineStr">
        <is>
          <t>Broadcast Node</t>
        </is>
      </c>
      <c r="D1300" s="0" t="n">
        <v>5</v>
      </c>
      <c r="E1300" s="0">
        <f>VLOOKUP(C1300,'Item Tier Lookup'!$A:$B,2,FALSE)</f>
        <v/>
      </c>
      <c r="F1300" s="0">
        <f>VLOOKUP(E1300,'Tier Params'!$A:$B,2,FALSE)</f>
        <v/>
      </c>
      <c r="G1300" s="0">
        <f>VLOOKUP(E1300,'Tier Params'!$A:$C,3,FALSE)</f>
        <v/>
      </c>
      <c r="H1300" s="0">
        <f>CEILING(D1300/G1300,1)</f>
        <v/>
      </c>
      <c r="I1300" s="0">
        <f>H1300*F1300</f>
        <v/>
      </c>
    </row>
    <row r="1301">
      <c r="A1301" s="0" t="inlineStr">
        <is>
          <t>'Reference sheet'!N1303</t>
        </is>
      </c>
      <c r="B1301" s="0" t="inlineStr">
        <is>
          <t>Structure Office Center</t>
        </is>
      </c>
      <c r="C1301" s="0" t="inlineStr">
        <is>
          <t>Data Chips</t>
        </is>
      </c>
      <c r="D1301" s="0" t="n">
        <v>30</v>
      </c>
      <c r="E1301" s="0">
        <f>VLOOKUP(C1301,'Item Tier Lookup'!$A:$B,2,FALSE)</f>
        <v/>
      </c>
      <c r="F1301" s="0">
        <f>VLOOKUP(E1301,'Tier Params'!$A:$B,2,FALSE)</f>
        <v/>
      </c>
      <c r="G1301" s="0">
        <f>VLOOKUP(E1301,'Tier Params'!$A:$C,3,FALSE)</f>
        <v/>
      </c>
      <c r="H1301" s="0">
        <f>CEILING(D1301/G1301,1)</f>
        <v/>
      </c>
      <c r="I1301" s="0">
        <f>H1301*F1301</f>
        <v/>
      </c>
    </row>
    <row r="1302">
      <c r="A1302" s="0" t="inlineStr">
        <is>
          <t>'Reference sheet'!N1304</t>
        </is>
      </c>
      <c r="B1302" s="0" t="inlineStr">
        <is>
          <t>Structure Office Center</t>
        </is>
      </c>
      <c r="C1302" s="0" t="inlineStr">
        <is>
          <t>Supertensile Plastics</t>
        </is>
      </c>
      <c r="D1302" s="0" t="n">
        <v>100</v>
      </c>
      <c r="E1302" s="0">
        <f>VLOOKUP(C1302,'Item Tier Lookup'!$A:$B,2,FALSE)</f>
        <v/>
      </c>
      <c r="F1302" s="0">
        <f>VLOOKUP(E1302,'Tier Params'!$A:$B,2,FALSE)</f>
        <v/>
      </c>
      <c r="G1302" s="0">
        <f>VLOOKUP(E1302,'Tier Params'!$A:$C,3,FALSE)</f>
        <v/>
      </c>
      <c r="H1302" s="0">
        <f>CEILING(D1302/G1302,1)</f>
        <v/>
      </c>
      <c r="I1302" s="0">
        <f>H1302*F1302</f>
        <v/>
      </c>
    </row>
    <row r="1303">
      <c r="A1303" s="0" t="inlineStr">
        <is>
          <t>'Reference sheet'!N1305</t>
        </is>
      </c>
      <c r="B1303" s="0" t="inlineStr">
        <is>
          <t>Structure Office Center</t>
        </is>
      </c>
      <c r="C1303" s="0" t="inlineStr">
        <is>
          <t>Oxygen</t>
        </is>
      </c>
      <c r="D1303" s="0" t="n">
        <v>800</v>
      </c>
      <c r="E1303" s="0">
        <f>VLOOKUP(C1303,'Item Tier Lookup'!$A:$B,2,FALSE)</f>
        <v/>
      </c>
      <c r="F1303" s="0">
        <f>VLOOKUP(E1303,'Tier Params'!$A:$B,2,FALSE)</f>
        <v/>
      </c>
      <c r="G1303" s="0">
        <f>VLOOKUP(E1303,'Tier Params'!$A:$C,3,FALSE)</f>
        <v/>
      </c>
      <c r="H1303" s="0">
        <f>CEILING(D1303/G1303,1)</f>
        <v/>
      </c>
      <c r="I1303" s="0">
        <f>H1303*F1303</f>
        <v/>
      </c>
    </row>
    <row r="1304">
      <c r="A1304" s="0" t="inlineStr">
        <is>
          <t>'Reference sheet'!N1306</t>
        </is>
      </c>
      <c r="B1304" s="0" t="inlineStr">
        <is>
          <t>Structure Office Center</t>
        </is>
      </c>
      <c r="C1304" s="0" t="inlineStr">
        <is>
          <t>Noble Gas</t>
        </is>
      </c>
      <c r="D1304" s="0" t="n">
        <v>120000</v>
      </c>
      <c r="E1304" s="0">
        <f>VLOOKUP(C1304,'Item Tier Lookup'!$A:$B,2,FALSE)</f>
        <v/>
      </c>
      <c r="F1304" s="0">
        <f>VLOOKUP(E1304,'Tier Params'!$A:$B,2,FALSE)</f>
        <v/>
      </c>
      <c r="G1304" s="0">
        <f>VLOOKUP(E1304,'Tier Params'!$A:$C,3,FALSE)</f>
        <v/>
      </c>
      <c r="H1304" s="0">
        <f>CEILING(D1304/G1304,1)</f>
        <v/>
      </c>
      <c r="I1304" s="0">
        <f>H1304*F1304</f>
        <v/>
      </c>
    </row>
    <row r="1305">
      <c r="A1305" s="0" t="inlineStr">
        <is>
          <t>'Reference sheet'!N1307</t>
        </is>
      </c>
      <c r="B1305" s="0" t="inlineStr">
        <is>
          <t>Structure Office Center</t>
        </is>
      </c>
      <c r="C1305" s="0" t="inlineStr">
        <is>
          <t>Biomass</t>
        </is>
      </c>
      <c r="D1305" s="0" t="n">
        <v>800</v>
      </c>
      <c r="E1305" s="0">
        <f>VLOOKUP(C1305,'Item Tier Lookup'!$A:$B,2,FALSE)</f>
        <v/>
      </c>
      <c r="F1305" s="0">
        <f>VLOOKUP(E1305,'Tier Params'!$A:$B,2,FALSE)</f>
        <v/>
      </c>
      <c r="G1305" s="0">
        <f>VLOOKUP(E1305,'Tier Params'!$A:$C,3,FALSE)</f>
        <v/>
      </c>
      <c r="H1305" s="0">
        <f>CEILING(D1305/G1305,1)</f>
        <v/>
      </c>
      <c r="I1305" s="0">
        <f>H1305*F1305</f>
        <v/>
      </c>
    </row>
    <row r="1306">
      <c r="A1306" s="0" t="inlineStr">
        <is>
          <t>'Reference sheet'!N1308</t>
        </is>
      </c>
      <c r="B1306" s="0" t="inlineStr">
        <is>
          <t>Structure Office Center</t>
        </is>
      </c>
      <c r="C1306" s="0" t="inlineStr">
        <is>
          <t>Planktic Colonies</t>
        </is>
      </c>
      <c r="D1306" s="0" t="n">
        <v>120000</v>
      </c>
      <c r="E1306" s="0">
        <f>VLOOKUP(C1306,'Item Tier Lookup'!$A:$B,2,FALSE)</f>
        <v/>
      </c>
      <c r="F1306" s="0">
        <f>VLOOKUP(E1306,'Tier Params'!$A:$B,2,FALSE)</f>
        <v/>
      </c>
      <c r="G1306" s="0">
        <f>VLOOKUP(E1306,'Tier Params'!$A:$C,3,FALSE)</f>
        <v/>
      </c>
      <c r="H1306" s="0">
        <f>CEILING(D1306/G1306,1)</f>
        <v/>
      </c>
      <c r="I1306" s="0">
        <f>H1306*F1306</f>
        <v/>
      </c>
    </row>
    <row r="1307">
      <c r="A1307" s="0" t="inlineStr">
        <is>
          <t>'Reference sheet'!N1309</t>
        </is>
      </c>
      <c r="B1307" s="0" t="inlineStr">
        <is>
          <t>Structure Office Center</t>
        </is>
      </c>
      <c r="C1307" s="0" t="inlineStr">
        <is>
          <t>Microfiber Shielding</t>
        </is>
      </c>
      <c r="D1307" s="0" t="n">
        <v>100</v>
      </c>
      <c r="E1307" s="0">
        <f>VLOOKUP(C1307,'Item Tier Lookup'!$A:$B,2,FALSE)</f>
        <v/>
      </c>
      <c r="F1307" s="0">
        <f>VLOOKUP(E1307,'Tier Params'!$A:$B,2,FALSE)</f>
        <v/>
      </c>
      <c r="G1307" s="0">
        <f>VLOOKUP(E1307,'Tier Params'!$A:$C,3,FALSE)</f>
        <v/>
      </c>
      <c r="H1307" s="0">
        <f>CEILING(D1307/G1307,1)</f>
        <v/>
      </c>
      <c r="I1307" s="0">
        <f>H1307*F1307</f>
        <v/>
      </c>
    </row>
    <row r="1308">
      <c r="A1308" s="0" t="inlineStr">
        <is>
          <t>'Reference sheet'!N1310</t>
        </is>
      </c>
      <c r="B1308" s="0" t="inlineStr">
        <is>
          <t>Structure Office Center</t>
        </is>
      </c>
      <c r="C1308" s="0" t="inlineStr">
        <is>
          <t>Silicon</t>
        </is>
      </c>
      <c r="D1308" s="0" t="n">
        <v>800</v>
      </c>
      <c r="E1308" s="0">
        <f>VLOOKUP(C1308,'Item Tier Lookup'!$A:$B,2,FALSE)</f>
        <v/>
      </c>
      <c r="F1308" s="0">
        <f>VLOOKUP(E1308,'Tier Params'!$A:$B,2,FALSE)</f>
        <v/>
      </c>
      <c r="G1308" s="0">
        <f>VLOOKUP(E1308,'Tier Params'!$A:$C,3,FALSE)</f>
        <v/>
      </c>
      <c r="H1308" s="0">
        <f>CEILING(D1308/G1308,1)</f>
        <v/>
      </c>
      <c r="I1308" s="0">
        <f>H1308*F1308</f>
        <v/>
      </c>
    </row>
    <row r="1309">
      <c r="A1309" s="0" t="inlineStr">
        <is>
          <t>'Reference sheet'!N1311</t>
        </is>
      </c>
      <c r="B1309" s="0" t="inlineStr">
        <is>
          <t>Structure Office Center</t>
        </is>
      </c>
      <c r="C1309" s="0" t="inlineStr">
        <is>
          <t>Felsic Magma</t>
        </is>
      </c>
      <c r="D1309" s="0" t="n">
        <v>120000</v>
      </c>
      <c r="E1309" s="0">
        <f>VLOOKUP(C1309,'Item Tier Lookup'!$A:$B,2,FALSE)</f>
        <v/>
      </c>
      <c r="F1309" s="0">
        <f>VLOOKUP(E1309,'Tier Params'!$A:$B,2,FALSE)</f>
        <v/>
      </c>
      <c r="G1309" s="0">
        <f>VLOOKUP(E1309,'Tier Params'!$A:$C,3,FALSE)</f>
        <v/>
      </c>
      <c r="H1309" s="0">
        <f>CEILING(D1309/G1309,1)</f>
        <v/>
      </c>
      <c r="I1309" s="0">
        <f>H1309*F1309</f>
        <v/>
      </c>
    </row>
    <row r="1310">
      <c r="A1310" s="0" t="inlineStr">
        <is>
          <t>'Reference sheet'!N1312</t>
        </is>
      </c>
      <c r="B1310" s="0" t="inlineStr">
        <is>
          <t>Structure Office Center</t>
        </is>
      </c>
      <c r="C1310" s="0" t="inlineStr">
        <is>
          <t>Industrial Fibers</t>
        </is>
      </c>
      <c r="D1310" s="0" t="n">
        <v>800</v>
      </c>
      <c r="E1310" s="0">
        <f>VLOOKUP(C1310,'Item Tier Lookup'!$A:$B,2,FALSE)</f>
        <v/>
      </c>
      <c r="F1310" s="0">
        <f>VLOOKUP(E1310,'Tier Params'!$A:$B,2,FALSE)</f>
        <v/>
      </c>
      <c r="G1310" s="0">
        <f>VLOOKUP(E1310,'Tier Params'!$A:$C,3,FALSE)</f>
        <v/>
      </c>
      <c r="H1310" s="0">
        <f>CEILING(D1310/G1310,1)</f>
        <v/>
      </c>
      <c r="I1310" s="0">
        <f>H1310*F1310</f>
        <v/>
      </c>
    </row>
    <row r="1311">
      <c r="A1311" s="0" t="inlineStr">
        <is>
          <t>'Reference sheet'!N1313</t>
        </is>
      </c>
      <c r="B1311" s="0" t="inlineStr">
        <is>
          <t>Structure Office Center</t>
        </is>
      </c>
      <c r="C1311" s="0" t="inlineStr">
        <is>
          <t>Autotrophs</t>
        </is>
      </c>
      <c r="D1311" s="0" t="n">
        <v>120000</v>
      </c>
      <c r="E1311" s="0">
        <f>VLOOKUP(C1311,'Item Tier Lookup'!$A:$B,2,FALSE)</f>
        <v/>
      </c>
      <c r="F1311" s="0">
        <f>VLOOKUP(E1311,'Tier Params'!$A:$B,2,FALSE)</f>
        <v/>
      </c>
      <c r="G1311" s="0">
        <f>VLOOKUP(E1311,'Tier Params'!$A:$C,3,FALSE)</f>
        <v/>
      </c>
      <c r="H1311" s="0">
        <f>CEILING(D1311/G1311,1)</f>
        <v/>
      </c>
      <c r="I1311" s="0">
        <f>H1311*F1311</f>
        <v/>
      </c>
    </row>
    <row r="1312">
      <c r="A1312" s="0" t="inlineStr">
        <is>
          <t>'Reference sheet'!N1314</t>
        </is>
      </c>
      <c r="B1312" s="0" t="inlineStr">
        <is>
          <t>Structure Office Center</t>
        </is>
      </c>
      <c r="C1312" s="0" t="inlineStr">
        <is>
          <t>Neocoms</t>
        </is>
      </c>
      <c r="D1312" s="0" t="n">
        <v>30</v>
      </c>
      <c r="E1312" s="0">
        <f>VLOOKUP(C1312,'Item Tier Lookup'!$A:$B,2,FALSE)</f>
        <v/>
      </c>
      <c r="F1312" s="0">
        <f>VLOOKUP(E1312,'Tier Params'!$A:$B,2,FALSE)</f>
        <v/>
      </c>
      <c r="G1312" s="0">
        <f>VLOOKUP(E1312,'Tier Params'!$A:$C,3,FALSE)</f>
        <v/>
      </c>
      <c r="H1312" s="0">
        <f>CEILING(D1312/G1312,1)</f>
        <v/>
      </c>
      <c r="I1312" s="0">
        <f>H1312*F1312</f>
        <v/>
      </c>
    </row>
    <row r="1313">
      <c r="A1313" s="0" t="inlineStr">
        <is>
          <t>'Reference sheet'!N1315</t>
        </is>
      </c>
      <c r="B1313" s="0" t="inlineStr">
        <is>
          <t>Structure Office Center</t>
        </is>
      </c>
      <c r="C1313" s="0" t="inlineStr">
        <is>
          <t>Biocells</t>
        </is>
      </c>
      <c r="D1313" s="0" t="n">
        <v>100</v>
      </c>
      <c r="E1313" s="0">
        <f>VLOOKUP(C1313,'Item Tier Lookup'!$A:$B,2,FALSE)</f>
        <v/>
      </c>
      <c r="F1313" s="0">
        <f>VLOOKUP(E1313,'Tier Params'!$A:$B,2,FALSE)</f>
        <v/>
      </c>
      <c r="G1313" s="0">
        <f>VLOOKUP(E1313,'Tier Params'!$A:$C,3,FALSE)</f>
        <v/>
      </c>
      <c r="H1313" s="0">
        <f>CEILING(D1313/G1313,1)</f>
        <v/>
      </c>
      <c r="I1313" s="0">
        <f>H1313*F1313</f>
        <v/>
      </c>
    </row>
    <row r="1314">
      <c r="A1314" s="0" t="inlineStr">
        <is>
          <t>'Reference sheet'!N1316</t>
        </is>
      </c>
      <c r="B1314" s="0" t="inlineStr">
        <is>
          <t>Structure Office Center</t>
        </is>
      </c>
      <c r="C1314" s="0" t="inlineStr">
        <is>
          <t>Biofuels</t>
        </is>
      </c>
      <c r="D1314" s="0" t="n">
        <v>800</v>
      </c>
      <c r="E1314" s="0">
        <f>VLOOKUP(C1314,'Item Tier Lookup'!$A:$B,2,FALSE)</f>
        <v/>
      </c>
      <c r="F1314" s="0">
        <f>VLOOKUP(E1314,'Tier Params'!$A:$B,2,FALSE)</f>
        <v/>
      </c>
      <c r="G1314" s="0">
        <f>VLOOKUP(E1314,'Tier Params'!$A:$C,3,FALSE)</f>
        <v/>
      </c>
      <c r="H1314" s="0">
        <f>CEILING(D1314/G1314,1)</f>
        <v/>
      </c>
      <c r="I1314" s="0">
        <f>H1314*F1314</f>
        <v/>
      </c>
    </row>
    <row r="1315">
      <c r="A1315" s="0" t="inlineStr">
        <is>
          <t>'Reference sheet'!N1317</t>
        </is>
      </c>
      <c r="B1315" s="0" t="inlineStr">
        <is>
          <t>Structure Office Center</t>
        </is>
      </c>
      <c r="C1315" s="0" t="inlineStr">
        <is>
          <t>Carbon Compounds</t>
        </is>
      </c>
      <c r="D1315" s="0" t="n">
        <v>120000</v>
      </c>
      <c r="E1315" s="0">
        <f>VLOOKUP(C1315,'Item Tier Lookup'!$A:$B,2,FALSE)</f>
        <v/>
      </c>
      <c r="F1315" s="0">
        <f>VLOOKUP(E1315,'Tier Params'!$A:$B,2,FALSE)</f>
        <v/>
      </c>
      <c r="G1315" s="0">
        <f>VLOOKUP(E1315,'Tier Params'!$A:$C,3,FALSE)</f>
        <v/>
      </c>
      <c r="H1315" s="0">
        <f>CEILING(D1315/G1315,1)</f>
        <v/>
      </c>
      <c r="I1315" s="0">
        <f>H1315*F1315</f>
        <v/>
      </c>
    </row>
    <row r="1316">
      <c r="A1316" s="0" t="inlineStr">
        <is>
          <t>'Reference sheet'!N1318</t>
        </is>
      </c>
      <c r="B1316" s="0" t="inlineStr">
        <is>
          <t>Structure Office Center</t>
        </is>
      </c>
      <c r="C1316" s="0" t="inlineStr">
        <is>
          <t>Precious Metals</t>
        </is>
      </c>
      <c r="D1316" s="0" t="n">
        <v>800</v>
      </c>
      <c r="E1316" s="0">
        <f>VLOOKUP(C1316,'Item Tier Lookup'!$A:$B,2,FALSE)</f>
        <v/>
      </c>
      <c r="F1316" s="0">
        <f>VLOOKUP(E1316,'Tier Params'!$A:$B,2,FALSE)</f>
        <v/>
      </c>
      <c r="G1316" s="0">
        <f>VLOOKUP(E1316,'Tier Params'!$A:$C,3,FALSE)</f>
        <v/>
      </c>
      <c r="H1316" s="0">
        <f>CEILING(D1316/G1316,1)</f>
        <v/>
      </c>
      <c r="I1316" s="0">
        <f>H1316*F1316</f>
        <v/>
      </c>
    </row>
    <row r="1317">
      <c r="A1317" s="0" t="inlineStr">
        <is>
          <t>'Reference sheet'!N1319</t>
        </is>
      </c>
      <c r="B1317" s="0" t="inlineStr">
        <is>
          <t>Structure Office Center</t>
        </is>
      </c>
      <c r="C1317" s="0" t="inlineStr">
        <is>
          <t>Noble Metals</t>
        </is>
      </c>
      <c r="D1317" s="0" t="n">
        <v>120000</v>
      </c>
      <c r="E1317" s="0">
        <f>VLOOKUP(C1317,'Item Tier Lookup'!$A:$B,2,FALSE)</f>
        <v/>
      </c>
      <c r="F1317" s="0">
        <f>VLOOKUP(E1317,'Tier Params'!$A:$B,2,FALSE)</f>
        <v/>
      </c>
      <c r="G1317" s="0">
        <f>VLOOKUP(E1317,'Tier Params'!$A:$C,3,FALSE)</f>
        <v/>
      </c>
      <c r="H1317" s="0">
        <f>CEILING(D1317/G1317,1)</f>
        <v/>
      </c>
      <c r="I1317" s="0">
        <f>H1317*F1317</f>
        <v/>
      </c>
    </row>
    <row r="1318">
      <c r="A1318" s="0" t="inlineStr">
        <is>
          <t>'Reference sheet'!N1320</t>
        </is>
      </c>
      <c r="B1318" s="0" t="inlineStr">
        <is>
          <t>Structure Office Center</t>
        </is>
      </c>
      <c r="C1318" s="0" t="inlineStr">
        <is>
          <t>Silicate Glass</t>
        </is>
      </c>
      <c r="D1318" s="0" t="n">
        <v>100</v>
      </c>
      <c r="E1318" s="0">
        <f>VLOOKUP(C1318,'Item Tier Lookup'!$A:$B,2,FALSE)</f>
        <v/>
      </c>
      <c r="F1318" s="0">
        <f>VLOOKUP(E1318,'Tier Params'!$A:$B,2,FALSE)</f>
        <v/>
      </c>
      <c r="G1318" s="0">
        <f>VLOOKUP(E1318,'Tier Params'!$A:$C,3,FALSE)</f>
        <v/>
      </c>
      <c r="H1318" s="0">
        <f>CEILING(D1318/G1318,1)</f>
        <v/>
      </c>
      <c r="I1318" s="0">
        <f>H1318*F1318</f>
        <v/>
      </c>
    </row>
    <row r="1319">
      <c r="A1319" s="0" t="inlineStr">
        <is>
          <t>'Reference sheet'!N1321</t>
        </is>
      </c>
      <c r="B1319" s="0" t="inlineStr">
        <is>
          <t>Structure Office Center</t>
        </is>
      </c>
      <c r="C1319" s="0" t="inlineStr">
        <is>
          <t>Oxidizing Compound</t>
        </is>
      </c>
      <c r="D1319" s="0" t="n">
        <v>800</v>
      </c>
      <c r="E1319" s="0">
        <f>VLOOKUP(C1319,'Item Tier Lookup'!$A:$B,2,FALSE)</f>
        <v/>
      </c>
      <c r="F1319" s="0">
        <f>VLOOKUP(E1319,'Tier Params'!$A:$B,2,FALSE)</f>
        <v/>
      </c>
      <c r="G1319" s="0">
        <f>VLOOKUP(E1319,'Tier Params'!$A:$C,3,FALSE)</f>
        <v/>
      </c>
      <c r="H1319" s="0">
        <f>CEILING(D1319/G1319,1)</f>
        <v/>
      </c>
      <c r="I1319" s="0">
        <f>H1319*F1319</f>
        <v/>
      </c>
    </row>
    <row r="1320">
      <c r="A1320" s="0" t="inlineStr">
        <is>
          <t>'Reference sheet'!N1322</t>
        </is>
      </c>
      <c r="B1320" s="0" t="inlineStr">
        <is>
          <t>Structure Office Center</t>
        </is>
      </c>
      <c r="C1320" s="0" t="inlineStr">
        <is>
          <t>Reactive Gas</t>
        </is>
      </c>
      <c r="D1320" s="0" t="n">
        <v>120000</v>
      </c>
      <c r="E1320" s="0">
        <f>VLOOKUP(C1320,'Item Tier Lookup'!$A:$B,2,FALSE)</f>
        <v/>
      </c>
      <c r="F1320" s="0">
        <f>VLOOKUP(E1320,'Tier Params'!$A:$B,2,FALSE)</f>
        <v/>
      </c>
      <c r="G1320" s="0">
        <f>VLOOKUP(E1320,'Tier Params'!$A:$C,3,FALSE)</f>
        <v/>
      </c>
      <c r="H1320" s="0">
        <f>CEILING(D1320/G1320,1)</f>
        <v/>
      </c>
      <c r="I1320" s="0">
        <f>H1320*F1320</f>
        <v/>
      </c>
    </row>
    <row r="1321">
      <c r="A1321" s="0" t="inlineStr">
        <is>
          <t>'Reference sheet'!N1323</t>
        </is>
      </c>
      <c r="B1321" s="0" t="inlineStr">
        <is>
          <t>Structure Office Center</t>
        </is>
      </c>
      <c r="C1321" s="0" t="inlineStr">
        <is>
          <t>Silicon</t>
        </is>
      </c>
      <c r="D1321" s="0" t="n">
        <v>800</v>
      </c>
      <c r="E1321" s="0">
        <f>VLOOKUP(C1321,'Item Tier Lookup'!$A:$B,2,FALSE)</f>
        <v/>
      </c>
      <c r="F1321" s="0">
        <f>VLOOKUP(E1321,'Tier Params'!$A:$B,2,FALSE)</f>
        <v/>
      </c>
      <c r="G1321" s="0">
        <f>VLOOKUP(E1321,'Tier Params'!$A:$C,3,FALSE)</f>
        <v/>
      </c>
      <c r="H1321" s="0">
        <f>CEILING(D1321/G1321,1)</f>
        <v/>
      </c>
      <c r="I1321" s="0">
        <f>H1321*F1321</f>
        <v/>
      </c>
    </row>
    <row r="1322">
      <c r="A1322" s="0" t="inlineStr">
        <is>
          <t>'Reference sheet'!N1324</t>
        </is>
      </c>
      <c r="B1322" s="0" t="inlineStr">
        <is>
          <t>Structure Office Center</t>
        </is>
      </c>
      <c r="C1322" s="0" t="inlineStr">
        <is>
          <t>Felsic Magma</t>
        </is>
      </c>
      <c r="D1322" s="0" t="n">
        <v>120000</v>
      </c>
      <c r="E1322" s="0">
        <f>VLOOKUP(C1322,'Item Tier Lookup'!$A:$B,2,FALSE)</f>
        <v/>
      </c>
      <c r="F1322" s="0">
        <f>VLOOKUP(E1322,'Tier Params'!$A:$B,2,FALSE)</f>
        <v/>
      </c>
      <c r="G1322" s="0">
        <f>VLOOKUP(E1322,'Tier Params'!$A:$C,3,FALSE)</f>
        <v/>
      </c>
      <c r="H1322" s="0">
        <f>CEILING(D1322/G1322,1)</f>
        <v/>
      </c>
      <c r="I1322" s="0">
        <f>H1322*F1322</f>
        <v/>
      </c>
    </row>
    <row r="1323">
      <c r="A1323" s="0" t="inlineStr">
        <is>
          <t>'Reference sheet'!N1325</t>
        </is>
      </c>
      <c r="B1323" s="0" t="inlineStr">
        <is>
          <t>Structure Office Center</t>
        </is>
      </c>
      <c r="C1323" s="0" t="inlineStr">
        <is>
          <t>High-Tech Transmitters</t>
        </is>
      </c>
      <c r="D1323" s="0" t="n">
        <v>30</v>
      </c>
      <c r="E1323" s="0">
        <f>VLOOKUP(C1323,'Item Tier Lookup'!$A:$B,2,FALSE)</f>
        <v/>
      </c>
      <c r="F1323" s="0">
        <f>VLOOKUP(E1323,'Tier Params'!$A:$B,2,FALSE)</f>
        <v/>
      </c>
      <c r="G1323" s="0">
        <f>VLOOKUP(E1323,'Tier Params'!$A:$C,3,FALSE)</f>
        <v/>
      </c>
      <c r="H1323" s="0">
        <f>CEILING(D1323/G1323,1)</f>
        <v/>
      </c>
      <c r="I1323" s="0">
        <f>H1323*F1323</f>
        <v/>
      </c>
    </row>
    <row r="1324">
      <c r="A1324" s="0" t="inlineStr">
        <is>
          <t>'Reference sheet'!N1326</t>
        </is>
      </c>
      <c r="B1324" s="0" t="inlineStr">
        <is>
          <t>Structure Office Center</t>
        </is>
      </c>
      <c r="C1324" s="0" t="inlineStr">
        <is>
          <t>Transmitter</t>
        </is>
      </c>
      <c r="D1324" s="0" t="n">
        <v>100</v>
      </c>
      <c r="E1324" s="0">
        <f>VLOOKUP(C1324,'Item Tier Lookup'!$A:$B,2,FALSE)</f>
        <v/>
      </c>
      <c r="F1324" s="0">
        <f>VLOOKUP(E1324,'Tier Params'!$A:$B,2,FALSE)</f>
        <v/>
      </c>
      <c r="G1324" s="0">
        <f>VLOOKUP(E1324,'Tier Params'!$A:$C,3,FALSE)</f>
        <v/>
      </c>
      <c r="H1324" s="0">
        <f>CEILING(D1324/G1324,1)</f>
        <v/>
      </c>
      <c r="I1324" s="0">
        <f>H1324*F1324</f>
        <v/>
      </c>
    </row>
    <row r="1325">
      <c r="A1325" s="0" t="inlineStr">
        <is>
          <t>'Reference sheet'!N1327</t>
        </is>
      </c>
      <c r="B1325" s="0" t="inlineStr">
        <is>
          <t>Structure Office Center</t>
        </is>
      </c>
      <c r="C1325" s="0" t="inlineStr">
        <is>
          <t>Chiral Structures</t>
        </is>
      </c>
      <c r="D1325" s="0" t="n">
        <v>800</v>
      </c>
      <c r="E1325" s="0">
        <f>VLOOKUP(C1325,'Item Tier Lookup'!$A:$B,2,FALSE)</f>
        <v/>
      </c>
      <c r="F1325" s="0">
        <f>VLOOKUP(E1325,'Tier Params'!$A:$B,2,FALSE)</f>
        <v/>
      </c>
      <c r="G1325" s="0">
        <f>VLOOKUP(E1325,'Tier Params'!$A:$C,3,FALSE)</f>
        <v/>
      </c>
      <c r="H1325" s="0">
        <f>CEILING(D1325/G1325,1)</f>
        <v/>
      </c>
      <c r="I1325" s="0">
        <f>H1325*F1325</f>
        <v/>
      </c>
    </row>
    <row r="1326">
      <c r="A1326" s="0" t="inlineStr">
        <is>
          <t>'Reference sheet'!N1328</t>
        </is>
      </c>
      <c r="B1326" s="0" t="inlineStr">
        <is>
          <t>Structure Office Center</t>
        </is>
      </c>
      <c r="C1326" s="0" t="inlineStr">
        <is>
          <t>Non-CS Crystals</t>
        </is>
      </c>
      <c r="D1326" s="0" t="n">
        <v>120000</v>
      </c>
      <c r="E1326" s="0">
        <f>VLOOKUP(C1326,'Item Tier Lookup'!$A:$B,2,FALSE)</f>
        <v/>
      </c>
      <c r="F1326" s="0">
        <f>VLOOKUP(E1326,'Tier Params'!$A:$B,2,FALSE)</f>
        <v/>
      </c>
      <c r="G1326" s="0">
        <f>VLOOKUP(E1326,'Tier Params'!$A:$C,3,FALSE)</f>
        <v/>
      </c>
      <c r="H1326" s="0">
        <f>CEILING(D1326/G1326,1)</f>
        <v/>
      </c>
      <c r="I1326" s="0">
        <f>H1326*F1326</f>
        <v/>
      </c>
    </row>
    <row r="1327">
      <c r="A1327" s="0" t="inlineStr">
        <is>
          <t>'Reference sheet'!N1329</t>
        </is>
      </c>
      <c r="B1327" s="0" t="inlineStr">
        <is>
          <t>Structure Office Center</t>
        </is>
      </c>
      <c r="C1327" s="0" t="inlineStr">
        <is>
          <t>Plasmoids</t>
        </is>
      </c>
      <c r="D1327" s="0" t="n">
        <v>800</v>
      </c>
      <c r="E1327" s="0">
        <f>VLOOKUP(C1327,'Item Tier Lookup'!$A:$B,2,FALSE)</f>
        <v/>
      </c>
      <c r="F1327" s="0">
        <f>VLOOKUP(E1327,'Tier Params'!$A:$B,2,FALSE)</f>
        <v/>
      </c>
      <c r="G1327" s="0">
        <f>VLOOKUP(E1327,'Tier Params'!$A:$C,3,FALSE)</f>
        <v/>
      </c>
      <c r="H1327" s="0">
        <f>CEILING(D1327/G1327,1)</f>
        <v/>
      </c>
      <c r="I1327" s="0">
        <f>H1327*F1327</f>
        <v/>
      </c>
    </row>
    <row r="1328">
      <c r="A1328" s="0" t="inlineStr">
        <is>
          <t>'Reference sheet'!N1330</t>
        </is>
      </c>
      <c r="B1328" s="0" t="inlineStr">
        <is>
          <t>Structure Office Center</t>
        </is>
      </c>
      <c r="C1328" s="0" t="inlineStr">
        <is>
          <t>Suspended Plasma</t>
        </is>
      </c>
      <c r="D1328" s="0" t="n">
        <v>120000</v>
      </c>
      <c r="E1328" s="0">
        <f>VLOOKUP(C1328,'Item Tier Lookup'!$A:$B,2,FALSE)</f>
        <v/>
      </c>
      <c r="F1328" s="0">
        <f>VLOOKUP(E1328,'Tier Params'!$A:$B,2,FALSE)</f>
        <v/>
      </c>
      <c r="G1328" s="0">
        <f>VLOOKUP(E1328,'Tier Params'!$A:$C,3,FALSE)</f>
        <v/>
      </c>
      <c r="H1328" s="0">
        <f>CEILING(D1328/G1328,1)</f>
        <v/>
      </c>
      <c r="I1328" s="0">
        <f>H1328*F1328</f>
        <v/>
      </c>
    </row>
    <row r="1329">
      <c r="A1329" s="0" t="inlineStr">
        <is>
          <t>'Reference sheet'!N1331</t>
        </is>
      </c>
      <c r="B1329" s="0" t="inlineStr">
        <is>
          <t>Structure Office Center</t>
        </is>
      </c>
      <c r="C1329" s="0" t="inlineStr">
        <is>
          <t>Polyaramids</t>
        </is>
      </c>
      <c r="D1329" s="0" t="n">
        <v>100</v>
      </c>
      <c r="E1329" s="0">
        <f>VLOOKUP(C1329,'Item Tier Lookup'!$A:$B,2,FALSE)</f>
        <v/>
      </c>
      <c r="F1329" s="0">
        <f>VLOOKUP(E1329,'Tier Params'!$A:$B,2,FALSE)</f>
        <v/>
      </c>
      <c r="G1329" s="0">
        <f>VLOOKUP(E1329,'Tier Params'!$A:$C,3,FALSE)</f>
        <v/>
      </c>
      <c r="H1329" s="0">
        <f>CEILING(D1329/G1329,1)</f>
        <v/>
      </c>
      <c r="I1329" s="0">
        <f>H1329*F1329</f>
        <v/>
      </c>
    </row>
    <row r="1330">
      <c r="A1330" s="0" t="inlineStr">
        <is>
          <t>'Reference sheet'!N1332</t>
        </is>
      </c>
      <c r="B1330" s="0" t="inlineStr">
        <is>
          <t>Structure Office Center</t>
        </is>
      </c>
      <c r="C1330" s="0" t="inlineStr">
        <is>
          <t>Oxidizing Compound</t>
        </is>
      </c>
      <c r="D1330" s="0" t="n">
        <v>800</v>
      </c>
      <c r="E1330" s="0">
        <f>VLOOKUP(C1330,'Item Tier Lookup'!$A:$B,2,FALSE)</f>
        <v/>
      </c>
      <c r="F1330" s="0">
        <f>VLOOKUP(E1330,'Tier Params'!$A:$B,2,FALSE)</f>
        <v/>
      </c>
      <c r="G1330" s="0">
        <f>VLOOKUP(E1330,'Tier Params'!$A:$C,3,FALSE)</f>
        <v/>
      </c>
      <c r="H1330" s="0">
        <f>CEILING(D1330/G1330,1)</f>
        <v/>
      </c>
      <c r="I1330" s="0">
        <f>H1330*F1330</f>
        <v/>
      </c>
    </row>
    <row r="1331">
      <c r="A1331" s="0" t="inlineStr">
        <is>
          <t>'Reference sheet'!N1333</t>
        </is>
      </c>
      <c r="B1331" s="0" t="inlineStr">
        <is>
          <t>Structure Office Center</t>
        </is>
      </c>
      <c r="C1331" s="0" t="inlineStr">
        <is>
          <t>Reactive Gas</t>
        </is>
      </c>
      <c r="D1331" s="0" t="n">
        <v>120000</v>
      </c>
      <c r="E1331" s="0">
        <f>VLOOKUP(C1331,'Item Tier Lookup'!$A:$B,2,FALSE)</f>
        <v/>
      </c>
      <c r="F1331" s="0">
        <f>VLOOKUP(E1331,'Tier Params'!$A:$B,2,FALSE)</f>
        <v/>
      </c>
      <c r="G1331" s="0">
        <f>VLOOKUP(E1331,'Tier Params'!$A:$C,3,FALSE)</f>
        <v/>
      </c>
      <c r="H1331" s="0">
        <f>CEILING(D1331/G1331,1)</f>
        <v/>
      </c>
      <c r="I1331" s="0">
        <f>H1331*F1331</f>
        <v/>
      </c>
    </row>
    <row r="1332">
      <c r="A1332" s="0" t="inlineStr">
        <is>
          <t>'Reference sheet'!N1334</t>
        </is>
      </c>
      <c r="B1332" s="0" t="inlineStr">
        <is>
          <t>Structure Office Center</t>
        </is>
      </c>
      <c r="C1332" s="0" t="inlineStr">
        <is>
          <t>Industrial Fibers</t>
        </is>
      </c>
      <c r="D1332" s="0" t="n">
        <v>800</v>
      </c>
      <c r="E1332" s="0">
        <f>VLOOKUP(C1332,'Item Tier Lookup'!$A:$B,2,FALSE)</f>
        <v/>
      </c>
      <c r="F1332" s="0">
        <f>VLOOKUP(E1332,'Tier Params'!$A:$B,2,FALSE)</f>
        <v/>
      </c>
      <c r="G1332" s="0">
        <f>VLOOKUP(E1332,'Tier Params'!$A:$C,3,FALSE)</f>
        <v/>
      </c>
      <c r="H1332" s="0">
        <f>CEILING(D1332/G1332,1)</f>
        <v/>
      </c>
      <c r="I1332" s="0">
        <f>H1332*F1332</f>
        <v/>
      </c>
    </row>
    <row r="1333">
      <c r="A1333" s="0" t="inlineStr">
        <is>
          <t>'Reference sheet'!N1335</t>
        </is>
      </c>
      <c r="B1333" s="0" t="inlineStr">
        <is>
          <t>Structure Office Center</t>
        </is>
      </c>
      <c r="C1333" s="0" t="inlineStr">
        <is>
          <t>Autotrophs</t>
        </is>
      </c>
      <c r="D1333" s="0" t="n">
        <v>120000</v>
      </c>
      <c r="E1333" s="0">
        <f>VLOOKUP(C1333,'Item Tier Lookup'!$A:$B,2,FALSE)</f>
        <v/>
      </c>
      <c r="F1333" s="0">
        <f>VLOOKUP(E1333,'Tier Params'!$A:$B,2,FALSE)</f>
        <v/>
      </c>
      <c r="G1333" s="0">
        <f>VLOOKUP(E1333,'Tier Params'!$A:$C,3,FALSE)</f>
        <v/>
      </c>
      <c r="H1333" s="0">
        <f>CEILING(D1333/G1333,1)</f>
        <v/>
      </c>
      <c r="I1333" s="0">
        <f>H1333*F1333</f>
        <v/>
      </c>
    </row>
    <row r="1334">
      <c r="A1334" s="0" t="inlineStr">
        <is>
          <t>'Reference sheet'!N1336</t>
        </is>
      </c>
      <c r="B1334" s="0" t="inlineStr">
        <is>
          <t>Structure Office Center</t>
        </is>
      </c>
      <c r="C1334" s="0" t="inlineStr">
        <is>
          <t>Integrity Response Drones</t>
        </is>
      </c>
      <c r="D1334" s="0" t="n">
        <v>3</v>
      </c>
      <c r="E1334" s="0">
        <f>VLOOKUP(C1334,'Item Tier Lookup'!$A:$B,2,FALSE)</f>
        <v/>
      </c>
      <c r="F1334" s="0">
        <f>VLOOKUP(E1334,'Tier Params'!$A:$B,2,FALSE)</f>
        <v/>
      </c>
      <c r="G1334" s="0">
        <f>VLOOKUP(E1334,'Tier Params'!$A:$C,3,FALSE)</f>
        <v/>
      </c>
      <c r="H1334" s="0">
        <f>CEILING(D1334/G1334,1)</f>
        <v/>
      </c>
      <c r="I1334" s="0">
        <f>H1334*F1334</f>
        <v/>
      </c>
    </row>
    <row r="1335">
      <c r="A1335" s="0" t="inlineStr">
        <is>
          <t>'Reference sheet'!N1337</t>
        </is>
      </c>
      <c r="B1335" s="0" t="inlineStr">
        <is>
          <t>Structure Office Center</t>
        </is>
      </c>
      <c r="C1335" s="0" t="inlineStr">
        <is>
          <t>Gel-Matrix Biopaste</t>
        </is>
      </c>
      <c r="D1335" s="0" t="n">
        <v>18</v>
      </c>
      <c r="E1335" s="0">
        <f>VLOOKUP(C1335,'Item Tier Lookup'!$A:$B,2,FALSE)</f>
        <v/>
      </c>
      <c r="F1335" s="0">
        <f>VLOOKUP(E1335,'Tier Params'!$A:$B,2,FALSE)</f>
        <v/>
      </c>
      <c r="G1335" s="0">
        <f>VLOOKUP(E1335,'Tier Params'!$A:$C,3,FALSE)</f>
        <v/>
      </c>
      <c r="H1335" s="0">
        <f>CEILING(D1335/G1335,1)</f>
        <v/>
      </c>
      <c r="I1335" s="0">
        <f>H1335*F1335</f>
        <v/>
      </c>
    </row>
    <row r="1336">
      <c r="A1336" s="0" t="inlineStr">
        <is>
          <t>'Reference sheet'!N1338</t>
        </is>
      </c>
      <c r="B1336" s="0" t="inlineStr">
        <is>
          <t>Structure Office Center</t>
        </is>
      </c>
      <c r="C1336" s="0" t="inlineStr">
        <is>
          <t>Biocells</t>
        </is>
      </c>
      <c r="D1336" s="0" t="n">
        <v>60</v>
      </c>
      <c r="E1336" s="0">
        <f>VLOOKUP(C1336,'Item Tier Lookup'!$A:$B,2,FALSE)</f>
        <v/>
      </c>
      <c r="F1336" s="0">
        <f>VLOOKUP(E1336,'Tier Params'!$A:$B,2,FALSE)</f>
        <v/>
      </c>
      <c r="G1336" s="0">
        <f>VLOOKUP(E1336,'Tier Params'!$A:$C,3,FALSE)</f>
        <v/>
      </c>
      <c r="H1336" s="0">
        <f>CEILING(D1336/G1336,1)</f>
        <v/>
      </c>
      <c r="I1336" s="0">
        <f>H1336*F1336</f>
        <v/>
      </c>
    </row>
    <row r="1337">
      <c r="A1337" s="0" t="inlineStr">
        <is>
          <t>'Reference sheet'!N1339</t>
        </is>
      </c>
      <c r="B1337" s="0" t="inlineStr">
        <is>
          <t>Structure Office Center</t>
        </is>
      </c>
      <c r="C1337" s="0" t="inlineStr">
        <is>
          <t>Biofuels</t>
        </is>
      </c>
      <c r="D1337" s="0" t="n">
        <v>480</v>
      </c>
      <c r="E1337" s="0">
        <f>VLOOKUP(C1337,'Item Tier Lookup'!$A:$B,2,FALSE)</f>
        <v/>
      </c>
      <c r="F1337" s="0">
        <f>VLOOKUP(E1337,'Tier Params'!$A:$B,2,FALSE)</f>
        <v/>
      </c>
      <c r="G1337" s="0">
        <f>VLOOKUP(E1337,'Tier Params'!$A:$C,3,FALSE)</f>
        <v/>
      </c>
      <c r="H1337" s="0">
        <f>CEILING(D1337/G1337,1)</f>
        <v/>
      </c>
      <c r="I1337" s="0">
        <f>H1337*F1337</f>
        <v/>
      </c>
    </row>
    <row r="1338">
      <c r="A1338" s="0" t="inlineStr">
        <is>
          <t>'Reference sheet'!N1340</t>
        </is>
      </c>
      <c r="B1338" s="0" t="inlineStr">
        <is>
          <t>Structure Office Center</t>
        </is>
      </c>
      <c r="C1338" s="0" t="inlineStr">
        <is>
          <t>Carbon Compounds</t>
        </is>
      </c>
      <c r="D1338" s="0" t="n">
        <v>72000</v>
      </c>
      <c r="E1338" s="0">
        <f>VLOOKUP(C1338,'Item Tier Lookup'!$A:$B,2,FALSE)</f>
        <v/>
      </c>
      <c r="F1338" s="0">
        <f>VLOOKUP(E1338,'Tier Params'!$A:$B,2,FALSE)</f>
        <v/>
      </c>
      <c r="G1338" s="0">
        <f>VLOOKUP(E1338,'Tier Params'!$A:$C,3,FALSE)</f>
        <v/>
      </c>
      <c r="H1338" s="0">
        <f>CEILING(D1338/G1338,1)</f>
        <v/>
      </c>
      <c r="I1338" s="0">
        <f>H1338*F1338</f>
        <v/>
      </c>
    </row>
    <row r="1339">
      <c r="A1339" s="0" t="inlineStr">
        <is>
          <t>'Reference sheet'!N1341</t>
        </is>
      </c>
      <c r="B1339" s="0" t="inlineStr">
        <is>
          <t>Structure Office Center</t>
        </is>
      </c>
      <c r="C1339" s="0" t="inlineStr">
        <is>
          <t>Precious Metals</t>
        </is>
      </c>
      <c r="D1339" s="0" t="n">
        <v>480</v>
      </c>
      <c r="E1339" s="0">
        <f>VLOOKUP(C1339,'Item Tier Lookup'!$A:$B,2,FALSE)</f>
        <v/>
      </c>
      <c r="F1339" s="0">
        <f>VLOOKUP(E1339,'Tier Params'!$A:$B,2,FALSE)</f>
        <v/>
      </c>
      <c r="G1339" s="0">
        <f>VLOOKUP(E1339,'Tier Params'!$A:$C,3,FALSE)</f>
        <v/>
      </c>
      <c r="H1339" s="0">
        <f>CEILING(D1339/G1339,1)</f>
        <v/>
      </c>
      <c r="I1339" s="0">
        <f>H1339*F1339</f>
        <v/>
      </c>
    </row>
    <row r="1340">
      <c r="A1340" s="0" t="inlineStr">
        <is>
          <t>'Reference sheet'!N1342</t>
        </is>
      </c>
      <c r="B1340" s="0" t="inlineStr">
        <is>
          <t>Structure Office Center</t>
        </is>
      </c>
      <c r="C1340" s="0" t="inlineStr">
        <is>
          <t>Noble Metals</t>
        </is>
      </c>
      <c r="D1340" s="0" t="n">
        <v>72000</v>
      </c>
      <c r="E1340" s="0">
        <f>VLOOKUP(C1340,'Item Tier Lookup'!$A:$B,2,FALSE)</f>
        <v/>
      </c>
      <c r="F1340" s="0">
        <f>VLOOKUP(E1340,'Tier Params'!$A:$B,2,FALSE)</f>
        <v/>
      </c>
      <c r="G1340" s="0">
        <f>VLOOKUP(E1340,'Tier Params'!$A:$C,3,FALSE)</f>
        <v/>
      </c>
      <c r="H1340" s="0">
        <f>CEILING(D1340/G1340,1)</f>
        <v/>
      </c>
      <c r="I1340" s="0">
        <f>H1340*F1340</f>
        <v/>
      </c>
    </row>
    <row r="1341">
      <c r="A1341" s="0" t="inlineStr">
        <is>
          <t>'Reference sheet'!N1343</t>
        </is>
      </c>
      <c r="B1341" s="0" t="inlineStr">
        <is>
          <t>Structure Office Center</t>
        </is>
      </c>
      <c r="C1341" s="0" t="inlineStr">
        <is>
          <t>Oxides</t>
        </is>
      </c>
      <c r="D1341" s="0" t="n">
        <v>60</v>
      </c>
      <c r="E1341" s="0">
        <f>VLOOKUP(C1341,'Item Tier Lookup'!$A:$B,2,FALSE)</f>
        <v/>
      </c>
      <c r="F1341" s="0">
        <f>VLOOKUP(E1341,'Tier Params'!$A:$B,2,FALSE)</f>
        <v/>
      </c>
      <c r="G1341" s="0">
        <f>VLOOKUP(E1341,'Tier Params'!$A:$C,3,FALSE)</f>
        <v/>
      </c>
      <c r="H1341" s="0">
        <f>CEILING(D1341/G1341,1)</f>
        <v/>
      </c>
      <c r="I1341" s="0">
        <f>H1341*F1341</f>
        <v/>
      </c>
    </row>
    <row r="1342">
      <c r="A1342" s="0" t="inlineStr">
        <is>
          <t>'Reference sheet'!N1344</t>
        </is>
      </c>
      <c r="B1342" s="0" t="inlineStr">
        <is>
          <t>Structure Office Center</t>
        </is>
      </c>
      <c r="C1342" s="0" t="inlineStr">
        <is>
          <t>Oxidizing Compound</t>
        </is>
      </c>
      <c r="D1342" s="0" t="n">
        <v>480</v>
      </c>
      <c r="E1342" s="0">
        <f>VLOOKUP(C1342,'Item Tier Lookup'!$A:$B,2,FALSE)</f>
        <v/>
      </c>
      <c r="F1342" s="0">
        <f>VLOOKUP(E1342,'Tier Params'!$A:$B,2,FALSE)</f>
        <v/>
      </c>
      <c r="G1342" s="0">
        <f>VLOOKUP(E1342,'Tier Params'!$A:$C,3,FALSE)</f>
        <v/>
      </c>
      <c r="H1342" s="0">
        <f>CEILING(D1342/G1342,1)</f>
        <v/>
      </c>
      <c r="I1342" s="0">
        <f>H1342*F1342</f>
        <v/>
      </c>
    </row>
    <row r="1343">
      <c r="A1343" s="0" t="inlineStr">
        <is>
          <t>'Reference sheet'!N1345</t>
        </is>
      </c>
      <c r="B1343" s="0" t="inlineStr">
        <is>
          <t>Structure Office Center</t>
        </is>
      </c>
      <c r="C1343" s="0" t="inlineStr">
        <is>
          <t>Reactive Gas</t>
        </is>
      </c>
      <c r="D1343" s="0" t="n">
        <v>72000</v>
      </c>
      <c r="E1343" s="0">
        <f>VLOOKUP(C1343,'Item Tier Lookup'!$A:$B,2,FALSE)</f>
        <v/>
      </c>
      <c r="F1343" s="0">
        <f>VLOOKUP(E1343,'Tier Params'!$A:$B,2,FALSE)</f>
        <v/>
      </c>
      <c r="G1343" s="0">
        <f>VLOOKUP(E1343,'Tier Params'!$A:$C,3,FALSE)</f>
        <v/>
      </c>
      <c r="H1343" s="0">
        <f>CEILING(D1343/G1343,1)</f>
        <v/>
      </c>
      <c r="I1343" s="0">
        <f>H1343*F1343</f>
        <v/>
      </c>
    </row>
    <row r="1344">
      <c r="A1344" s="0" t="inlineStr">
        <is>
          <t>'Reference sheet'!N1346</t>
        </is>
      </c>
      <c r="B1344" s="0" t="inlineStr">
        <is>
          <t>Structure Office Center</t>
        </is>
      </c>
      <c r="C1344" s="0" t="inlineStr">
        <is>
          <t>Oxygen</t>
        </is>
      </c>
      <c r="D1344" s="0" t="n">
        <v>480</v>
      </c>
      <c r="E1344" s="0">
        <f>VLOOKUP(C1344,'Item Tier Lookup'!$A:$B,2,FALSE)</f>
        <v/>
      </c>
      <c r="F1344" s="0">
        <f>VLOOKUP(E1344,'Tier Params'!$A:$B,2,FALSE)</f>
        <v/>
      </c>
      <c r="G1344" s="0">
        <f>VLOOKUP(E1344,'Tier Params'!$A:$C,3,FALSE)</f>
        <v/>
      </c>
      <c r="H1344" s="0">
        <f>CEILING(D1344/G1344,1)</f>
        <v/>
      </c>
      <c r="I1344" s="0">
        <f>H1344*F1344</f>
        <v/>
      </c>
    </row>
    <row r="1345">
      <c r="A1345" s="0" t="inlineStr">
        <is>
          <t>'Reference sheet'!N1347</t>
        </is>
      </c>
      <c r="B1345" s="0" t="inlineStr">
        <is>
          <t>Structure Office Center</t>
        </is>
      </c>
      <c r="C1345" s="0" t="inlineStr">
        <is>
          <t>Noble Gas</t>
        </is>
      </c>
      <c r="D1345" s="0" t="n">
        <v>72000</v>
      </c>
      <c r="E1345" s="0">
        <f>VLOOKUP(C1345,'Item Tier Lookup'!$A:$B,2,FALSE)</f>
        <v/>
      </c>
      <c r="F1345" s="0">
        <f>VLOOKUP(E1345,'Tier Params'!$A:$B,2,FALSE)</f>
        <v/>
      </c>
      <c r="G1345" s="0">
        <f>VLOOKUP(E1345,'Tier Params'!$A:$C,3,FALSE)</f>
        <v/>
      </c>
      <c r="H1345" s="0">
        <f>CEILING(D1345/G1345,1)</f>
        <v/>
      </c>
      <c r="I1345" s="0">
        <f>H1345*F1345</f>
        <v/>
      </c>
    </row>
    <row r="1346">
      <c r="A1346" s="0" t="inlineStr">
        <is>
          <t>'Reference sheet'!N1348</t>
        </is>
      </c>
      <c r="B1346" s="0" t="inlineStr">
        <is>
          <t>Structure Office Center</t>
        </is>
      </c>
      <c r="C1346" s="0" t="inlineStr">
        <is>
          <t>Superconductors</t>
        </is>
      </c>
      <c r="D1346" s="0" t="n">
        <v>60</v>
      </c>
      <c r="E1346" s="0">
        <f>VLOOKUP(C1346,'Item Tier Lookup'!$A:$B,2,FALSE)</f>
        <v/>
      </c>
      <c r="F1346" s="0">
        <f>VLOOKUP(E1346,'Tier Params'!$A:$B,2,FALSE)</f>
        <v/>
      </c>
      <c r="G1346" s="0">
        <f>VLOOKUP(E1346,'Tier Params'!$A:$C,3,FALSE)</f>
        <v/>
      </c>
      <c r="H1346" s="0">
        <f>CEILING(D1346/G1346,1)</f>
        <v/>
      </c>
      <c r="I1346" s="0">
        <f>H1346*F1346</f>
        <v/>
      </c>
    </row>
    <row r="1347">
      <c r="A1347" s="0" t="inlineStr">
        <is>
          <t>'Reference sheet'!N1349</t>
        </is>
      </c>
      <c r="B1347" s="0" t="inlineStr">
        <is>
          <t>Structure Office Center</t>
        </is>
      </c>
      <c r="C1347" s="0" t="inlineStr">
        <is>
          <t>Plasmoids</t>
        </is>
      </c>
      <c r="D1347" s="0" t="n">
        <v>480</v>
      </c>
      <c r="E1347" s="0">
        <f>VLOOKUP(C1347,'Item Tier Lookup'!$A:$B,2,FALSE)</f>
        <v/>
      </c>
      <c r="F1347" s="0">
        <f>VLOOKUP(E1347,'Tier Params'!$A:$B,2,FALSE)</f>
        <v/>
      </c>
      <c r="G1347" s="0">
        <f>VLOOKUP(E1347,'Tier Params'!$A:$C,3,FALSE)</f>
        <v/>
      </c>
      <c r="H1347" s="0">
        <f>CEILING(D1347/G1347,1)</f>
        <v/>
      </c>
      <c r="I1347" s="0">
        <f>H1347*F1347</f>
        <v/>
      </c>
    </row>
    <row r="1348">
      <c r="A1348" s="0" t="inlineStr">
        <is>
          <t>'Reference sheet'!N1350</t>
        </is>
      </c>
      <c r="B1348" s="0" t="inlineStr">
        <is>
          <t>Structure Office Center</t>
        </is>
      </c>
      <c r="C1348" s="0" t="inlineStr">
        <is>
          <t>Suspended Plasma</t>
        </is>
      </c>
      <c r="D1348" s="0" t="n">
        <v>72000</v>
      </c>
      <c r="E1348" s="0">
        <f>VLOOKUP(C1348,'Item Tier Lookup'!$A:$B,2,FALSE)</f>
        <v/>
      </c>
      <c r="F1348" s="0">
        <f>VLOOKUP(E1348,'Tier Params'!$A:$B,2,FALSE)</f>
        <v/>
      </c>
      <c r="G1348" s="0">
        <f>VLOOKUP(E1348,'Tier Params'!$A:$C,3,FALSE)</f>
        <v/>
      </c>
      <c r="H1348" s="0">
        <f>CEILING(D1348/G1348,1)</f>
        <v/>
      </c>
      <c r="I1348" s="0">
        <f>H1348*F1348</f>
        <v/>
      </c>
    </row>
    <row r="1349">
      <c r="A1349" s="0" t="inlineStr">
        <is>
          <t>'Reference sheet'!N1351</t>
        </is>
      </c>
      <c r="B1349" s="0" t="inlineStr">
        <is>
          <t>Structure Office Center</t>
        </is>
      </c>
      <c r="C1349" s="0" t="inlineStr">
        <is>
          <t>Water</t>
        </is>
      </c>
      <c r="D1349" s="0" t="n">
        <v>480</v>
      </c>
      <c r="E1349" s="0">
        <f>VLOOKUP(C1349,'Item Tier Lookup'!$A:$B,2,FALSE)</f>
        <v/>
      </c>
      <c r="F1349" s="0">
        <f>VLOOKUP(E1349,'Tier Params'!$A:$B,2,FALSE)</f>
        <v/>
      </c>
      <c r="G1349" s="0">
        <f>VLOOKUP(E1349,'Tier Params'!$A:$C,3,FALSE)</f>
        <v/>
      </c>
      <c r="H1349" s="0">
        <f>CEILING(D1349/G1349,1)</f>
        <v/>
      </c>
      <c r="I1349" s="0">
        <f>H1349*F1349</f>
        <v/>
      </c>
    </row>
    <row r="1350">
      <c r="A1350" s="0" t="inlineStr">
        <is>
          <t>'Reference sheet'!N1352</t>
        </is>
      </c>
      <c r="B1350" s="0" t="inlineStr">
        <is>
          <t>Structure Office Center</t>
        </is>
      </c>
      <c r="C1350" s="0" t="inlineStr">
        <is>
          <t>Aqueous Liquids</t>
        </is>
      </c>
      <c r="D1350" s="0" t="n">
        <v>72000</v>
      </c>
      <c r="E1350" s="0">
        <f>VLOOKUP(C1350,'Item Tier Lookup'!$A:$B,2,FALSE)</f>
        <v/>
      </c>
      <c r="F1350" s="0">
        <f>VLOOKUP(E1350,'Tier Params'!$A:$B,2,FALSE)</f>
        <v/>
      </c>
      <c r="G1350" s="0">
        <f>VLOOKUP(E1350,'Tier Params'!$A:$C,3,FALSE)</f>
        <v/>
      </c>
      <c r="H1350" s="0">
        <f>CEILING(D1350/G1350,1)</f>
        <v/>
      </c>
      <c r="I1350" s="0">
        <f>H1350*F1350</f>
        <v/>
      </c>
    </row>
    <row r="1351">
      <c r="A1351" s="0" t="inlineStr">
        <is>
          <t>'Reference sheet'!N1353</t>
        </is>
      </c>
      <c r="B1351" s="0" t="inlineStr">
        <is>
          <t>Structure Office Center</t>
        </is>
      </c>
      <c r="C1351" s="0" t="inlineStr">
        <is>
          <t>Hazmat Detection Systems</t>
        </is>
      </c>
      <c r="D1351" s="0" t="n">
        <v>18</v>
      </c>
      <c r="E1351" s="0">
        <f>VLOOKUP(C1351,'Item Tier Lookup'!$A:$B,2,FALSE)</f>
        <v/>
      </c>
      <c r="F1351" s="0">
        <f>VLOOKUP(E1351,'Tier Params'!$A:$B,2,FALSE)</f>
        <v/>
      </c>
      <c r="G1351" s="0">
        <f>VLOOKUP(E1351,'Tier Params'!$A:$C,3,FALSE)</f>
        <v/>
      </c>
      <c r="H1351" s="0">
        <f>CEILING(D1351/G1351,1)</f>
        <v/>
      </c>
      <c r="I1351" s="0">
        <f>H1351*F1351</f>
        <v/>
      </c>
    </row>
    <row r="1352">
      <c r="A1352" s="0" t="inlineStr">
        <is>
          <t>'Reference sheet'!N1354</t>
        </is>
      </c>
      <c r="B1352" s="0" t="inlineStr">
        <is>
          <t>Structure Office Center</t>
        </is>
      </c>
      <c r="C1352" s="0" t="inlineStr">
        <is>
          <t>Transmitter</t>
        </is>
      </c>
      <c r="D1352" s="0" t="n">
        <v>60</v>
      </c>
      <c r="E1352" s="0">
        <f>VLOOKUP(C1352,'Item Tier Lookup'!$A:$B,2,FALSE)</f>
        <v/>
      </c>
      <c r="F1352" s="0">
        <f>VLOOKUP(E1352,'Tier Params'!$A:$B,2,FALSE)</f>
        <v/>
      </c>
      <c r="G1352" s="0">
        <f>VLOOKUP(E1352,'Tier Params'!$A:$C,3,FALSE)</f>
        <v/>
      </c>
      <c r="H1352" s="0">
        <f>CEILING(D1352/G1352,1)</f>
        <v/>
      </c>
      <c r="I1352" s="0">
        <f>H1352*F1352</f>
        <v/>
      </c>
    </row>
    <row r="1353">
      <c r="A1353" s="0" t="inlineStr">
        <is>
          <t>'Reference sheet'!N1355</t>
        </is>
      </c>
      <c r="B1353" s="0" t="inlineStr">
        <is>
          <t>Structure Office Center</t>
        </is>
      </c>
      <c r="C1353" s="0" t="inlineStr">
        <is>
          <t>Chiral Structures</t>
        </is>
      </c>
      <c r="D1353" s="0" t="n">
        <v>480</v>
      </c>
      <c r="E1353" s="0">
        <f>VLOOKUP(C1353,'Item Tier Lookup'!$A:$B,2,FALSE)</f>
        <v/>
      </c>
      <c r="F1353" s="0">
        <f>VLOOKUP(E1353,'Tier Params'!$A:$B,2,FALSE)</f>
        <v/>
      </c>
      <c r="G1353" s="0">
        <f>VLOOKUP(E1353,'Tier Params'!$A:$C,3,FALSE)</f>
        <v/>
      </c>
      <c r="H1353" s="0">
        <f>CEILING(D1353/G1353,1)</f>
        <v/>
      </c>
      <c r="I1353" s="0">
        <f>H1353*F1353</f>
        <v/>
      </c>
    </row>
    <row r="1354">
      <c r="A1354" s="0" t="inlineStr">
        <is>
          <t>'Reference sheet'!N1356</t>
        </is>
      </c>
      <c r="B1354" s="0" t="inlineStr">
        <is>
          <t>Structure Office Center</t>
        </is>
      </c>
      <c r="C1354" s="0" t="inlineStr">
        <is>
          <t>Non-CS Crystals</t>
        </is>
      </c>
      <c r="D1354" s="0" t="n">
        <v>72000</v>
      </c>
      <c r="E1354" s="0">
        <f>VLOOKUP(C1354,'Item Tier Lookup'!$A:$B,2,FALSE)</f>
        <v/>
      </c>
      <c r="F1354" s="0">
        <f>VLOOKUP(E1354,'Tier Params'!$A:$B,2,FALSE)</f>
        <v/>
      </c>
      <c r="G1354" s="0">
        <f>VLOOKUP(E1354,'Tier Params'!$A:$C,3,FALSE)</f>
        <v/>
      </c>
      <c r="H1354" s="0">
        <f>CEILING(D1354/G1354,1)</f>
        <v/>
      </c>
      <c r="I1354" s="0">
        <f>H1354*F1354</f>
        <v/>
      </c>
    </row>
    <row r="1355">
      <c r="A1355" s="0" t="inlineStr">
        <is>
          <t>'Reference sheet'!N1357</t>
        </is>
      </c>
      <c r="B1355" s="0" t="inlineStr">
        <is>
          <t>Structure Office Center</t>
        </is>
      </c>
      <c r="C1355" s="0" t="inlineStr">
        <is>
          <t>Plasmoids</t>
        </is>
      </c>
      <c r="D1355" s="0" t="n">
        <v>480</v>
      </c>
      <c r="E1355" s="0">
        <f>VLOOKUP(C1355,'Item Tier Lookup'!$A:$B,2,FALSE)</f>
        <v/>
      </c>
      <c r="F1355" s="0">
        <f>VLOOKUP(E1355,'Tier Params'!$A:$B,2,FALSE)</f>
        <v/>
      </c>
      <c r="G1355" s="0">
        <f>VLOOKUP(E1355,'Tier Params'!$A:$C,3,FALSE)</f>
        <v/>
      </c>
      <c r="H1355" s="0">
        <f>CEILING(D1355/G1355,1)</f>
        <v/>
      </c>
      <c r="I1355" s="0">
        <f>H1355*F1355</f>
        <v/>
      </c>
    </row>
    <row r="1356">
      <c r="A1356" s="0" t="inlineStr">
        <is>
          <t>'Reference sheet'!N1358</t>
        </is>
      </c>
      <c r="B1356" s="0" t="inlineStr">
        <is>
          <t>Structure Office Center</t>
        </is>
      </c>
      <c r="C1356" s="0" t="inlineStr">
        <is>
          <t>Suspended Plasma</t>
        </is>
      </c>
      <c r="D1356" s="0" t="n">
        <v>72000</v>
      </c>
      <c r="E1356" s="0">
        <f>VLOOKUP(C1356,'Item Tier Lookup'!$A:$B,2,FALSE)</f>
        <v/>
      </c>
      <c r="F1356" s="0">
        <f>VLOOKUP(E1356,'Tier Params'!$A:$B,2,FALSE)</f>
        <v/>
      </c>
      <c r="G1356" s="0">
        <f>VLOOKUP(E1356,'Tier Params'!$A:$C,3,FALSE)</f>
        <v/>
      </c>
      <c r="H1356" s="0">
        <f>CEILING(D1356/G1356,1)</f>
        <v/>
      </c>
      <c r="I1356" s="0">
        <f>H1356*F1356</f>
        <v/>
      </c>
    </row>
    <row r="1357">
      <c r="A1357" s="0" t="inlineStr">
        <is>
          <t>'Reference sheet'!N1359</t>
        </is>
      </c>
      <c r="B1357" s="0" t="inlineStr">
        <is>
          <t>Structure Office Center</t>
        </is>
      </c>
      <c r="C1357" s="0" t="inlineStr">
        <is>
          <t>Polytextiles</t>
        </is>
      </c>
      <c r="D1357" s="0" t="n">
        <v>60</v>
      </c>
      <c r="E1357" s="0">
        <f>VLOOKUP(C1357,'Item Tier Lookup'!$A:$B,2,FALSE)</f>
        <v/>
      </c>
      <c r="F1357" s="0">
        <f>VLOOKUP(E1357,'Tier Params'!$A:$B,2,FALSE)</f>
        <v/>
      </c>
      <c r="G1357" s="0">
        <f>VLOOKUP(E1357,'Tier Params'!$A:$C,3,FALSE)</f>
        <v/>
      </c>
      <c r="H1357" s="0">
        <f>CEILING(D1357/G1357,1)</f>
        <v/>
      </c>
      <c r="I1357" s="0">
        <f>H1357*F1357</f>
        <v/>
      </c>
    </row>
    <row r="1358">
      <c r="A1358" s="0" t="inlineStr">
        <is>
          <t>'Reference sheet'!N1360</t>
        </is>
      </c>
      <c r="B1358" s="0" t="inlineStr">
        <is>
          <t>Structure Office Center</t>
        </is>
      </c>
      <c r="C1358" s="0" t="inlineStr">
        <is>
          <t>Biofuels</t>
        </is>
      </c>
      <c r="D1358" s="0" t="n">
        <v>480</v>
      </c>
      <c r="E1358" s="0">
        <f>VLOOKUP(C1358,'Item Tier Lookup'!$A:$B,2,FALSE)</f>
        <v/>
      </c>
      <c r="F1358" s="0">
        <f>VLOOKUP(E1358,'Tier Params'!$A:$B,2,FALSE)</f>
        <v/>
      </c>
      <c r="G1358" s="0">
        <f>VLOOKUP(E1358,'Tier Params'!$A:$C,3,FALSE)</f>
        <v/>
      </c>
      <c r="H1358" s="0">
        <f>CEILING(D1358/G1358,1)</f>
        <v/>
      </c>
      <c r="I1358" s="0">
        <f>H1358*F1358</f>
        <v/>
      </c>
    </row>
    <row r="1359">
      <c r="A1359" s="0" t="inlineStr">
        <is>
          <t>'Reference sheet'!N1361</t>
        </is>
      </c>
      <c r="B1359" s="0" t="inlineStr">
        <is>
          <t>Structure Office Center</t>
        </is>
      </c>
      <c r="C1359" s="0" t="inlineStr">
        <is>
          <t>Carbon Compounds</t>
        </is>
      </c>
      <c r="D1359" s="0" t="n">
        <v>72000</v>
      </c>
      <c r="E1359" s="0">
        <f>VLOOKUP(C1359,'Item Tier Lookup'!$A:$B,2,FALSE)</f>
        <v/>
      </c>
      <c r="F1359" s="0">
        <f>VLOOKUP(E1359,'Tier Params'!$A:$B,2,FALSE)</f>
        <v/>
      </c>
      <c r="G1359" s="0">
        <f>VLOOKUP(E1359,'Tier Params'!$A:$C,3,FALSE)</f>
        <v/>
      </c>
      <c r="H1359" s="0">
        <f>CEILING(D1359/G1359,1)</f>
        <v/>
      </c>
      <c r="I1359" s="0">
        <f>H1359*F1359</f>
        <v/>
      </c>
    </row>
    <row r="1360">
      <c r="A1360" s="0" t="inlineStr">
        <is>
          <t>'Reference sheet'!N1362</t>
        </is>
      </c>
      <c r="B1360" s="0" t="inlineStr">
        <is>
          <t>Structure Office Center</t>
        </is>
      </c>
      <c r="C1360" s="0" t="inlineStr">
        <is>
          <t>Industrial Fibers</t>
        </is>
      </c>
      <c r="D1360" s="0" t="n">
        <v>480</v>
      </c>
      <c r="E1360" s="0">
        <f>VLOOKUP(C1360,'Item Tier Lookup'!$A:$B,2,FALSE)</f>
        <v/>
      </c>
      <c r="F1360" s="0">
        <f>VLOOKUP(E1360,'Tier Params'!$A:$B,2,FALSE)</f>
        <v/>
      </c>
      <c r="G1360" s="0">
        <f>VLOOKUP(E1360,'Tier Params'!$A:$C,3,FALSE)</f>
        <v/>
      </c>
      <c r="H1360" s="0">
        <f>CEILING(D1360/G1360,1)</f>
        <v/>
      </c>
      <c r="I1360" s="0">
        <f>H1360*F1360</f>
        <v/>
      </c>
    </row>
    <row r="1361">
      <c r="A1361" s="0" t="inlineStr">
        <is>
          <t>'Reference sheet'!N1363</t>
        </is>
      </c>
      <c r="B1361" s="0" t="inlineStr">
        <is>
          <t>Structure Office Center</t>
        </is>
      </c>
      <c r="C1361" s="0" t="inlineStr">
        <is>
          <t>Autotrophs</t>
        </is>
      </c>
      <c r="D1361" s="0" t="n">
        <v>72000</v>
      </c>
      <c r="E1361" s="0">
        <f>VLOOKUP(C1361,'Item Tier Lookup'!$A:$B,2,FALSE)</f>
        <v/>
      </c>
      <c r="F1361" s="0">
        <f>VLOOKUP(E1361,'Tier Params'!$A:$B,2,FALSE)</f>
        <v/>
      </c>
      <c r="G1361" s="0">
        <f>VLOOKUP(E1361,'Tier Params'!$A:$C,3,FALSE)</f>
        <v/>
      </c>
      <c r="H1361" s="0">
        <f>CEILING(D1361/G1361,1)</f>
        <v/>
      </c>
      <c r="I1361" s="0">
        <f>H1361*F1361</f>
        <v/>
      </c>
    </row>
    <row r="1362">
      <c r="A1362" s="0" t="inlineStr">
        <is>
          <t>'Reference sheet'!N1364</t>
        </is>
      </c>
      <c r="B1362" s="0" t="inlineStr">
        <is>
          <t>Structure Office Center</t>
        </is>
      </c>
      <c r="C1362" s="0" t="inlineStr">
        <is>
          <t>Viral Agent</t>
        </is>
      </c>
      <c r="D1362" s="0" t="n">
        <v>60</v>
      </c>
      <c r="E1362" s="0">
        <f>VLOOKUP(C1362,'Item Tier Lookup'!$A:$B,2,FALSE)</f>
        <v/>
      </c>
      <c r="F1362" s="0">
        <f>VLOOKUP(E1362,'Tier Params'!$A:$B,2,FALSE)</f>
        <v/>
      </c>
      <c r="G1362" s="0">
        <f>VLOOKUP(E1362,'Tier Params'!$A:$C,3,FALSE)</f>
        <v/>
      </c>
      <c r="H1362" s="0">
        <f>CEILING(D1362/G1362,1)</f>
        <v/>
      </c>
      <c r="I1362" s="0">
        <f>H1362*F1362</f>
        <v/>
      </c>
    </row>
    <row r="1363">
      <c r="A1363" s="0" t="inlineStr">
        <is>
          <t>'Reference sheet'!N1365</t>
        </is>
      </c>
      <c r="B1363" s="0" t="inlineStr">
        <is>
          <t>Structure Office Center</t>
        </is>
      </c>
      <c r="C1363" s="0" t="inlineStr">
        <is>
          <t>Bacteria</t>
        </is>
      </c>
      <c r="D1363" s="0" t="n">
        <v>480</v>
      </c>
      <c r="E1363" s="0">
        <f>VLOOKUP(C1363,'Item Tier Lookup'!$A:$B,2,FALSE)</f>
        <v/>
      </c>
      <c r="F1363" s="0">
        <f>VLOOKUP(E1363,'Tier Params'!$A:$B,2,FALSE)</f>
        <v/>
      </c>
      <c r="G1363" s="0">
        <f>VLOOKUP(E1363,'Tier Params'!$A:$C,3,FALSE)</f>
        <v/>
      </c>
      <c r="H1363" s="0">
        <f>CEILING(D1363/G1363,1)</f>
        <v/>
      </c>
      <c r="I1363" s="0">
        <f>H1363*F1363</f>
        <v/>
      </c>
    </row>
    <row r="1364">
      <c r="A1364" s="0" t="inlineStr">
        <is>
          <t>'Reference sheet'!N1366</t>
        </is>
      </c>
      <c r="B1364" s="0" t="inlineStr">
        <is>
          <t>Structure Office Center</t>
        </is>
      </c>
      <c r="C1364" s="0" t="inlineStr">
        <is>
          <t>Microorganisms</t>
        </is>
      </c>
      <c r="D1364" s="0" t="n">
        <v>72000</v>
      </c>
      <c r="E1364" s="0">
        <f>VLOOKUP(C1364,'Item Tier Lookup'!$A:$B,2,FALSE)</f>
        <v/>
      </c>
      <c r="F1364" s="0">
        <f>VLOOKUP(E1364,'Tier Params'!$A:$B,2,FALSE)</f>
        <v/>
      </c>
      <c r="G1364" s="0">
        <f>VLOOKUP(E1364,'Tier Params'!$A:$C,3,FALSE)</f>
        <v/>
      </c>
      <c r="H1364" s="0">
        <f>CEILING(D1364/G1364,1)</f>
        <v/>
      </c>
      <c r="I1364" s="0">
        <f>H1364*F1364</f>
        <v/>
      </c>
    </row>
    <row r="1365">
      <c r="A1365" s="0" t="inlineStr">
        <is>
          <t>'Reference sheet'!N1367</t>
        </is>
      </c>
      <c r="B1365" s="0" t="inlineStr">
        <is>
          <t>Structure Office Center</t>
        </is>
      </c>
      <c r="C1365" s="0" t="inlineStr">
        <is>
          <t>Biomass</t>
        </is>
      </c>
      <c r="D1365" s="0" t="n">
        <v>480</v>
      </c>
      <c r="E1365" s="0">
        <f>VLOOKUP(C1365,'Item Tier Lookup'!$A:$B,2,FALSE)</f>
        <v/>
      </c>
      <c r="F1365" s="0">
        <f>VLOOKUP(E1365,'Tier Params'!$A:$B,2,FALSE)</f>
        <v/>
      </c>
      <c r="G1365" s="0">
        <f>VLOOKUP(E1365,'Tier Params'!$A:$C,3,FALSE)</f>
        <v/>
      </c>
      <c r="H1365" s="0">
        <f>CEILING(D1365/G1365,1)</f>
        <v/>
      </c>
      <c r="I1365" s="0">
        <f>H1365*F1365</f>
        <v/>
      </c>
    </row>
    <row r="1366">
      <c r="A1366" s="0" t="inlineStr">
        <is>
          <t>'Reference sheet'!N1368</t>
        </is>
      </c>
      <c r="B1366" s="0" t="inlineStr">
        <is>
          <t>Structure Office Center</t>
        </is>
      </c>
      <c r="C1366" s="0" t="inlineStr">
        <is>
          <t>Planktic Colonies</t>
        </is>
      </c>
      <c r="D1366" s="0" t="n">
        <v>72000</v>
      </c>
      <c r="E1366" s="0">
        <f>VLOOKUP(C1366,'Item Tier Lookup'!$A:$B,2,FALSE)</f>
        <v/>
      </c>
      <c r="F1366" s="0">
        <f>VLOOKUP(E1366,'Tier Params'!$A:$B,2,FALSE)</f>
        <v/>
      </c>
      <c r="G1366" s="0">
        <f>VLOOKUP(E1366,'Tier Params'!$A:$C,3,FALSE)</f>
        <v/>
      </c>
      <c r="H1366" s="0">
        <f>CEILING(D1366/G1366,1)</f>
        <v/>
      </c>
      <c r="I1366" s="0">
        <f>H1366*F1366</f>
        <v/>
      </c>
    </row>
    <row r="1367">
      <c r="A1367" s="0" t="inlineStr">
        <is>
          <t>'Reference sheet'!N1369</t>
        </is>
      </c>
      <c r="B1367" s="0" t="inlineStr">
        <is>
          <t>Structure Office Center</t>
        </is>
      </c>
      <c r="C1367" s="0" t="inlineStr">
        <is>
          <t>Planetary Vehicles</t>
        </is>
      </c>
      <c r="D1367" s="0" t="n">
        <v>18</v>
      </c>
      <c r="E1367" s="0">
        <f>VLOOKUP(C1367,'Item Tier Lookup'!$A:$B,2,FALSE)</f>
        <v/>
      </c>
      <c r="F1367" s="0">
        <f>VLOOKUP(E1367,'Tier Params'!$A:$B,2,FALSE)</f>
        <v/>
      </c>
      <c r="G1367" s="0">
        <f>VLOOKUP(E1367,'Tier Params'!$A:$C,3,FALSE)</f>
        <v/>
      </c>
      <c r="H1367" s="0">
        <f>CEILING(D1367/G1367,1)</f>
        <v/>
      </c>
      <c r="I1367" s="0">
        <f>H1367*F1367</f>
        <v/>
      </c>
    </row>
    <row r="1368">
      <c r="A1368" s="0" t="inlineStr">
        <is>
          <t>'Reference sheet'!N1370</t>
        </is>
      </c>
      <c r="B1368" s="0" t="inlineStr">
        <is>
          <t>Structure Office Center</t>
        </is>
      </c>
      <c r="C1368" s="0" t="inlineStr">
        <is>
          <t>Supertensile Plastics</t>
        </is>
      </c>
      <c r="D1368" s="0" t="n">
        <v>60</v>
      </c>
      <c r="E1368" s="0">
        <f>VLOOKUP(C1368,'Item Tier Lookup'!$A:$B,2,FALSE)</f>
        <v/>
      </c>
      <c r="F1368" s="0">
        <f>VLOOKUP(E1368,'Tier Params'!$A:$B,2,FALSE)</f>
        <v/>
      </c>
      <c r="G1368" s="0">
        <f>VLOOKUP(E1368,'Tier Params'!$A:$C,3,FALSE)</f>
        <v/>
      </c>
      <c r="H1368" s="0">
        <f>CEILING(D1368/G1368,1)</f>
        <v/>
      </c>
      <c r="I1368" s="0">
        <f>H1368*F1368</f>
        <v/>
      </c>
    </row>
    <row r="1369">
      <c r="A1369" s="0" t="inlineStr">
        <is>
          <t>'Reference sheet'!N1371</t>
        </is>
      </c>
      <c r="B1369" s="0" t="inlineStr">
        <is>
          <t>Structure Office Center</t>
        </is>
      </c>
      <c r="C1369" s="0" t="inlineStr">
        <is>
          <t>Oxygen</t>
        </is>
      </c>
      <c r="D1369" s="0" t="n">
        <v>480</v>
      </c>
      <c r="E1369" s="0">
        <f>VLOOKUP(C1369,'Item Tier Lookup'!$A:$B,2,FALSE)</f>
        <v/>
      </c>
      <c r="F1369" s="0">
        <f>VLOOKUP(E1369,'Tier Params'!$A:$B,2,FALSE)</f>
        <v/>
      </c>
      <c r="G1369" s="0">
        <f>VLOOKUP(E1369,'Tier Params'!$A:$C,3,FALSE)</f>
        <v/>
      </c>
      <c r="H1369" s="0">
        <f>CEILING(D1369/G1369,1)</f>
        <v/>
      </c>
      <c r="I1369" s="0">
        <f>H1369*F1369</f>
        <v/>
      </c>
    </row>
    <row r="1370">
      <c r="A1370" s="0" t="inlineStr">
        <is>
          <t>'Reference sheet'!N1372</t>
        </is>
      </c>
      <c r="B1370" s="0" t="inlineStr">
        <is>
          <t>Structure Office Center</t>
        </is>
      </c>
      <c r="C1370" s="0" t="inlineStr">
        <is>
          <t>Noble Gas</t>
        </is>
      </c>
      <c r="D1370" s="0" t="n">
        <v>72000</v>
      </c>
      <c r="E1370" s="0">
        <f>VLOOKUP(C1370,'Item Tier Lookup'!$A:$B,2,FALSE)</f>
        <v/>
      </c>
      <c r="F1370" s="0">
        <f>VLOOKUP(E1370,'Tier Params'!$A:$B,2,FALSE)</f>
        <v/>
      </c>
      <c r="G1370" s="0">
        <f>VLOOKUP(E1370,'Tier Params'!$A:$C,3,FALSE)</f>
        <v/>
      </c>
      <c r="H1370" s="0">
        <f>CEILING(D1370/G1370,1)</f>
        <v/>
      </c>
      <c r="I1370" s="0">
        <f>H1370*F1370</f>
        <v/>
      </c>
    </row>
    <row r="1371">
      <c r="A1371" s="0" t="inlineStr">
        <is>
          <t>'Reference sheet'!N1373</t>
        </is>
      </c>
      <c r="B1371" s="0" t="inlineStr">
        <is>
          <t>Structure Office Center</t>
        </is>
      </c>
      <c r="C1371" s="0" t="inlineStr">
        <is>
          <t>Biomass</t>
        </is>
      </c>
      <c r="D1371" s="0" t="n">
        <v>480</v>
      </c>
      <c r="E1371" s="0">
        <f>VLOOKUP(C1371,'Item Tier Lookup'!$A:$B,2,FALSE)</f>
        <v/>
      </c>
      <c r="F1371" s="0">
        <f>VLOOKUP(E1371,'Tier Params'!$A:$B,2,FALSE)</f>
        <v/>
      </c>
      <c r="G1371" s="0">
        <f>VLOOKUP(E1371,'Tier Params'!$A:$C,3,FALSE)</f>
        <v/>
      </c>
      <c r="H1371" s="0">
        <f>CEILING(D1371/G1371,1)</f>
        <v/>
      </c>
      <c r="I1371" s="0">
        <f>H1371*F1371</f>
        <v/>
      </c>
    </row>
    <row r="1372">
      <c r="A1372" s="0" t="inlineStr">
        <is>
          <t>'Reference sheet'!N1374</t>
        </is>
      </c>
      <c r="B1372" s="0" t="inlineStr">
        <is>
          <t>Structure Office Center</t>
        </is>
      </c>
      <c r="C1372" s="0" t="inlineStr">
        <is>
          <t>Planktic Colonies</t>
        </is>
      </c>
      <c r="D1372" s="0" t="n">
        <v>72000</v>
      </c>
      <c r="E1372" s="0">
        <f>VLOOKUP(C1372,'Item Tier Lookup'!$A:$B,2,FALSE)</f>
        <v/>
      </c>
      <c r="F1372" s="0">
        <f>VLOOKUP(E1372,'Tier Params'!$A:$B,2,FALSE)</f>
        <v/>
      </c>
      <c r="G1372" s="0">
        <f>VLOOKUP(E1372,'Tier Params'!$A:$C,3,FALSE)</f>
        <v/>
      </c>
      <c r="H1372" s="0">
        <f>CEILING(D1372/G1372,1)</f>
        <v/>
      </c>
      <c r="I1372" s="0">
        <f>H1372*F1372</f>
        <v/>
      </c>
    </row>
    <row r="1373">
      <c r="A1373" s="0" t="inlineStr">
        <is>
          <t>'Reference sheet'!N1375</t>
        </is>
      </c>
      <c r="B1373" s="0" t="inlineStr">
        <is>
          <t>Structure Office Center</t>
        </is>
      </c>
      <c r="C1373" s="0" t="inlineStr">
        <is>
          <t>Mechanical Parts</t>
        </is>
      </c>
      <c r="D1373" s="0" t="n">
        <v>60</v>
      </c>
      <c r="E1373" s="0">
        <f>VLOOKUP(C1373,'Item Tier Lookup'!$A:$B,2,FALSE)</f>
        <v/>
      </c>
      <c r="F1373" s="0">
        <f>VLOOKUP(E1373,'Tier Params'!$A:$B,2,FALSE)</f>
        <v/>
      </c>
      <c r="G1373" s="0">
        <f>VLOOKUP(E1373,'Tier Params'!$A:$C,3,FALSE)</f>
        <v/>
      </c>
      <c r="H1373" s="0">
        <f>CEILING(D1373/G1373,1)</f>
        <v/>
      </c>
      <c r="I1373" s="0">
        <f>H1373*F1373</f>
        <v/>
      </c>
    </row>
    <row r="1374">
      <c r="A1374" s="0" t="inlineStr">
        <is>
          <t>'Reference sheet'!N1376</t>
        </is>
      </c>
      <c r="B1374" s="0" t="inlineStr">
        <is>
          <t>Structure Office Center</t>
        </is>
      </c>
      <c r="C1374" s="0" t="inlineStr">
        <is>
          <t>Reactive Metals</t>
        </is>
      </c>
      <c r="D1374" s="0" t="n">
        <v>480</v>
      </c>
      <c r="E1374" s="0">
        <f>VLOOKUP(C1374,'Item Tier Lookup'!$A:$B,2,FALSE)</f>
        <v/>
      </c>
      <c r="F1374" s="0">
        <f>VLOOKUP(E1374,'Tier Params'!$A:$B,2,FALSE)</f>
        <v/>
      </c>
      <c r="G1374" s="0">
        <f>VLOOKUP(E1374,'Tier Params'!$A:$C,3,FALSE)</f>
        <v/>
      </c>
      <c r="H1374" s="0">
        <f>CEILING(D1374/G1374,1)</f>
        <v/>
      </c>
      <c r="I1374" s="0">
        <f>H1374*F1374</f>
        <v/>
      </c>
    </row>
    <row r="1375">
      <c r="A1375" s="0" t="inlineStr">
        <is>
          <t>'Reference sheet'!N1377</t>
        </is>
      </c>
      <c r="B1375" s="0" t="inlineStr">
        <is>
          <t>Structure Office Center</t>
        </is>
      </c>
      <c r="C1375" s="0" t="inlineStr">
        <is>
          <t>Base Metals</t>
        </is>
      </c>
      <c r="D1375" s="0" t="n">
        <v>72000</v>
      </c>
      <c r="E1375" s="0">
        <f>VLOOKUP(C1375,'Item Tier Lookup'!$A:$B,2,FALSE)</f>
        <v/>
      </c>
      <c r="F1375" s="0">
        <f>VLOOKUP(E1375,'Tier Params'!$A:$B,2,FALSE)</f>
        <v/>
      </c>
      <c r="G1375" s="0">
        <f>VLOOKUP(E1375,'Tier Params'!$A:$C,3,FALSE)</f>
        <v/>
      </c>
      <c r="H1375" s="0">
        <f>CEILING(D1375/G1375,1)</f>
        <v/>
      </c>
      <c r="I1375" s="0">
        <f>H1375*F1375</f>
        <v/>
      </c>
    </row>
    <row r="1376">
      <c r="A1376" s="0" t="inlineStr">
        <is>
          <t>'Reference sheet'!N1378</t>
        </is>
      </c>
      <c r="B1376" s="0" t="inlineStr">
        <is>
          <t>Structure Office Center</t>
        </is>
      </c>
      <c r="C1376" s="0" t="inlineStr">
        <is>
          <t>Precious Metals</t>
        </is>
      </c>
      <c r="D1376" s="0" t="n">
        <v>480</v>
      </c>
      <c r="E1376" s="0">
        <f>VLOOKUP(C1376,'Item Tier Lookup'!$A:$B,2,FALSE)</f>
        <v/>
      </c>
      <c r="F1376" s="0">
        <f>VLOOKUP(E1376,'Tier Params'!$A:$B,2,FALSE)</f>
        <v/>
      </c>
      <c r="G1376" s="0">
        <f>VLOOKUP(E1376,'Tier Params'!$A:$C,3,FALSE)</f>
        <v/>
      </c>
      <c r="H1376" s="0">
        <f>CEILING(D1376/G1376,1)</f>
        <v/>
      </c>
      <c r="I1376" s="0">
        <f>H1376*F1376</f>
        <v/>
      </c>
    </row>
    <row r="1377">
      <c r="A1377" s="0" t="inlineStr">
        <is>
          <t>'Reference sheet'!N1379</t>
        </is>
      </c>
      <c r="B1377" s="0" t="inlineStr">
        <is>
          <t>Structure Office Center</t>
        </is>
      </c>
      <c r="C1377" s="0" t="inlineStr">
        <is>
          <t>Noble Metals</t>
        </is>
      </c>
      <c r="D1377" s="0" t="n">
        <v>72000</v>
      </c>
      <c r="E1377" s="0">
        <f>VLOOKUP(C1377,'Item Tier Lookup'!$A:$B,2,FALSE)</f>
        <v/>
      </c>
      <c r="F1377" s="0">
        <f>VLOOKUP(E1377,'Tier Params'!$A:$B,2,FALSE)</f>
        <v/>
      </c>
      <c r="G1377" s="0">
        <f>VLOOKUP(E1377,'Tier Params'!$A:$C,3,FALSE)</f>
        <v/>
      </c>
      <c r="H1377" s="0">
        <f>CEILING(D1377/G1377,1)</f>
        <v/>
      </c>
      <c r="I1377" s="0">
        <f>H1377*F1377</f>
        <v/>
      </c>
    </row>
    <row r="1378">
      <c r="A1378" s="0" t="inlineStr">
        <is>
          <t>'Reference sheet'!N1380</t>
        </is>
      </c>
      <c r="B1378" s="0" t="inlineStr">
        <is>
          <t>Structure Office Center</t>
        </is>
      </c>
      <c r="C1378" s="0" t="inlineStr">
        <is>
          <t>Miniature Electronics</t>
        </is>
      </c>
      <c r="D1378" s="0" t="n">
        <v>60</v>
      </c>
      <c r="E1378" s="0">
        <f>VLOOKUP(C1378,'Item Tier Lookup'!$A:$B,2,FALSE)</f>
        <v/>
      </c>
      <c r="F1378" s="0">
        <f>VLOOKUP(E1378,'Tier Params'!$A:$B,2,FALSE)</f>
        <v/>
      </c>
      <c r="G1378" s="0">
        <f>VLOOKUP(E1378,'Tier Params'!$A:$C,3,FALSE)</f>
        <v/>
      </c>
      <c r="H1378" s="0">
        <f>CEILING(D1378/G1378,1)</f>
        <v/>
      </c>
      <c r="I1378" s="0">
        <f>H1378*F1378</f>
        <v/>
      </c>
    </row>
    <row r="1379">
      <c r="A1379" s="0" t="inlineStr">
        <is>
          <t>'Reference sheet'!N1381</t>
        </is>
      </c>
      <c r="B1379" s="0" t="inlineStr">
        <is>
          <t>Structure Office Center</t>
        </is>
      </c>
      <c r="C1379" s="0" t="inlineStr">
        <is>
          <t>Chiral Structures</t>
        </is>
      </c>
      <c r="D1379" s="0" t="n">
        <v>480</v>
      </c>
      <c r="E1379" s="0">
        <f>VLOOKUP(C1379,'Item Tier Lookup'!$A:$B,2,FALSE)</f>
        <v/>
      </c>
      <c r="F1379" s="0">
        <f>VLOOKUP(E1379,'Tier Params'!$A:$B,2,FALSE)</f>
        <v/>
      </c>
      <c r="G1379" s="0">
        <f>VLOOKUP(E1379,'Tier Params'!$A:$C,3,FALSE)</f>
        <v/>
      </c>
      <c r="H1379" s="0">
        <f>CEILING(D1379/G1379,1)</f>
        <v/>
      </c>
      <c r="I1379" s="0">
        <f>H1379*F1379</f>
        <v/>
      </c>
    </row>
    <row r="1380">
      <c r="A1380" s="0" t="inlineStr">
        <is>
          <t>'Reference sheet'!N1382</t>
        </is>
      </c>
      <c r="B1380" s="0" t="inlineStr">
        <is>
          <t>Structure Office Center</t>
        </is>
      </c>
      <c r="C1380" s="0" t="inlineStr">
        <is>
          <t>Non-CS Crystals</t>
        </is>
      </c>
      <c r="D1380" s="0" t="n">
        <v>72000</v>
      </c>
      <c r="E1380" s="0">
        <f>VLOOKUP(C1380,'Item Tier Lookup'!$A:$B,2,FALSE)</f>
        <v/>
      </c>
      <c r="F1380" s="0">
        <f>VLOOKUP(E1380,'Tier Params'!$A:$B,2,FALSE)</f>
        <v/>
      </c>
      <c r="G1380" s="0">
        <f>VLOOKUP(E1380,'Tier Params'!$A:$C,3,FALSE)</f>
        <v/>
      </c>
      <c r="H1380" s="0">
        <f>CEILING(D1380/G1380,1)</f>
        <v/>
      </c>
      <c r="I1380" s="0">
        <f>H1380*F1380</f>
        <v/>
      </c>
    </row>
    <row r="1381">
      <c r="A1381" s="0" t="inlineStr">
        <is>
          <t>'Reference sheet'!N1383</t>
        </is>
      </c>
      <c r="B1381" s="0" t="inlineStr">
        <is>
          <t>Structure Office Center</t>
        </is>
      </c>
      <c r="C1381" s="0" t="inlineStr">
        <is>
          <t>Silicon</t>
        </is>
      </c>
      <c r="D1381" s="0" t="n">
        <v>480</v>
      </c>
      <c r="E1381" s="0">
        <f>VLOOKUP(C1381,'Item Tier Lookup'!$A:$B,2,FALSE)</f>
        <v/>
      </c>
      <c r="F1381" s="0">
        <f>VLOOKUP(E1381,'Tier Params'!$A:$B,2,FALSE)</f>
        <v/>
      </c>
      <c r="G1381" s="0">
        <f>VLOOKUP(E1381,'Tier Params'!$A:$C,3,FALSE)</f>
        <v/>
      </c>
      <c r="H1381" s="0">
        <f>CEILING(D1381/G1381,1)</f>
        <v/>
      </c>
      <c r="I1381" s="0">
        <f>H1381*F1381</f>
        <v/>
      </c>
    </row>
    <row r="1382">
      <c r="A1382" s="0" t="inlineStr">
        <is>
          <t>'Reference sheet'!N1384</t>
        </is>
      </c>
      <c r="B1382" s="0" t="inlineStr">
        <is>
          <t>Structure Office Center</t>
        </is>
      </c>
      <c r="C1382" s="0" t="inlineStr">
        <is>
          <t>Felsic Magma</t>
        </is>
      </c>
      <c r="D1382" s="0" t="n">
        <v>72000</v>
      </c>
      <c r="E1382" s="0">
        <f>VLOOKUP(C1382,'Item Tier Lookup'!$A:$B,2,FALSE)</f>
        <v/>
      </c>
      <c r="F1382" s="0">
        <f>VLOOKUP(E1382,'Tier Params'!$A:$B,2,FALSE)</f>
        <v/>
      </c>
      <c r="G1382" s="0">
        <f>VLOOKUP(E1382,'Tier Params'!$A:$C,3,FALSE)</f>
        <v/>
      </c>
      <c r="H1382" s="0">
        <f>CEILING(D1382/G1382,1)</f>
        <v/>
      </c>
      <c r="I1382" s="0">
        <f>H1382*F1382</f>
        <v/>
      </c>
    </row>
    <row r="1383">
      <c r="A1383" s="0" t="inlineStr">
        <is>
          <t>'Reference sheet'!N1385</t>
        </is>
      </c>
      <c r="B1383" s="0" t="inlineStr">
        <is>
          <t>Structure Office Center</t>
        </is>
      </c>
      <c r="C1383" s="0" t="inlineStr">
        <is>
          <t>Organic Mortar Applicators</t>
        </is>
      </c>
      <c r="D1383" s="0" t="n">
        <v>5</v>
      </c>
      <c r="E1383" s="0">
        <f>VLOOKUP(C1383,'Item Tier Lookup'!$A:$B,2,FALSE)</f>
        <v/>
      </c>
      <c r="F1383" s="0">
        <f>VLOOKUP(E1383,'Tier Params'!$A:$B,2,FALSE)</f>
        <v/>
      </c>
      <c r="G1383" s="0">
        <f>VLOOKUP(E1383,'Tier Params'!$A:$C,3,FALSE)</f>
        <v/>
      </c>
      <c r="H1383" s="0">
        <f>CEILING(D1383/G1383,1)</f>
        <v/>
      </c>
      <c r="I1383" s="0">
        <f>H1383*F1383</f>
        <v/>
      </c>
    </row>
    <row r="1384">
      <c r="A1384" s="0" t="inlineStr">
        <is>
          <t>'Reference sheet'!N1386</t>
        </is>
      </c>
      <c r="B1384" s="0" t="inlineStr">
        <is>
          <t>Structure Office Center</t>
        </is>
      </c>
      <c r="C1384" s="0" t="inlineStr">
        <is>
          <t>Condensates</t>
        </is>
      </c>
      <c r="D1384" s="0" t="n">
        <v>30</v>
      </c>
      <c r="E1384" s="0">
        <f>VLOOKUP(C1384,'Item Tier Lookup'!$A:$B,2,FALSE)</f>
        <v/>
      </c>
      <c r="F1384" s="0">
        <f>VLOOKUP(E1384,'Tier Params'!$A:$B,2,FALSE)</f>
        <v/>
      </c>
      <c r="G1384" s="0">
        <f>VLOOKUP(E1384,'Tier Params'!$A:$C,3,FALSE)</f>
        <v/>
      </c>
      <c r="H1384" s="0">
        <f>CEILING(D1384/G1384,1)</f>
        <v/>
      </c>
      <c r="I1384" s="0">
        <f>H1384*F1384</f>
        <v/>
      </c>
    </row>
    <row r="1385">
      <c r="A1385" s="0" t="inlineStr">
        <is>
          <t>'Reference sheet'!N1387</t>
        </is>
      </c>
      <c r="B1385" s="0" t="inlineStr">
        <is>
          <t>Structure Office Center</t>
        </is>
      </c>
      <c r="C1385" s="0" t="inlineStr">
        <is>
          <t>Coolant</t>
        </is>
      </c>
      <c r="D1385" s="0" t="n">
        <v>100</v>
      </c>
      <c r="E1385" s="0">
        <f>VLOOKUP(C1385,'Item Tier Lookup'!$A:$B,2,FALSE)</f>
        <v/>
      </c>
      <c r="F1385" s="0">
        <f>VLOOKUP(E1385,'Tier Params'!$A:$B,2,FALSE)</f>
        <v/>
      </c>
      <c r="G1385" s="0">
        <f>VLOOKUP(E1385,'Tier Params'!$A:$C,3,FALSE)</f>
        <v/>
      </c>
      <c r="H1385" s="0">
        <f>CEILING(D1385/G1385,1)</f>
        <v/>
      </c>
      <c r="I1385" s="0">
        <f>H1385*F1385</f>
        <v/>
      </c>
    </row>
    <row r="1386">
      <c r="A1386" s="0" t="inlineStr">
        <is>
          <t>'Reference sheet'!N1388</t>
        </is>
      </c>
      <c r="B1386" s="0" t="inlineStr">
        <is>
          <t>Structure Office Center</t>
        </is>
      </c>
      <c r="C1386" s="0" t="inlineStr">
        <is>
          <t>Water</t>
        </is>
      </c>
      <c r="D1386" s="0" t="n">
        <v>800</v>
      </c>
      <c r="E1386" s="0">
        <f>VLOOKUP(C1386,'Item Tier Lookup'!$A:$B,2,FALSE)</f>
        <v/>
      </c>
      <c r="F1386" s="0">
        <f>VLOOKUP(E1386,'Tier Params'!$A:$B,2,FALSE)</f>
        <v/>
      </c>
      <c r="G1386" s="0">
        <f>VLOOKUP(E1386,'Tier Params'!$A:$C,3,FALSE)</f>
        <v/>
      </c>
      <c r="H1386" s="0">
        <f>CEILING(D1386/G1386,1)</f>
        <v/>
      </c>
      <c r="I1386" s="0">
        <f>H1386*F1386</f>
        <v/>
      </c>
    </row>
    <row r="1387">
      <c r="A1387" s="0" t="inlineStr">
        <is>
          <t>'Reference sheet'!N1389</t>
        </is>
      </c>
      <c r="B1387" s="0" t="inlineStr">
        <is>
          <t>Structure Office Center</t>
        </is>
      </c>
      <c r="C1387" s="0" t="inlineStr">
        <is>
          <t>Aqueous Liquids</t>
        </is>
      </c>
      <c r="D1387" s="0" t="n">
        <v>120000</v>
      </c>
      <c r="E1387" s="0">
        <f>VLOOKUP(C1387,'Item Tier Lookup'!$A:$B,2,FALSE)</f>
        <v/>
      </c>
      <c r="F1387" s="0">
        <f>VLOOKUP(E1387,'Tier Params'!$A:$B,2,FALSE)</f>
        <v/>
      </c>
      <c r="G1387" s="0">
        <f>VLOOKUP(E1387,'Tier Params'!$A:$C,3,FALSE)</f>
        <v/>
      </c>
      <c r="H1387" s="0">
        <f>CEILING(D1387/G1387,1)</f>
        <v/>
      </c>
      <c r="I1387" s="0">
        <f>H1387*F1387</f>
        <v/>
      </c>
    </row>
    <row r="1388">
      <c r="A1388" s="0" t="inlineStr">
        <is>
          <t>'Reference sheet'!N1390</t>
        </is>
      </c>
      <c r="B1388" s="0" t="inlineStr">
        <is>
          <t>Structure Office Center</t>
        </is>
      </c>
      <c r="C1388" s="0" t="inlineStr">
        <is>
          <t>Electrolytes</t>
        </is>
      </c>
      <c r="D1388" s="0" t="n">
        <v>800</v>
      </c>
      <c r="E1388" s="0">
        <f>VLOOKUP(C1388,'Item Tier Lookup'!$A:$B,2,FALSE)</f>
        <v/>
      </c>
      <c r="F1388" s="0">
        <f>VLOOKUP(E1388,'Tier Params'!$A:$B,2,FALSE)</f>
        <v/>
      </c>
      <c r="G1388" s="0">
        <f>VLOOKUP(E1388,'Tier Params'!$A:$C,3,FALSE)</f>
        <v/>
      </c>
      <c r="H1388" s="0">
        <f>CEILING(D1388/G1388,1)</f>
        <v/>
      </c>
      <c r="I1388" s="0">
        <f>H1388*F1388</f>
        <v/>
      </c>
    </row>
    <row r="1389">
      <c r="A1389" s="0" t="inlineStr">
        <is>
          <t>'Reference sheet'!N1391</t>
        </is>
      </c>
      <c r="B1389" s="0" t="inlineStr">
        <is>
          <t>Structure Office Center</t>
        </is>
      </c>
      <c r="C1389" s="0" t="inlineStr">
        <is>
          <t>Ionic Solutions</t>
        </is>
      </c>
      <c r="D1389" s="0" t="n">
        <v>120000</v>
      </c>
      <c r="E1389" s="0">
        <f>VLOOKUP(C1389,'Item Tier Lookup'!$A:$B,2,FALSE)</f>
        <v/>
      </c>
      <c r="F1389" s="0">
        <f>VLOOKUP(E1389,'Tier Params'!$A:$B,2,FALSE)</f>
        <v/>
      </c>
      <c r="G1389" s="0">
        <f>VLOOKUP(E1389,'Tier Params'!$A:$C,3,FALSE)</f>
        <v/>
      </c>
      <c r="H1389" s="0">
        <f>CEILING(D1389/G1389,1)</f>
        <v/>
      </c>
      <c r="I1389" s="0">
        <f>H1389*F1389</f>
        <v/>
      </c>
    </row>
    <row r="1390">
      <c r="A1390" s="0" t="inlineStr">
        <is>
          <t>'Reference sheet'!N1392</t>
        </is>
      </c>
      <c r="B1390" s="0" t="inlineStr">
        <is>
          <t>Structure Office Center</t>
        </is>
      </c>
      <c r="C1390" s="0" t="inlineStr">
        <is>
          <t>Oxides</t>
        </is>
      </c>
      <c r="D1390" s="0" t="n">
        <v>100</v>
      </c>
      <c r="E1390" s="0">
        <f>VLOOKUP(C1390,'Item Tier Lookup'!$A:$B,2,FALSE)</f>
        <v/>
      </c>
      <c r="F1390" s="0">
        <f>VLOOKUP(E1390,'Tier Params'!$A:$B,2,FALSE)</f>
        <v/>
      </c>
      <c r="G1390" s="0">
        <f>VLOOKUP(E1390,'Tier Params'!$A:$C,3,FALSE)</f>
        <v/>
      </c>
      <c r="H1390" s="0">
        <f>CEILING(D1390/G1390,1)</f>
        <v/>
      </c>
      <c r="I1390" s="0">
        <f>H1390*F1390</f>
        <v/>
      </c>
    </row>
    <row r="1391">
      <c r="A1391" s="0" t="inlineStr">
        <is>
          <t>'Reference sheet'!N1393</t>
        </is>
      </c>
      <c r="B1391" s="0" t="inlineStr">
        <is>
          <t>Structure Office Center</t>
        </is>
      </c>
      <c r="C1391" s="0" t="inlineStr">
        <is>
          <t>Oxidizing Compound</t>
        </is>
      </c>
      <c r="D1391" s="0" t="n">
        <v>800</v>
      </c>
      <c r="E1391" s="0">
        <f>VLOOKUP(C1391,'Item Tier Lookup'!$A:$B,2,FALSE)</f>
        <v/>
      </c>
      <c r="F1391" s="0">
        <f>VLOOKUP(E1391,'Tier Params'!$A:$B,2,FALSE)</f>
        <v/>
      </c>
      <c r="G1391" s="0">
        <f>VLOOKUP(E1391,'Tier Params'!$A:$C,3,FALSE)</f>
        <v/>
      </c>
      <c r="H1391" s="0">
        <f>CEILING(D1391/G1391,1)</f>
        <v/>
      </c>
      <c r="I1391" s="0">
        <f>H1391*F1391</f>
        <v/>
      </c>
    </row>
    <row r="1392">
      <c r="A1392" s="0" t="inlineStr">
        <is>
          <t>'Reference sheet'!N1394</t>
        </is>
      </c>
      <c r="B1392" s="0" t="inlineStr">
        <is>
          <t>Structure Office Center</t>
        </is>
      </c>
      <c r="C1392" s="0" t="inlineStr">
        <is>
          <t>Reactive Gas</t>
        </is>
      </c>
      <c r="D1392" s="0" t="n">
        <v>120000</v>
      </c>
      <c r="E1392" s="0">
        <f>VLOOKUP(C1392,'Item Tier Lookup'!$A:$B,2,FALSE)</f>
        <v/>
      </c>
      <c r="F1392" s="0">
        <f>VLOOKUP(E1392,'Tier Params'!$A:$B,2,FALSE)</f>
        <v/>
      </c>
      <c r="G1392" s="0">
        <f>VLOOKUP(E1392,'Tier Params'!$A:$C,3,FALSE)</f>
        <v/>
      </c>
      <c r="H1392" s="0">
        <f>CEILING(D1392/G1392,1)</f>
        <v/>
      </c>
      <c r="I1392" s="0">
        <f>H1392*F1392</f>
        <v/>
      </c>
    </row>
    <row r="1393">
      <c r="A1393" s="0" t="inlineStr">
        <is>
          <t>'Reference sheet'!N1395</t>
        </is>
      </c>
      <c r="B1393" s="0" t="inlineStr">
        <is>
          <t>Structure Office Center</t>
        </is>
      </c>
      <c r="C1393" s="0" t="inlineStr">
        <is>
          <t>Oxygen</t>
        </is>
      </c>
      <c r="D1393" s="0" t="n">
        <v>800</v>
      </c>
      <c r="E1393" s="0">
        <f>VLOOKUP(C1393,'Item Tier Lookup'!$A:$B,2,FALSE)</f>
        <v/>
      </c>
      <c r="F1393" s="0">
        <f>VLOOKUP(E1393,'Tier Params'!$A:$B,2,FALSE)</f>
        <v/>
      </c>
      <c r="G1393" s="0">
        <f>VLOOKUP(E1393,'Tier Params'!$A:$C,3,FALSE)</f>
        <v/>
      </c>
      <c r="H1393" s="0">
        <f>CEILING(D1393/G1393,1)</f>
        <v/>
      </c>
      <c r="I1393" s="0">
        <f>H1393*F1393</f>
        <v/>
      </c>
    </row>
    <row r="1394">
      <c r="A1394" s="0" t="inlineStr">
        <is>
          <t>'Reference sheet'!N1396</t>
        </is>
      </c>
      <c r="B1394" s="0" t="inlineStr">
        <is>
          <t>Structure Office Center</t>
        </is>
      </c>
      <c r="C1394" s="0" t="inlineStr">
        <is>
          <t>Noble Gas</t>
        </is>
      </c>
      <c r="D1394" s="0" t="n">
        <v>120000</v>
      </c>
      <c r="E1394" s="0">
        <f>VLOOKUP(C1394,'Item Tier Lookup'!$A:$B,2,FALSE)</f>
        <v/>
      </c>
      <c r="F1394" s="0">
        <f>VLOOKUP(E1394,'Tier Params'!$A:$B,2,FALSE)</f>
        <v/>
      </c>
      <c r="G1394" s="0">
        <f>VLOOKUP(E1394,'Tier Params'!$A:$C,3,FALSE)</f>
        <v/>
      </c>
      <c r="H1394" s="0">
        <f>CEILING(D1394/G1394,1)</f>
        <v/>
      </c>
      <c r="I1394" s="0">
        <f>H1394*F1394</f>
        <v/>
      </c>
    </row>
    <row r="1395">
      <c r="A1395" s="0" t="inlineStr">
        <is>
          <t>'Reference sheet'!N1397</t>
        </is>
      </c>
      <c r="B1395" s="0" t="inlineStr">
        <is>
          <t>Structure Office Center</t>
        </is>
      </c>
      <c r="C1395" s="0" t="inlineStr">
        <is>
          <t>Bacteria</t>
        </is>
      </c>
      <c r="D1395" s="0" t="n">
        <v>200</v>
      </c>
      <c r="E1395" s="0">
        <f>VLOOKUP(C1395,'Item Tier Lookup'!$A:$B,2,FALSE)</f>
        <v/>
      </c>
      <c r="F1395" s="0">
        <f>VLOOKUP(E1395,'Tier Params'!$A:$B,2,FALSE)</f>
        <v/>
      </c>
      <c r="G1395" s="0">
        <f>VLOOKUP(E1395,'Tier Params'!$A:$C,3,FALSE)</f>
        <v/>
      </c>
      <c r="H1395" s="0">
        <f>CEILING(D1395/G1395,1)</f>
        <v/>
      </c>
      <c r="I1395" s="0">
        <f>H1395*F1395</f>
        <v/>
      </c>
    </row>
    <row r="1396">
      <c r="A1396" s="0" t="inlineStr">
        <is>
          <t>'Reference sheet'!N1398</t>
        </is>
      </c>
      <c r="B1396" s="0" t="inlineStr">
        <is>
          <t>Structure Office Center</t>
        </is>
      </c>
      <c r="C1396" s="0" t="inlineStr">
        <is>
          <t>Microorganisms</t>
        </is>
      </c>
      <c r="D1396" s="0" t="n">
        <v>30000</v>
      </c>
      <c r="E1396" s="0">
        <f>VLOOKUP(C1396,'Item Tier Lookup'!$A:$B,2,FALSE)</f>
        <v/>
      </c>
      <c r="F1396" s="0">
        <f>VLOOKUP(E1396,'Tier Params'!$A:$B,2,FALSE)</f>
        <v/>
      </c>
      <c r="G1396" s="0">
        <f>VLOOKUP(E1396,'Tier Params'!$A:$C,3,FALSE)</f>
        <v/>
      </c>
      <c r="H1396" s="0">
        <f>CEILING(D1396/G1396,1)</f>
        <v/>
      </c>
      <c r="I1396" s="0">
        <f>H1396*F1396</f>
        <v/>
      </c>
    </row>
    <row r="1397">
      <c r="A1397" s="0" t="inlineStr">
        <is>
          <t>'Reference sheet'!N1399</t>
        </is>
      </c>
      <c r="B1397" s="0" t="inlineStr">
        <is>
          <t>Structure Office Center</t>
        </is>
      </c>
      <c r="C1397" s="0" t="inlineStr">
        <is>
          <t>Robotics</t>
        </is>
      </c>
      <c r="D1397" s="0" t="n">
        <v>30</v>
      </c>
      <c r="E1397" s="0">
        <f>VLOOKUP(C1397,'Item Tier Lookup'!$A:$B,2,FALSE)</f>
        <v/>
      </c>
      <c r="F1397" s="0">
        <f>VLOOKUP(E1397,'Tier Params'!$A:$B,2,FALSE)</f>
        <v/>
      </c>
      <c r="G1397" s="0">
        <f>VLOOKUP(E1397,'Tier Params'!$A:$C,3,FALSE)</f>
        <v/>
      </c>
      <c r="H1397" s="0">
        <f>CEILING(D1397/G1397,1)</f>
        <v/>
      </c>
      <c r="I1397" s="0">
        <f>H1397*F1397</f>
        <v/>
      </c>
    </row>
    <row r="1398">
      <c r="A1398" s="0" t="inlineStr">
        <is>
          <t>'Reference sheet'!N1400</t>
        </is>
      </c>
      <c r="B1398" s="0" t="inlineStr">
        <is>
          <t>Structure Office Center</t>
        </is>
      </c>
      <c r="C1398" s="0" t="inlineStr">
        <is>
          <t>Mechanical Parts</t>
        </is>
      </c>
      <c r="D1398" s="0" t="n">
        <v>100</v>
      </c>
      <c r="E1398" s="0">
        <f>VLOOKUP(C1398,'Item Tier Lookup'!$A:$B,2,FALSE)</f>
        <v/>
      </c>
      <c r="F1398" s="0">
        <f>VLOOKUP(E1398,'Tier Params'!$A:$B,2,FALSE)</f>
        <v/>
      </c>
      <c r="G1398" s="0">
        <f>VLOOKUP(E1398,'Tier Params'!$A:$C,3,FALSE)</f>
        <v/>
      </c>
      <c r="H1398" s="0">
        <f>CEILING(D1398/G1398,1)</f>
        <v/>
      </c>
      <c r="I1398" s="0">
        <f>H1398*F1398</f>
        <v/>
      </c>
    </row>
    <row r="1399">
      <c r="A1399" s="0" t="inlineStr">
        <is>
          <t>'Reference sheet'!N1401</t>
        </is>
      </c>
      <c r="B1399" s="0" t="inlineStr">
        <is>
          <t>Structure Office Center</t>
        </is>
      </c>
      <c r="C1399" s="0" t="inlineStr">
        <is>
          <t>Reactive Metals</t>
        </is>
      </c>
      <c r="D1399" s="0" t="n">
        <v>800</v>
      </c>
      <c r="E1399" s="0">
        <f>VLOOKUP(C1399,'Item Tier Lookup'!$A:$B,2,FALSE)</f>
        <v/>
      </c>
      <c r="F1399" s="0">
        <f>VLOOKUP(E1399,'Tier Params'!$A:$B,2,FALSE)</f>
        <v/>
      </c>
      <c r="G1399" s="0">
        <f>VLOOKUP(E1399,'Tier Params'!$A:$C,3,FALSE)</f>
        <v/>
      </c>
      <c r="H1399" s="0">
        <f>CEILING(D1399/G1399,1)</f>
        <v/>
      </c>
      <c r="I1399" s="0">
        <f>H1399*F1399</f>
        <v/>
      </c>
    </row>
    <row r="1400">
      <c r="A1400" s="0" t="inlineStr">
        <is>
          <t>'Reference sheet'!N1402</t>
        </is>
      </c>
      <c r="B1400" s="0" t="inlineStr">
        <is>
          <t>Structure Office Center</t>
        </is>
      </c>
      <c r="C1400" s="0" t="inlineStr">
        <is>
          <t>Base Metals</t>
        </is>
      </c>
      <c r="D1400" s="0" t="n">
        <v>120000</v>
      </c>
      <c r="E1400" s="0">
        <f>VLOOKUP(C1400,'Item Tier Lookup'!$A:$B,2,FALSE)</f>
        <v/>
      </c>
      <c r="F1400" s="0">
        <f>VLOOKUP(E1400,'Tier Params'!$A:$B,2,FALSE)</f>
        <v/>
      </c>
      <c r="G1400" s="0">
        <f>VLOOKUP(E1400,'Tier Params'!$A:$C,3,FALSE)</f>
        <v/>
      </c>
      <c r="H1400" s="0">
        <f>CEILING(D1400/G1400,1)</f>
        <v/>
      </c>
      <c r="I1400" s="0">
        <f>H1400*F1400</f>
        <v/>
      </c>
    </row>
    <row r="1401">
      <c r="A1401" s="0" t="inlineStr">
        <is>
          <t>'Reference sheet'!N1403</t>
        </is>
      </c>
      <c r="B1401" s="0" t="inlineStr">
        <is>
          <t>Structure Office Center</t>
        </is>
      </c>
      <c r="C1401" s="0" t="inlineStr">
        <is>
          <t>Precious Metals</t>
        </is>
      </c>
      <c r="D1401" s="0" t="n">
        <v>800</v>
      </c>
      <c r="E1401" s="0">
        <f>VLOOKUP(C1401,'Item Tier Lookup'!$A:$B,2,FALSE)</f>
        <v/>
      </c>
      <c r="F1401" s="0">
        <f>VLOOKUP(E1401,'Tier Params'!$A:$B,2,FALSE)</f>
        <v/>
      </c>
      <c r="G1401" s="0">
        <f>VLOOKUP(E1401,'Tier Params'!$A:$C,3,FALSE)</f>
        <v/>
      </c>
      <c r="H1401" s="0">
        <f>CEILING(D1401/G1401,1)</f>
        <v/>
      </c>
      <c r="I1401" s="0">
        <f>H1401*F1401</f>
        <v/>
      </c>
    </row>
    <row r="1402">
      <c r="A1402" s="0" t="inlineStr">
        <is>
          <t>'Reference sheet'!N1404</t>
        </is>
      </c>
      <c r="B1402" s="0" t="inlineStr">
        <is>
          <t>Structure Office Center</t>
        </is>
      </c>
      <c r="C1402" s="0" t="inlineStr">
        <is>
          <t>Noble Metals</t>
        </is>
      </c>
      <c r="D1402" s="0" t="n">
        <v>120000</v>
      </c>
      <c r="E1402" s="0">
        <f>VLOOKUP(C1402,'Item Tier Lookup'!$A:$B,2,FALSE)</f>
        <v/>
      </c>
      <c r="F1402" s="0">
        <f>VLOOKUP(E1402,'Tier Params'!$A:$B,2,FALSE)</f>
        <v/>
      </c>
      <c r="G1402" s="0">
        <f>VLOOKUP(E1402,'Tier Params'!$A:$C,3,FALSE)</f>
        <v/>
      </c>
      <c r="H1402" s="0">
        <f>CEILING(D1402/G1402,1)</f>
        <v/>
      </c>
      <c r="I1402" s="0">
        <f>H1402*F1402</f>
        <v/>
      </c>
    </row>
    <row r="1403">
      <c r="A1403" s="0" t="inlineStr">
        <is>
          <t>'Reference sheet'!N1405</t>
        </is>
      </c>
      <c r="B1403" s="0" t="inlineStr">
        <is>
          <t>Structure Office Center</t>
        </is>
      </c>
      <c r="C1403" s="0" t="inlineStr">
        <is>
          <t>Consumer Electronics</t>
        </is>
      </c>
      <c r="D1403" s="0" t="n">
        <v>100</v>
      </c>
      <c r="E1403" s="0">
        <f>VLOOKUP(C1403,'Item Tier Lookup'!$A:$B,2,FALSE)</f>
        <v/>
      </c>
      <c r="F1403" s="0">
        <f>VLOOKUP(E1403,'Tier Params'!$A:$B,2,FALSE)</f>
        <v/>
      </c>
      <c r="G1403" s="0">
        <f>VLOOKUP(E1403,'Tier Params'!$A:$C,3,FALSE)</f>
        <v/>
      </c>
      <c r="H1403" s="0">
        <f>CEILING(D1403/G1403,1)</f>
        <v/>
      </c>
      <c r="I1403" s="0">
        <f>H1403*F1403</f>
        <v/>
      </c>
    </row>
    <row r="1404">
      <c r="A1404" s="0" t="inlineStr">
        <is>
          <t>'Reference sheet'!N1406</t>
        </is>
      </c>
      <c r="B1404" s="0" t="inlineStr">
        <is>
          <t>Structure Office Center</t>
        </is>
      </c>
      <c r="C1404" s="0" t="inlineStr">
        <is>
          <t>Toxic Metals</t>
        </is>
      </c>
      <c r="D1404" s="0" t="n">
        <v>800</v>
      </c>
      <c r="E1404" s="0">
        <f>VLOOKUP(C1404,'Item Tier Lookup'!$A:$B,2,FALSE)</f>
        <v/>
      </c>
      <c r="F1404" s="0">
        <f>VLOOKUP(E1404,'Tier Params'!$A:$B,2,FALSE)</f>
        <v/>
      </c>
      <c r="G1404" s="0">
        <f>VLOOKUP(E1404,'Tier Params'!$A:$C,3,FALSE)</f>
        <v/>
      </c>
      <c r="H1404" s="0">
        <f>CEILING(D1404/G1404,1)</f>
        <v/>
      </c>
      <c r="I1404" s="0">
        <f>H1404*F1404</f>
        <v/>
      </c>
    </row>
    <row r="1405">
      <c r="A1405" s="0" t="inlineStr">
        <is>
          <t>'Reference sheet'!N1407</t>
        </is>
      </c>
      <c r="B1405" s="0" t="inlineStr">
        <is>
          <t>Structure Office Center</t>
        </is>
      </c>
      <c r="C1405" s="0" t="inlineStr">
        <is>
          <t>Heavy Metals</t>
        </is>
      </c>
      <c r="D1405" s="0" t="n">
        <v>120000</v>
      </c>
      <c r="E1405" s="0">
        <f>VLOOKUP(C1405,'Item Tier Lookup'!$A:$B,2,FALSE)</f>
        <v/>
      </c>
      <c r="F1405" s="0">
        <f>VLOOKUP(E1405,'Tier Params'!$A:$B,2,FALSE)</f>
        <v/>
      </c>
      <c r="G1405" s="0">
        <f>VLOOKUP(E1405,'Tier Params'!$A:$C,3,FALSE)</f>
        <v/>
      </c>
      <c r="H1405" s="0">
        <f>CEILING(D1405/G1405,1)</f>
        <v/>
      </c>
      <c r="I1405" s="0">
        <f>H1405*F1405</f>
        <v/>
      </c>
    </row>
    <row r="1406">
      <c r="A1406" s="0" t="inlineStr">
        <is>
          <t>'Reference sheet'!N1408</t>
        </is>
      </c>
      <c r="B1406" s="0" t="inlineStr">
        <is>
          <t>Structure Office Center</t>
        </is>
      </c>
      <c r="C1406" s="0" t="inlineStr">
        <is>
          <t>Chiral Structures</t>
        </is>
      </c>
      <c r="D1406" s="0" t="n">
        <v>800</v>
      </c>
      <c r="E1406" s="0">
        <f>VLOOKUP(C1406,'Item Tier Lookup'!$A:$B,2,FALSE)</f>
        <v/>
      </c>
      <c r="F1406" s="0">
        <f>VLOOKUP(E1406,'Tier Params'!$A:$B,2,FALSE)</f>
        <v/>
      </c>
      <c r="G1406" s="0">
        <f>VLOOKUP(E1406,'Tier Params'!$A:$C,3,FALSE)</f>
        <v/>
      </c>
      <c r="H1406" s="0">
        <f>CEILING(D1406/G1406,1)</f>
        <v/>
      </c>
      <c r="I1406" s="0">
        <f>H1406*F1406</f>
        <v/>
      </c>
    </row>
    <row r="1407">
      <c r="A1407" s="0" t="inlineStr">
        <is>
          <t>'Reference sheet'!N1409</t>
        </is>
      </c>
      <c r="B1407" s="0" t="inlineStr">
        <is>
          <t>Structure Office Center</t>
        </is>
      </c>
      <c r="C1407" s="0" t="inlineStr">
        <is>
          <t>Non-CS Crystals</t>
        </is>
      </c>
      <c r="D1407" s="0" t="n">
        <v>120000</v>
      </c>
      <c r="E1407" s="0">
        <f>VLOOKUP(C1407,'Item Tier Lookup'!$A:$B,2,FALSE)</f>
        <v/>
      </c>
      <c r="F1407" s="0">
        <f>VLOOKUP(E1407,'Tier Params'!$A:$B,2,FALSE)</f>
        <v/>
      </c>
      <c r="G1407" s="0">
        <f>VLOOKUP(E1407,'Tier Params'!$A:$C,3,FALSE)</f>
        <v/>
      </c>
      <c r="H1407" s="0">
        <f>CEILING(D1407/G1407,1)</f>
        <v/>
      </c>
      <c r="I1407" s="0">
        <f>H1407*F1407</f>
        <v/>
      </c>
    </row>
    <row r="1408">
      <c r="A1408" s="0" t="inlineStr">
        <is>
          <t>'Reference sheet'!N1410</t>
        </is>
      </c>
      <c r="B1408" s="0" t="inlineStr">
        <is>
          <t>Structure Office Center</t>
        </is>
      </c>
      <c r="C1408" s="0" t="inlineStr">
        <is>
          <t>Recursive Computing Module</t>
        </is>
      </c>
      <c r="D1408" s="0" t="n">
        <v>3</v>
      </c>
      <c r="E1408" s="0">
        <f>VLOOKUP(C1408,'Item Tier Lookup'!$A:$B,2,FALSE)</f>
        <v/>
      </c>
      <c r="F1408" s="0">
        <f>VLOOKUP(E1408,'Tier Params'!$A:$B,2,FALSE)</f>
        <v/>
      </c>
      <c r="G1408" s="0">
        <f>VLOOKUP(E1408,'Tier Params'!$A:$C,3,FALSE)</f>
        <v/>
      </c>
      <c r="H1408" s="0">
        <f>CEILING(D1408/G1408,1)</f>
        <v/>
      </c>
      <c r="I1408" s="0">
        <f>H1408*F1408</f>
        <v/>
      </c>
    </row>
    <row r="1409">
      <c r="A1409" s="0" t="inlineStr">
        <is>
          <t>'Reference sheet'!N1411</t>
        </is>
      </c>
      <c r="B1409" s="0" t="inlineStr">
        <is>
          <t>Structure Office Center</t>
        </is>
      </c>
      <c r="C1409" s="0" t="inlineStr">
        <is>
          <t>Synthetic Synapses</t>
        </is>
      </c>
      <c r="D1409" s="0" t="n">
        <v>18</v>
      </c>
      <c r="E1409" s="0">
        <f>VLOOKUP(C1409,'Item Tier Lookup'!$A:$B,2,FALSE)</f>
        <v/>
      </c>
      <c r="F1409" s="0">
        <f>VLOOKUP(E1409,'Tier Params'!$A:$B,2,FALSE)</f>
        <v/>
      </c>
      <c r="G1409" s="0">
        <f>VLOOKUP(E1409,'Tier Params'!$A:$C,3,FALSE)</f>
        <v/>
      </c>
      <c r="H1409" s="0">
        <f>CEILING(D1409/G1409,1)</f>
        <v/>
      </c>
      <c r="I1409" s="0">
        <f>H1409*F1409</f>
        <v/>
      </c>
    </row>
    <row r="1410">
      <c r="A1410" s="0" t="inlineStr">
        <is>
          <t>'Reference sheet'!N1412</t>
        </is>
      </c>
      <c r="B1410" s="0" t="inlineStr">
        <is>
          <t>Structure Office Center</t>
        </is>
      </c>
      <c r="C1410" s="0" t="inlineStr">
        <is>
          <t>Supertensile Plastics</t>
        </is>
      </c>
      <c r="D1410" s="0" t="n">
        <v>60</v>
      </c>
      <c r="E1410" s="0">
        <f>VLOOKUP(C1410,'Item Tier Lookup'!$A:$B,2,FALSE)</f>
        <v/>
      </c>
      <c r="F1410" s="0">
        <f>VLOOKUP(E1410,'Tier Params'!$A:$B,2,FALSE)</f>
        <v/>
      </c>
      <c r="G1410" s="0">
        <f>VLOOKUP(E1410,'Tier Params'!$A:$C,3,FALSE)</f>
        <v/>
      </c>
      <c r="H1410" s="0">
        <f>CEILING(D1410/G1410,1)</f>
        <v/>
      </c>
      <c r="I1410" s="0">
        <f>H1410*F1410</f>
        <v/>
      </c>
    </row>
    <row r="1411">
      <c r="A1411" s="0" t="inlineStr">
        <is>
          <t>'Reference sheet'!N1413</t>
        </is>
      </c>
      <c r="B1411" s="0" t="inlineStr">
        <is>
          <t>Structure Office Center</t>
        </is>
      </c>
      <c r="C1411" s="0" t="inlineStr">
        <is>
          <t>Oxygen</t>
        </is>
      </c>
      <c r="D1411" s="0" t="n">
        <v>480</v>
      </c>
      <c r="E1411" s="0">
        <f>VLOOKUP(C1411,'Item Tier Lookup'!$A:$B,2,FALSE)</f>
        <v/>
      </c>
      <c r="F1411" s="0">
        <f>VLOOKUP(E1411,'Tier Params'!$A:$B,2,FALSE)</f>
        <v/>
      </c>
      <c r="G1411" s="0">
        <f>VLOOKUP(E1411,'Tier Params'!$A:$C,3,FALSE)</f>
        <v/>
      </c>
      <c r="H1411" s="0">
        <f>CEILING(D1411/G1411,1)</f>
        <v/>
      </c>
      <c r="I1411" s="0">
        <f>H1411*F1411</f>
        <v/>
      </c>
    </row>
    <row r="1412">
      <c r="A1412" s="0" t="inlineStr">
        <is>
          <t>'Reference sheet'!N1414</t>
        </is>
      </c>
      <c r="B1412" s="0" t="inlineStr">
        <is>
          <t>Structure Office Center</t>
        </is>
      </c>
      <c r="C1412" s="0" t="inlineStr">
        <is>
          <t>Noble Gas</t>
        </is>
      </c>
      <c r="D1412" s="0" t="n">
        <v>72000</v>
      </c>
      <c r="E1412" s="0">
        <f>VLOOKUP(C1412,'Item Tier Lookup'!$A:$B,2,FALSE)</f>
        <v/>
      </c>
      <c r="F1412" s="0">
        <f>VLOOKUP(E1412,'Tier Params'!$A:$B,2,FALSE)</f>
        <v/>
      </c>
      <c r="G1412" s="0">
        <f>VLOOKUP(E1412,'Tier Params'!$A:$C,3,FALSE)</f>
        <v/>
      </c>
      <c r="H1412" s="0">
        <f>CEILING(D1412/G1412,1)</f>
        <v/>
      </c>
      <c r="I1412" s="0">
        <f>H1412*F1412</f>
        <v/>
      </c>
    </row>
    <row r="1413">
      <c r="A1413" s="0" t="inlineStr">
        <is>
          <t>'Reference sheet'!N1415</t>
        </is>
      </c>
      <c r="B1413" s="0" t="inlineStr">
        <is>
          <t>Structure Office Center</t>
        </is>
      </c>
      <c r="C1413" s="0" t="inlineStr">
        <is>
          <t>Biomass</t>
        </is>
      </c>
      <c r="D1413" s="0" t="n">
        <v>480</v>
      </c>
      <c r="E1413" s="0">
        <f>VLOOKUP(C1413,'Item Tier Lookup'!$A:$B,2,FALSE)</f>
        <v/>
      </c>
      <c r="F1413" s="0">
        <f>VLOOKUP(E1413,'Tier Params'!$A:$B,2,FALSE)</f>
        <v/>
      </c>
      <c r="G1413" s="0">
        <f>VLOOKUP(E1413,'Tier Params'!$A:$C,3,FALSE)</f>
        <v/>
      </c>
      <c r="H1413" s="0">
        <f>CEILING(D1413/G1413,1)</f>
        <v/>
      </c>
      <c r="I1413" s="0">
        <f>H1413*F1413</f>
        <v/>
      </c>
    </row>
    <row r="1414">
      <c r="A1414" s="0" t="inlineStr">
        <is>
          <t>'Reference sheet'!N1416</t>
        </is>
      </c>
      <c r="B1414" s="0" t="inlineStr">
        <is>
          <t>Structure Office Center</t>
        </is>
      </c>
      <c r="C1414" s="0" t="inlineStr">
        <is>
          <t>Planktic Colonies</t>
        </is>
      </c>
      <c r="D1414" s="0" t="n">
        <v>72000</v>
      </c>
      <c r="E1414" s="0">
        <f>VLOOKUP(C1414,'Item Tier Lookup'!$A:$B,2,FALSE)</f>
        <v/>
      </c>
      <c r="F1414" s="0">
        <f>VLOOKUP(E1414,'Tier Params'!$A:$B,2,FALSE)</f>
        <v/>
      </c>
      <c r="G1414" s="0">
        <f>VLOOKUP(E1414,'Tier Params'!$A:$C,3,FALSE)</f>
        <v/>
      </c>
      <c r="H1414" s="0">
        <f>CEILING(D1414/G1414,1)</f>
        <v/>
      </c>
      <c r="I1414" s="0">
        <f>H1414*F1414</f>
        <v/>
      </c>
    </row>
    <row r="1415">
      <c r="A1415" s="0" t="inlineStr">
        <is>
          <t>'Reference sheet'!N1417</t>
        </is>
      </c>
      <c r="B1415" s="0" t="inlineStr">
        <is>
          <t>Structure Office Center</t>
        </is>
      </c>
      <c r="C1415" s="0" t="inlineStr">
        <is>
          <t>Test Cultures</t>
        </is>
      </c>
      <c r="D1415" s="0" t="n">
        <v>60</v>
      </c>
      <c r="E1415" s="0">
        <f>VLOOKUP(C1415,'Item Tier Lookup'!$A:$B,2,FALSE)</f>
        <v/>
      </c>
      <c r="F1415" s="0">
        <f>VLOOKUP(E1415,'Tier Params'!$A:$B,2,FALSE)</f>
        <v/>
      </c>
      <c r="G1415" s="0">
        <f>VLOOKUP(E1415,'Tier Params'!$A:$C,3,FALSE)</f>
        <v/>
      </c>
      <c r="H1415" s="0">
        <f>CEILING(D1415/G1415,1)</f>
        <v/>
      </c>
      <c r="I1415" s="0">
        <f>H1415*F1415</f>
        <v/>
      </c>
    </row>
    <row r="1416">
      <c r="A1416" s="0" t="inlineStr">
        <is>
          <t>'Reference sheet'!N1418</t>
        </is>
      </c>
      <c r="B1416" s="0" t="inlineStr">
        <is>
          <t>Structure Office Center</t>
        </is>
      </c>
      <c r="C1416" s="0" t="inlineStr">
        <is>
          <t>Bacteria</t>
        </is>
      </c>
      <c r="D1416" s="0" t="n">
        <v>480</v>
      </c>
      <c r="E1416" s="0">
        <f>VLOOKUP(C1416,'Item Tier Lookup'!$A:$B,2,FALSE)</f>
        <v/>
      </c>
      <c r="F1416" s="0">
        <f>VLOOKUP(E1416,'Tier Params'!$A:$B,2,FALSE)</f>
        <v/>
      </c>
      <c r="G1416" s="0">
        <f>VLOOKUP(E1416,'Tier Params'!$A:$C,3,FALSE)</f>
        <v/>
      </c>
      <c r="H1416" s="0">
        <f>CEILING(D1416/G1416,1)</f>
        <v/>
      </c>
      <c r="I1416" s="0">
        <f>H1416*F1416</f>
        <v/>
      </c>
    </row>
    <row r="1417">
      <c r="A1417" s="0" t="inlineStr">
        <is>
          <t>'Reference sheet'!N1419</t>
        </is>
      </c>
      <c r="B1417" s="0" t="inlineStr">
        <is>
          <t>Structure Office Center</t>
        </is>
      </c>
      <c r="C1417" s="0" t="inlineStr">
        <is>
          <t>Microorganisms</t>
        </is>
      </c>
      <c r="D1417" s="0" t="n">
        <v>72000</v>
      </c>
      <c r="E1417" s="0">
        <f>VLOOKUP(C1417,'Item Tier Lookup'!$A:$B,2,FALSE)</f>
        <v/>
      </c>
      <c r="F1417" s="0">
        <f>VLOOKUP(E1417,'Tier Params'!$A:$B,2,FALSE)</f>
        <v/>
      </c>
      <c r="G1417" s="0">
        <f>VLOOKUP(E1417,'Tier Params'!$A:$C,3,FALSE)</f>
        <v/>
      </c>
      <c r="H1417" s="0">
        <f>CEILING(D1417/G1417,1)</f>
        <v/>
      </c>
      <c r="I1417" s="0">
        <f>H1417*F1417</f>
        <v/>
      </c>
    </row>
    <row r="1418">
      <c r="A1418" s="0" t="inlineStr">
        <is>
          <t>'Reference sheet'!N1420</t>
        </is>
      </c>
      <c r="B1418" s="0" t="inlineStr">
        <is>
          <t>Structure Office Center</t>
        </is>
      </c>
      <c r="C1418" s="0" t="inlineStr">
        <is>
          <t>Water</t>
        </is>
      </c>
      <c r="D1418" s="0" t="n">
        <v>480</v>
      </c>
      <c r="E1418" s="0">
        <f>VLOOKUP(C1418,'Item Tier Lookup'!$A:$B,2,FALSE)</f>
        <v/>
      </c>
      <c r="F1418" s="0">
        <f>VLOOKUP(E1418,'Tier Params'!$A:$B,2,FALSE)</f>
        <v/>
      </c>
      <c r="G1418" s="0">
        <f>VLOOKUP(E1418,'Tier Params'!$A:$C,3,FALSE)</f>
        <v/>
      </c>
      <c r="H1418" s="0">
        <f>CEILING(D1418/G1418,1)</f>
        <v/>
      </c>
      <c r="I1418" s="0">
        <f>H1418*F1418</f>
        <v/>
      </c>
    </row>
    <row r="1419">
      <c r="A1419" s="0" t="inlineStr">
        <is>
          <t>'Reference sheet'!N1421</t>
        </is>
      </c>
      <c r="B1419" s="0" t="inlineStr">
        <is>
          <t>Structure Office Center</t>
        </is>
      </c>
      <c r="C1419" s="0" t="inlineStr">
        <is>
          <t>Aqueous Liquids</t>
        </is>
      </c>
      <c r="D1419" s="0" t="n">
        <v>72000</v>
      </c>
      <c r="E1419" s="0">
        <f>VLOOKUP(C1419,'Item Tier Lookup'!$A:$B,2,FALSE)</f>
        <v/>
      </c>
      <c r="F1419" s="0">
        <f>VLOOKUP(E1419,'Tier Params'!$A:$B,2,FALSE)</f>
        <v/>
      </c>
      <c r="G1419" s="0">
        <f>VLOOKUP(E1419,'Tier Params'!$A:$C,3,FALSE)</f>
        <v/>
      </c>
      <c r="H1419" s="0">
        <f>CEILING(D1419/G1419,1)</f>
        <v/>
      </c>
      <c r="I1419" s="0">
        <f>H1419*F1419</f>
        <v/>
      </c>
    </row>
    <row r="1420">
      <c r="A1420" s="0" t="inlineStr">
        <is>
          <t>'Reference sheet'!N1422</t>
        </is>
      </c>
      <c r="B1420" s="0" t="inlineStr">
        <is>
          <t>Structure Office Center</t>
        </is>
      </c>
      <c r="C1420" s="0" t="inlineStr">
        <is>
          <t>Transcranial Microcontrollers</t>
        </is>
      </c>
      <c r="D1420" s="0" t="n">
        <v>18</v>
      </c>
      <c r="E1420" s="0">
        <f>VLOOKUP(C1420,'Item Tier Lookup'!$A:$B,2,FALSE)</f>
        <v/>
      </c>
      <c r="F1420" s="0">
        <f>VLOOKUP(E1420,'Tier Params'!$A:$B,2,FALSE)</f>
        <v/>
      </c>
      <c r="G1420" s="0">
        <f>VLOOKUP(E1420,'Tier Params'!$A:$C,3,FALSE)</f>
        <v/>
      </c>
      <c r="H1420" s="0">
        <f>CEILING(D1420/G1420,1)</f>
        <v/>
      </c>
      <c r="I1420" s="0">
        <f>H1420*F1420</f>
        <v/>
      </c>
    </row>
    <row r="1421">
      <c r="A1421" s="0" t="inlineStr">
        <is>
          <t>'Reference sheet'!N1423</t>
        </is>
      </c>
      <c r="B1421" s="0" t="inlineStr">
        <is>
          <t>Structure Office Center</t>
        </is>
      </c>
      <c r="C1421" s="0" t="inlineStr">
        <is>
          <t>Biocells</t>
        </is>
      </c>
      <c r="D1421" s="0" t="n">
        <v>60</v>
      </c>
      <c r="E1421" s="0">
        <f>VLOOKUP(C1421,'Item Tier Lookup'!$A:$B,2,FALSE)</f>
        <v/>
      </c>
      <c r="F1421" s="0">
        <f>VLOOKUP(E1421,'Tier Params'!$A:$B,2,FALSE)</f>
        <v/>
      </c>
      <c r="G1421" s="0">
        <f>VLOOKUP(E1421,'Tier Params'!$A:$C,3,FALSE)</f>
        <v/>
      </c>
      <c r="H1421" s="0">
        <f>CEILING(D1421/G1421,1)</f>
        <v/>
      </c>
      <c r="I1421" s="0">
        <f>H1421*F1421</f>
        <v/>
      </c>
    </row>
    <row r="1422">
      <c r="A1422" s="0" t="inlineStr">
        <is>
          <t>'Reference sheet'!N1424</t>
        </is>
      </c>
      <c r="B1422" s="0" t="inlineStr">
        <is>
          <t>Structure Office Center</t>
        </is>
      </c>
      <c r="C1422" s="0" t="inlineStr">
        <is>
          <t>Biofuels</t>
        </is>
      </c>
      <c r="D1422" s="0" t="n">
        <v>480</v>
      </c>
      <c r="E1422" s="0">
        <f>VLOOKUP(C1422,'Item Tier Lookup'!$A:$B,2,FALSE)</f>
        <v/>
      </c>
      <c r="F1422" s="0">
        <f>VLOOKUP(E1422,'Tier Params'!$A:$B,2,FALSE)</f>
        <v/>
      </c>
      <c r="G1422" s="0">
        <f>VLOOKUP(E1422,'Tier Params'!$A:$C,3,FALSE)</f>
        <v/>
      </c>
      <c r="H1422" s="0">
        <f>CEILING(D1422/G1422,1)</f>
        <v/>
      </c>
      <c r="I1422" s="0">
        <f>H1422*F1422</f>
        <v/>
      </c>
    </row>
    <row r="1423">
      <c r="A1423" s="0" t="inlineStr">
        <is>
          <t>'Reference sheet'!N1425</t>
        </is>
      </c>
      <c r="B1423" s="0" t="inlineStr">
        <is>
          <t>Structure Office Center</t>
        </is>
      </c>
      <c r="C1423" s="0" t="inlineStr">
        <is>
          <t>Carbon Compounds</t>
        </is>
      </c>
      <c r="D1423" s="0" t="n">
        <v>72000</v>
      </c>
      <c r="E1423" s="0">
        <f>VLOOKUP(C1423,'Item Tier Lookup'!$A:$B,2,FALSE)</f>
        <v/>
      </c>
      <c r="F1423" s="0">
        <f>VLOOKUP(E1423,'Tier Params'!$A:$B,2,FALSE)</f>
        <v/>
      </c>
      <c r="G1423" s="0">
        <f>VLOOKUP(E1423,'Tier Params'!$A:$C,3,FALSE)</f>
        <v/>
      </c>
      <c r="H1423" s="0">
        <f>CEILING(D1423/G1423,1)</f>
        <v/>
      </c>
      <c r="I1423" s="0">
        <f>H1423*F1423</f>
        <v/>
      </c>
    </row>
    <row r="1424">
      <c r="A1424" s="0" t="inlineStr">
        <is>
          <t>'Reference sheet'!N1426</t>
        </is>
      </c>
      <c r="B1424" s="0" t="inlineStr">
        <is>
          <t>Structure Office Center</t>
        </is>
      </c>
      <c r="C1424" s="0" t="inlineStr">
        <is>
          <t>Precious Metals</t>
        </is>
      </c>
      <c r="D1424" s="0" t="n">
        <v>480</v>
      </c>
      <c r="E1424" s="0">
        <f>VLOOKUP(C1424,'Item Tier Lookup'!$A:$B,2,FALSE)</f>
        <v/>
      </c>
      <c r="F1424" s="0">
        <f>VLOOKUP(E1424,'Tier Params'!$A:$B,2,FALSE)</f>
        <v/>
      </c>
      <c r="G1424" s="0">
        <f>VLOOKUP(E1424,'Tier Params'!$A:$C,3,FALSE)</f>
        <v/>
      </c>
      <c r="H1424" s="0">
        <f>CEILING(D1424/G1424,1)</f>
        <v/>
      </c>
      <c r="I1424" s="0">
        <f>H1424*F1424</f>
        <v/>
      </c>
    </row>
    <row r="1425">
      <c r="A1425" s="0" t="inlineStr">
        <is>
          <t>'Reference sheet'!N1427</t>
        </is>
      </c>
      <c r="B1425" s="0" t="inlineStr">
        <is>
          <t>Structure Office Center</t>
        </is>
      </c>
      <c r="C1425" s="0" t="inlineStr">
        <is>
          <t>Noble Metals</t>
        </is>
      </c>
      <c r="D1425" s="0" t="n">
        <v>72000</v>
      </c>
      <c r="E1425" s="0">
        <f>VLOOKUP(C1425,'Item Tier Lookup'!$A:$B,2,FALSE)</f>
        <v/>
      </c>
      <c r="F1425" s="0">
        <f>VLOOKUP(E1425,'Tier Params'!$A:$B,2,FALSE)</f>
        <v/>
      </c>
      <c r="G1425" s="0">
        <f>VLOOKUP(E1425,'Tier Params'!$A:$C,3,FALSE)</f>
        <v/>
      </c>
      <c r="H1425" s="0">
        <f>CEILING(D1425/G1425,1)</f>
        <v/>
      </c>
      <c r="I1425" s="0">
        <f>H1425*F1425</f>
        <v/>
      </c>
    </row>
    <row r="1426">
      <c r="A1426" s="0" t="inlineStr">
        <is>
          <t>'Reference sheet'!N1428</t>
        </is>
      </c>
      <c r="B1426" s="0" t="inlineStr">
        <is>
          <t>Structure Office Center</t>
        </is>
      </c>
      <c r="C1426" s="0" t="inlineStr">
        <is>
          <t>Nanites</t>
        </is>
      </c>
      <c r="D1426" s="0" t="n">
        <v>60</v>
      </c>
      <c r="E1426" s="0">
        <f>VLOOKUP(C1426,'Item Tier Lookup'!$A:$B,2,FALSE)</f>
        <v/>
      </c>
      <c r="F1426" s="0">
        <f>VLOOKUP(E1426,'Tier Params'!$A:$B,2,FALSE)</f>
        <v/>
      </c>
      <c r="G1426" s="0">
        <f>VLOOKUP(E1426,'Tier Params'!$A:$C,3,FALSE)</f>
        <v/>
      </c>
      <c r="H1426" s="0">
        <f>CEILING(D1426/G1426,1)</f>
        <v/>
      </c>
      <c r="I1426" s="0">
        <f>H1426*F1426</f>
        <v/>
      </c>
    </row>
    <row r="1427">
      <c r="A1427" s="0" t="inlineStr">
        <is>
          <t>'Reference sheet'!N1429</t>
        </is>
      </c>
      <c r="B1427" s="0" t="inlineStr">
        <is>
          <t>Structure Office Center</t>
        </is>
      </c>
      <c r="C1427" s="0" t="inlineStr">
        <is>
          <t>Bacteria</t>
        </is>
      </c>
      <c r="D1427" s="0" t="n">
        <v>480</v>
      </c>
      <c r="E1427" s="0">
        <f>VLOOKUP(C1427,'Item Tier Lookup'!$A:$B,2,FALSE)</f>
        <v/>
      </c>
      <c r="F1427" s="0">
        <f>VLOOKUP(E1427,'Tier Params'!$A:$B,2,FALSE)</f>
        <v/>
      </c>
      <c r="G1427" s="0">
        <f>VLOOKUP(E1427,'Tier Params'!$A:$C,3,FALSE)</f>
        <v/>
      </c>
      <c r="H1427" s="0">
        <f>CEILING(D1427/G1427,1)</f>
        <v/>
      </c>
      <c r="I1427" s="0">
        <f>H1427*F1427</f>
        <v/>
      </c>
    </row>
    <row r="1428">
      <c r="A1428" s="0" t="inlineStr">
        <is>
          <t>'Reference sheet'!N1430</t>
        </is>
      </c>
      <c r="B1428" s="0" t="inlineStr">
        <is>
          <t>Structure Office Center</t>
        </is>
      </c>
      <c r="C1428" s="0" t="inlineStr">
        <is>
          <t>Microorganisms</t>
        </is>
      </c>
      <c r="D1428" s="0" t="n">
        <v>72000</v>
      </c>
      <c r="E1428" s="0">
        <f>VLOOKUP(C1428,'Item Tier Lookup'!$A:$B,2,FALSE)</f>
        <v/>
      </c>
      <c r="F1428" s="0">
        <f>VLOOKUP(E1428,'Tier Params'!$A:$B,2,FALSE)</f>
        <v/>
      </c>
      <c r="G1428" s="0">
        <f>VLOOKUP(E1428,'Tier Params'!$A:$C,3,FALSE)</f>
        <v/>
      </c>
      <c r="H1428" s="0">
        <f>CEILING(D1428/G1428,1)</f>
        <v/>
      </c>
      <c r="I1428" s="0">
        <f>H1428*F1428</f>
        <v/>
      </c>
    </row>
    <row r="1429">
      <c r="A1429" s="0" t="inlineStr">
        <is>
          <t>'Reference sheet'!N1431</t>
        </is>
      </c>
      <c r="B1429" s="0" t="inlineStr">
        <is>
          <t>Structure Office Center</t>
        </is>
      </c>
      <c r="C1429" s="0" t="inlineStr">
        <is>
          <t>Reactive Metals</t>
        </is>
      </c>
      <c r="D1429" s="0" t="n">
        <v>480</v>
      </c>
      <c r="E1429" s="0">
        <f>VLOOKUP(C1429,'Item Tier Lookup'!$A:$B,2,FALSE)</f>
        <v/>
      </c>
      <c r="F1429" s="0">
        <f>VLOOKUP(E1429,'Tier Params'!$A:$B,2,FALSE)</f>
        <v/>
      </c>
      <c r="G1429" s="0">
        <f>VLOOKUP(E1429,'Tier Params'!$A:$C,3,FALSE)</f>
        <v/>
      </c>
      <c r="H1429" s="0">
        <f>CEILING(D1429/G1429,1)</f>
        <v/>
      </c>
      <c r="I1429" s="0">
        <f>H1429*F1429</f>
        <v/>
      </c>
    </row>
    <row r="1430">
      <c r="A1430" s="0" t="inlineStr">
        <is>
          <t>'Reference sheet'!N1432</t>
        </is>
      </c>
      <c r="B1430" s="0" t="inlineStr">
        <is>
          <t>Structure Office Center</t>
        </is>
      </c>
      <c r="C1430" s="0" t="inlineStr">
        <is>
          <t>Base Metals</t>
        </is>
      </c>
      <c r="D1430" s="0" t="n">
        <v>72000</v>
      </c>
      <c r="E1430" s="0">
        <f>VLOOKUP(C1430,'Item Tier Lookup'!$A:$B,2,FALSE)</f>
        <v/>
      </c>
      <c r="F1430" s="0">
        <f>VLOOKUP(E1430,'Tier Params'!$A:$B,2,FALSE)</f>
        <v/>
      </c>
      <c r="G1430" s="0">
        <f>VLOOKUP(E1430,'Tier Params'!$A:$C,3,FALSE)</f>
        <v/>
      </c>
      <c r="H1430" s="0">
        <f>CEILING(D1430/G1430,1)</f>
        <v/>
      </c>
      <c r="I1430" s="0">
        <f>H1430*F1430</f>
        <v/>
      </c>
    </row>
    <row r="1431">
      <c r="A1431" s="0" t="inlineStr">
        <is>
          <t>'Reference sheet'!N1433</t>
        </is>
      </c>
      <c r="B1431" s="0" t="inlineStr">
        <is>
          <t>Structure Office Center</t>
        </is>
      </c>
      <c r="C1431" s="0" t="inlineStr">
        <is>
          <t>Guidance Systems</t>
        </is>
      </c>
      <c r="D1431" s="0" t="n">
        <v>18</v>
      </c>
      <c r="E1431" s="0">
        <f>VLOOKUP(C1431,'Item Tier Lookup'!$A:$B,2,FALSE)</f>
        <v/>
      </c>
      <c r="F1431" s="0">
        <f>VLOOKUP(E1431,'Tier Params'!$A:$B,2,FALSE)</f>
        <v/>
      </c>
      <c r="G1431" s="0">
        <f>VLOOKUP(E1431,'Tier Params'!$A:$C,3,FALSE)</f>
        <v/>
      </c>
      <c r="H1431" s="0">
        <f>CEILING(D1431/G1431,1)</f>
        <v/>
      </c>
      <c r="I1431" s="0">
        <f>H1431*F1431</f>
        <v/>
      </c>
    </row>
    <row r="1432">
      <c r="A1432" s="0" t="inlineStr">
        <is>
          <t>'Reference sheet'!N1434</t>
        </is>
      </c>
      <c r="B1432" s="0" t="inlineStr">
        <is>
          <t>Structure Office Center</t>
        </is>
      </c>
      <c r="C1432" s="0" t="inlineStr">
        <is>
          <t>Water-Cooled CPU</t>
        </is>
      </c>
      <c r="D1432" s="0" t="n">
        <v>60</v>
      </c>
      <c r="E1432" s="0">
        <f>VLOOKUP(C1432,'Item Tier Lookup'!$A:$B,2,FALSE)</f>
        <v/>
      </c>
      <c r="F1432" s="0">
        <f>VLOOKUP(E1432,'Tier Params'!$A:$B,2,FALSE)</f>
        <v/>
      </c>
      <c r="G1432" s="0">
        <f>VLOOKUP(E1432,'Tier Params'!$A:$C,3,FALSE)</f>
        <v/>
      </c>
      <c r="H1432" s="0">
        <f>CEILING(D1432/G1432,1)</f>
        <v/>
      </c>
      <c r="I1432" s="0">
        <f>H1432*F1432</f>
        <v/>
      </c>
    </row>
    <row r="1433">
      <c r="A1433" s="0" t="inlineStr">
        <is>
          <t>'Reference sheet'!N1435</t>
        </is>
      </c>
      <c r="B1433" s="0" t="inlineStr">
        <is>
          <t>Structure Office Center</t>
        </is>
      </c>
      <c r="C1433" s="0" t="inlineStr">
        <is>
          <t>Water</t>
        </is>
      </c>
      <c r="D1433" s="0" t="n">
        <v>480</v>
      </c>
      <c r="E1433" s="0">
        <f>VLOOKUP(C1433,'Item Tier Lookup'!$A:$B,2,FALSE)</f>
        <v/>
      </c>
      <c r="F1433" s="0">
        <f>VLOOKUP(E1433,'Tier Params'!$A:$B,2,FALSE)</f>
        <v/>
      </c>
      <c r="G1433" s="0">
        <f>VLOOKUP(E1433,'Tier Params'!$A:$C,3,FALSE)</f>
        <v/>
      </c>
      <c r="H1433" s="0">
        <f>CEILING(D1433/G1433,1)</f>
        <v/>
      </c>
      <c r="I1433" s="0">
        <f>H1433*F1433</f>
        <v/>
      </c>
    </row>
    <row r="1434">
      <c r="A1434" s="0" t="inlineStr">
        <is>
          <t>'Reference sheet'!N1436</t>
        </is>
      </c>
      <c r="B1434" s="0" t="inlineStr">
        <is>
          <t>Structure Office Center</t>
        </is>
      </c>
      <c r="C1434" s="0" t="inlineStr">
        <is>
          <t>Aqueous Liquids</t>
        </is>
      </c>
      <c r="D1434" s="0" t="n">
        <v>72000</v>
      </c>
      <c r="E1434" s="0">
        <f>VLOOKUP(C1434,'Item Tier Lookup'!$A:$B,2,FALSE)</f>
        <v/>
      </c>
      <c r="F1434" s="0">
        <f>VLOOKUP(E1434,'Tier Params'!$A:$B,2,FALSE)</f>
        <v/>
      </c>
      <c r="G1434" s="0">
        <f>VLOOKUP(E1434,'Tier Params'!$A:$C,3,FALSE)</f>
        <v/>
      </c>
      <c r="H1434" s="0">
        <f>CEILING(D1434/G1434,1)</f>
        <v/>
      </c>
      <c r="I1434" s="0">
        <f>H1434*F1434</f>
        <v/>
      </c>
    </row>
    <row r="1435">
      <c r="A1435" s="0" t="inlineStr">
        <is>
          <t>'Reference sheet'!N1437</t>
        </is>
      </c>
      <c r="B1435" s="0" t="inlineStr">
        <is>
          <t>Structure Office Center</t>
        </is>
      </c>
      <c r="C1435" s="0" t="inlineStr">
        <is>
          <t>Reactive Metals</t>
        </is>
      </c>
      <c r="D1435" s="0" t="n">
        <v>480</v>
      </c>
      <c r="E1435" s="0">
        <f>VLOOKUP(C1435,'Item Tier Lookup'!$A:$B,2,FALSE)</f>
        <v/>
      </c>
      <c r="F1435" s="0">
        <f>VLOOKUP(E1435,'Tier Params'!$A:$B,2,FALSE)</f>
        <v/>
      </c>
      <c r="G1435" s="0">
        <f>VLOOKUP(E1435,'Tier Params'!$A:$C,3,FALSE)</f>
        <v/>
      </c>
      <c r="H1435" s="0">
        <f>CEILING(D1435/G1435,1)</f>
        <v/>
      </c>
      <c r="I1435" s="0">
        <f>H1435*F1435</f>
        <v/>
      </c>
    </row>
    <row r="1436">
      <c r="A1436" s="0" t="inlineStr">
        <is>
          <t>'Reference sheet'!N1438</t>
        </is>
      </c>
      <c r="B1436" s="0" t="inlineStr">
        <is>
          <t>Structure Office Center</t>
        </is>
      </c>
      <c r="C1436" s="0" t="inlineStr">
        <is>
          <t>Base Metals</t>
        </is>
      </c>
      <c r="D1436" s="0" t="n">
        <v>72000</v>
      </c>
      <c r="E1436" s="0">
        <f>VLOOKUP(C1436,'Item Tier Lookup'!$A:$B,2,FALSE)</f>
        <v/>
      </c>
      <c r="F1436" s="0">
        <f>VLOOKUP(E1436,'Tier Params'!$A:$B,2,FALSE)</f>
        <v/>
      </c>
      <c r="G1436" s="0">
        <f>VLOOKUP(E1436,'Tier Params'!$A:$C,3,FALSE)</f>
        <v/>
      </c>
      <c r="H1436" s="0">
        <f>CEILING(D1436/G1436,1)</f>
        <v/>
      </c>
      <c r="I1436" s="0">
        <f>H1436*F1436</f>
        <v/>
      </c>
    </row>
    <row r="1437">
      <c r="A1437" s="0" t="inlineStr">
        <is>
          <t>'Reference sheet'!N1439</t>
        </is>
      </c>
      <c r="B1437" s="0" t="inlineStr">
        <is>
          <t>Structure Office Center</t>
        </is>
      </c>
      <c r="C1437" s="0" t="inlineStr">
        <is>
          <t>Transmitter</t>
        </is>
      </c>
      <c r="D1437" s="0" t="n">
        <v>60</v>
      </c>
      <c r="E1437" s="0">
        <f>VLOOKUP(C1437,'Item Tier Lookup'!$A:$B,2,FALSE)</f>
        <v/>
      </c>
      <c r="F1437" s="0">
        <f>VLOOKUP(E1437,'Tier Params'!$A:$B,2,FALSE)</f>
        <v/>
      </c>
      <c r="G1437" s="0">
        <f>VLOOKUP(E1437,'Tier Params'!$A:$C,3,FALSE)</f>
        <v/>
      </c>
      <c r="H1437" s="0">
        <f>CEILING(D1437/G1437,1)</f>
        <v/>
      </c>
      <c r="I1437" s="0">
        <f>H1437*F1437</f>
        <v/>
      </c>
    </row>
    <row r="1438">
      <c r="A1438" s="0" t="inlineStr">
        <is>
          <t>'Reference sheet'!N1440</t>
        </is>
      </c>
      <c r="B1438" s="0" t="inlineStr">
        <is>
          <t>Structure Office Center</t>
        </is>
      </c>
      <c r="C1438" s="0" t="inlineStr">
        <is>
          <t>Chiral Structures</t>
        </is>
      </c>
      <c r="D1438" s="0" t="n">
        <v>480</v>
      </c>
      <c r="E1438" s="0">
        <f>VLOOKUP(C1438,'Item Tier Lookup'!$A:$B,2,FALSE)</f>
        <v/>
      </c>
      <c r="F1438" s="0">
        <f>VLOOKUP(E1438,'Tier Params'!$A:$B,2,FALSE)</f>
        <v/>
      </c>
      <c r="G1438" s="0">
        <f>VLOOKUP(E1438,'Tier Params'!$A:$C,3,FALSE)</f>
        <v/>
      </c>
      <c r="H1438" s="0">
        <f>CEILING(D1438/G1438,1)</f>
        <v/>
      </c>
      <c r="I1438" s="0">
        <f>H1438*F1438</f>
        <v/>
      </c>
    </row>
    <row r="1439">
      <c r="A1439" s="0" t="inlineStr">
        <is>
          <t>'Reference sheet'!N1441</t>
        </is>
      </c>
      <c r="B1439" s="0" t="inlineStr">
        <is>
          <t>Structure Office Center</t>
        </is>
      </c>
      <c r="C1439" s="0" t="inlineStr">
        <is>
          <t>Non-CS Crystals</t>
        </is>
      </c>
      <c r="D1439" s="0" t="n">
        <v>72000</v>
      </c>
      <c r="E1439" s="0">
        <f>VLOOKUP(C1439,'Item Tier Lookup'!$A:$B,2,FALSE)</f>
        <v/>
      </c>
      <c r="F1439" s="0">
        <f>VLOOKUP(E1439,'Tier Params'!$A:$B,2,FALSE)</f>
        <v/>
      </c>
      <c r="G1439" s="0">
        <f>VLOOKUP(E1439,'Tier Params'!$A:$C,3,FALSE)</f>
        <v/>
      </c>
      <c r="H1439" s="0">
        <f>CEILING(D1439/G1439,1)</f>
        <v/>
      </c>
      <c r="I1439" s="0">
        <f>H1439*F1439</f>
        <v/>
      </c>
    </row>
    <row r="1440">
      <c r="A1440" s="0" t="inlineStr">
        <is>
          <t>'Reference sheet'!N1442</t>
        </is>
      </c>
      <c r="B1440" s="0" t="inlineStr">
        <is>
          <t>Structure Office Center</t>
        </is>
      </c>
      <c r="C1440" s="0" t="inlineStr">
        <is>
          <t>Plasmoids</t>
        </is>
      </c>
      <c r="D1440" s="0" t="n">
        <v>480</v>
      </c>
      <c r="E1440" s="0">
        <f>VLOOKUP(C1440,'Item Tier Lookup'!$A:$B,2,FALSE)</f>
        <v/>
      </c>
      <c r="F1440" s="0">
        <f>VLOOKUP(E1440,'Tier Params'!$A:$B,2,FALSE)</f>
        <v/>
      </c>
      <c r="G1440" s="0">
        <f>VLOOKUP(E1440,'Tier Params'!$A:$C,3,FALSE)</f>
        <v/>
      </c>
      <c r="H1440" s="0">
        <f>CEILING(D1440/G1440,1)</f>
        <v/>
      </c>
      <c r="I1440" s="0">
        <f>H1440*F1440</f>
        <v/>
      </c>
    </row>
    <row r="1441">
      <c r="A1441" s="0" t="inlineStr">
        <is>
          <t>'Reference sheet'!N1443</t>
        </is>
      </c>
      <c r="B1441" s="0" t="inlineStr">
        <is>
          <t>Structure Office Center</t>
        </is>
      </c>
      <c r="C1441" s="0" t="inlineStr">
        <is>
          <t>Suspended Plasma</t>
        </is>
      </c>
      <c r="D1441" s="0" t="n">
        <v>72000</v>
      </c>
      <c r="E1441" s="0">
        <f>VLOOKUP(C1441,'Item Tier Lookup'!$A:$B,2,FALSE)</f>
        <v/>
      </c>
      <c r="F1441" s="0">
        <f>VLOOKUP(E1441,'Tier Params'!$A:$B,2,FALSE)</f>
        <v/>
      </c>
      <c r="G1441" s="0">
        <f>VLOOKUP(E1441,'Tier Params'!$A:$C,3,FALSE)</f>
        <v/>
      </c>
      <c r="H1441" s="0">
        <f>CEILING(D1441/G1441,1)</f>
        <v/>
      </c>
      <c r="I1441" s="0">
        <f>H1441*F1441</f>
        <v/>
      </c>
    </row>
    <row r="1442">
      <c r="A1442" s="0" t="inlineStr">
        <is>
          <t>'Reference sheet'!N1444</t>
        </is>
      </c>
      <c r="B1442" s="0" t="inlineStr">
        <is>
          <t>Structure Office Center</t>
        </is>
      </c>
      <c r="C1442" s="0" t="inlineStr">
        <is>
          <t>Self-Harmonizing Power Core</t>
        </is>
      </c>
      <c r="D1442" s="0" t="n">
        <v>3</v>
      </c>
      <c r="E1442" s="0">
        <f>VLOOKUP(C1442,'Item Tier Lookup'!$A:$B,2,FALSE)</f>
        <v/>
      </c>
      <c r="F1442" s="0">
        <f>VLOOKUP(E1442,'Tier Params'!$A:$B,2,FALSE)</f>
        <v/>
      </c>
      <c r="G1442" s="0">
        <f>VLOOKUP(E1442,'Tier Params'!$A:$C,3,FALSE)</f>
        <v/>
      </c>
      <c r="H1442" s="0">
        <f>CEILING(D1442/G1442,1)</f>
        <v/>
      </c>
      <c r="I1442" s="0">
        <f>H1442*F1442</f>
        <v/>
      </c>
    </row>
    <row r="1443">
      <c r="A1443" s="0" t="inlineStr">
        <is>
          <t>'Reference sheet'!N1445</t>
        </is>
      </c>
      <c r="B1443" s="0" t="inlineStr">
        <is>
          <t>Structure Office Center</t>
        </is>
      </c>
      <c r="C1443" s="0" t="inlineStr">
        <is>
          <t>Nuclear Reactors</t>
        </is>
      </c>
      <c r="D1443" s="0" t="n">
        <v>18</v>
      </c>
      <c r="E1443" s="0">
        <f>VLOOKUP(C1443,'Item Tier Lookup'!$A:$B,2,FALSE)</f>
        <v/>
      </c>
      <c r="F1443" s="0">
        <f>VLOOKUP(E1443,'Tier Params'!$A:$B,2,FALSE)</f>
        <v/>
      </c>
      <c r="G1443" s="0">
        <f>VLOOKUP(E1443,'Tier Params'!$A:$C,3,FALSE)</f>
        <v/>
      </c>
      <c r="H1443" s="0">
        <f>CEILING(D1443/G1443,1)</f>
        <v/>
      </c>
      <c r="I1443" s="0">
        <f>H1443*F1443</f>
        <v/>
      </c>
    </row>
    <row r="1444">
      <c r="A1444" s="0" t="inlineStr">
        <is>
          <t>'Reference sheet'!N1446</t>
        </is>
      </c>
      <c r="B1444" s="0" t="inlineStr">
        <is>
          <t>Structure Office Center</t>
        </is>
      </c>
      <c r="C1444" s="0" t="inlineStr">
        <is>
          <t>Enriched Uranium</t>
        </is>
      </c>
      <c r="D1444" s="0" t="n">
        <v>60</v>
      </c>
      <c r="E1444" s="0">
        <f>VLOOKUP(C1444,'Item Tier Lookup'!$A:$B,2,FALSE)</f>
        <v/>
      </c>
      <c r="F1444" s="0">
        <f>VLOOKUP(E1444,'Tier Params'!$A:$B,2,FALSE)</f>
        <v/>
      </c>
      <c r="G1444" s="0">
        <f>VLOOKUP(E1444,'Tier Params'!$A:$C,3,FALSE)</f>
        <v/>
      </c>
      <c r="H1444" s="0">
        <f>CEILING(D1444/G1444,1)</f>
        <v/>
      </c>
      <c r="I1444" s="0">
        <f>H1444*F1444</f>
        <v/>
      </c>
    </row>
    <row r="1445">
      <c r="A1445" s="0" t="inlineStr">
        <is>
          <t>'Reference sheet'!N1447</t>
        </is>
      </c>
      <c r="B1445" s="0" t="inlineStr">
        <is>
          <t>Structure Office Center</t>
        </is>
      </c>
      <c r="C1445" s="0" t="inlineStr">
        <is>
          <t>Toxic Metals</t>
        </is>
      </c>
      <c r="D1445" s="0" t="n">
        <v>480</v>
      </c>
      <c r="E1445" s="0">
        <f>VLOOKUP(C1445,'Item Tier Lookup'!$A:$B,2,FALSE)</f>
        <v/>
      </c>
      <c r="F1445" s="0">
        <f>VLOOKUP(E1445,'Tier Params'!$A:$B,2,FALSE)</f>
        <v/>
      </c>
      <c r="G1445" s="0">
        <f>VLOOKUP(E1445,'Tier Params'!$A:$C,3,FALSE)</f>
        <v/>
      </c>
      <c r="H1445" s="0">
        <f>CEILING(D1445/G1445,1)</f>
        <v/>
      </c>
      <c r="I1445" s="0">
        <f>H1445*F1445</f>
        <v/>
      </c>
    </row>
    <row r="1446">
      <c r="A1446" s="0" t="inlineStr">
        <is>
          <t>'Reference sheet'!N1448</t>
        </is>
      </c>
      <c r="B1446" s="0" t="inlineStr">
        <is>
          <t>Structure Office Center</t>
        </is>
      </c>
      <c r="C1446" s="0" t="inlineStr">
        <is>
          <t>Heavy Metals</t>
        </is>
      </c>
      <c r="D1446" s="0" t="n">
        <v>72000</v>
      </c>
      <c r="E1446" s="0">
        <f>VLOOKUP(C1446,'Item Tier Lookup'!$A:$B,2,FALSE)</f>
        <v/>
      </c>
      <c r="F1446" s="0">
        <f>VLOOKUP(E1446,'Tier Params'!$A:$B,2,FALSE)</f>
        <v/>
      </c>
      <c r="G1446" s="0">
        <f>VLOOKUP(E1446,'Tier Params'!$A:$C,3,FALSE)</f>
        <v/>
      </c>
      <c r="H1446" s="0">
        <f>CEILING(D1446/G1446,1)</f>
        <v/>
      </c>
      <c r="I1446" s="0">
        <f>H1446*F1446</f>
        <v/>
      </c>
    </row>
    <row r="1447">
      <c r="A1447" s="0" t="inlineStr">
        <is>
          <t>'Reference sheet'!N1449</t>
        </is>
      </c>
      <c r="B1447" s="0" t="inlineStr">
        <is>
          <t>Structure Office Center</t>
        </is>
      </c>
      <c r="C1447" s="0" t="inlineStr">
        <is>
          <t>Precious Metals</t>
        </is>
      </c>
      <c r="D1447" s="0" t="n">
        <v>480</v>
      </c>
      <c r="E1447" s="0">
        <f>VLOOKUP(C1447,'Item Tier Lookup'!$A:$B,2,FALSE)</f>
        <v/>
      </c>
      <c r="F1447" s="0">
        <f>VLOOKUP(E1447,'Tier Params'!$A:$B,2,FALSE)</f>
        <v/>
      </c>
      <c r="G1447" s="0">
        <f>VLOOKUP(E1447,'Tier Params'!$A:$C,3,FALSE)</f>
        <v/>
      </c>
      <c r="H1447" s="0">
        <f>CEILING(D1447/G1447,1)</f>
        <v/>
      </c>
      <c r="I1447" s="0">
        <f>H1447*F1447</f>
        <v/>
      </c>
    </row>
    <row r="1448">
      <c r="A1448" s="0" t="inlineStr">
        <is>
          <t>'Reference sheet'!N1450</t>
        </is>
      </c>
      <c r="B1448" s="0" t="inlineStr">
        <is>
          <t>Structure Office Center</t>
        </is>
      </c>
      <c r="C1448" s="0" t="inlineStr">
        <is>
          <t>Noble Metals</t>
        </is>
      </c>
      <c r="D1448" s="0" t="n">
        <v>72000</v>
      </c>
      <c r="E1448" s="0">
        <f>VLOOKUP(C1448,'Item Tier Lookup'!$A:$B,2,FALSE)</f>
        <v/>
      </c>
      <c r="F1448" s="0">
        <f>VLOOKUP(E1448,'Tier Params'!$A:$B,2,FALSE)</f>
        <v/>
      </c>
      <c r="G1448" s="0">
        <f>VLOOKUP(E1448,'Tier Params'!$A:$C,3,FALSE)</f>
        <v/>
      </c>
      <c r="H1448" s="0">
        <f>CEILING(D1448/G1448,1)</f>
        <v/>
      </c>
      <c r="I1448" s="0">
        <f>H1448*F1448</f>
        <v/>
      </c>
    </row>
    <row r="1449">
      <c r="A1449" s="0" t="inlineStr">
        <is>
          <t>'Reference sheet'!N1451</t>
        </is>
      </c>
      <c r="B1449" s="0" t="inlineStr">
        <is>
          <t>Structure Office Center</t>
        </is>
      </c>
      <c r="C1449" s="0" t="inlineStr">
        <is>
          <t>Microfiber Shielding</t>
        </is>
      </c>
      <c r="D1449" s="0" t="n">
        <v>60</v>
      </c>
      <c r="E1449" s="0">
        <f>VLOOKUP(C1449,'Item Tier Lookup'!$A:$B,2,FALSE)</f>
        <v/>
      </c>
      <c r="F1449" s="0">
        <f>VLOOKUP(E1449,'Tier Params'!$A:$B,2,FALSE)</f>
        <v/>
      </c>
      <c r="G1449" s="0">
        <f>VLOOKUP(E1449,'Tier Params'!$A:$C,3,FALSE)</f>
        <v/>
      </c>
      <c r="H1449" s="0">
        <f>CEILING(D1449/G1449,1)</f>
        <v/>
      </c>
      <c r="I1449" s="0">
        <f>H1449*F1449</f>
        <v/>
      </c>
    </row>
    <row r="1450">
      <c r="A1450" s="0" t="inlineStr">
        <is>
          <t>'Reference sheet'!N1452</t>
        </is>
      </c>
      <c r="B1450" s="0" t="inlineStr">
        <is>
          <t>Structure Office Center</t>
        </is>
      </c>
      <c r="C1450" s="0" t="inlineStr">
        <is>
          <t>Silicon</t>
        </is>
      </c>
      <c r="D1450" s="0" t="n">
        <v>480</v>
      </c>
      <c r="E1450" s="0">
        <f>VLOOKUP(C1450,'Item Tier Lookup'!$A:$B,2,FALSE)</f>
        <v/>
      </c>
      <c r="F1450" s="0">
        <f>VLOOKUP(E1450,'Tier Params'!$A:$B,2,FALSE)</f>
        <v/>
      </c>
      <c r="G1450" s="0">
        <f>VLOOKUP(E1450,'Tier Params'!$A:$C,3,FALSE)</f>
        <v/>
      </c>
      <c r="H1450" s="0">
        <f>CEILING(D1450/G1450,1)</f>
        <v/>
      </c>
      <c r="I1450" s="0">
        <f>H1450*F1450</f>
        <v/>
      </c>
    </row>
    <row r="1451">
      <c r="A1451" s="0" t="inlineStr">
        <is>
          <t>'Reference sheet'!N1453</t>
        </is>
      </c>
      <c r="B1451" s="0" t="inlineStr">
        <is>
          <t>Structure Office Center</t>
        </is>
      </c>
      <c r="C1451" s="0" t="inlineStr">
        <is>
          <t>Felsic Magma</t>
        </is>
      </c>
      <c r="D1451" s="0" t="n">
        <v>72000</v>
      </c>
      <c r="E1451" s="0">
        <f>VLOOKUP(C1451,'Item Tier Lookup'!$A:$B,2,FALSE)</f>
        <v/>
      </c>
      <c r="F1451" s="0">
        <f>VLOOKUP(E1451,'Tier Params'!$A:$B,2,FALSE)</f>
        <v/>
      </c>
      <c r="G1451" s="0">
        <f>VLOOKUP(E1451,'Tier Params'!$A:$C,3,FALSE)</f>
        <v/>
      </c>
      <c r="H1451" s="0">
        <f>CEILING(D1451/G1451,1)</f>
        <v/>
      </c>
      <c r="I1451" s="0">
        <f>H1451*F1451</f>
        <v/>
      </c>
    </row>
    <row r="1452">
      <c r="A1452" s="0" t="inlineStr">
        <is>
          <t>'Reference sheet'!N1454</t>
        </is>
      </c>
      <c r="B1452" s="0" t="inlineStr">
        <is>
          <t>Structure Office Center</t>
        </is>
      </c>
      <c r="C1452" s="0" t="inlineStr">
        <is>
          <t>Industrial Fibers</t>
        </is>
      </c>
      <c r="D1452" s="0" t="n">
        <v>480</v>
      </c>
      <c r="E1452" s="0">
        <f>VLOOKUP(C1452,'Item Tier Lookup'!$A:$B,2,FALSE)</f>
        <v/>
      </c>
      <c r="F1452" s="0">
        <f>VLOOKUP(E1452,'Tier Params'!$A:$B,2,FALSE)</f>
        <v/>
      </c>
      <c r="G1452" s="0">
        <f>VLOOKUP(E1452,'Tier Params'!$A:$C,3,FALSE)</f>
        <v/>
      </c>
      <c r="H1452" s="0">
        <f>CEILING(D1452/G1452,1)</f>
        <v/>
      </c>
      <c r="I1452" s="0">
        <f>H1452*F1452</f>
        <v/>
      </c>
    </row>
    <row r="1453">
      <c r="A1453" s="0" t="inlineStr">
        <is>
          <t>'Reference sheet'!N1455</t>
        </is>
      </c>
      <c r="B1453" s="0" t="inlineStr">
        <is>
          <t>Structure Office Center</t>
        </is>
      </c>
      <c r="C1453" s="0" t="inlineStr">
        <is>
          <t>Autotrophs</t>
        </is>
      </c>
      <c r="D1453" s="0" t="n">
        <v>72000</v>
      </c>
      <c r="E1453" s="0">
        <f>VLOOKUP(C1453,'Item Tier Lookup'!$A:$B,2,FALSE)</f>
        <v/>
      </c>
      <c r="F1453" s="0">
        <f>VLOOKUP(E1453,'Tier Params'!$A:$B,2,FALSE)</f>
        <v/>
      </c>
      <c r="G1453" s="0">
        <f>VLOOKUP(E1453,'Tier Params'!$A:$C,3,FALSE)</f>
        <v/>
      </c>
      <c r="H1453" s="0">
        <f>CEILING(D1453/G1453,1)</f>
        <v/>
      </c>
      <c r="I1453" s="0">
        <f>H1453*F1453</f>
        <v/>
      </c>
    </row>
    <row r="1454">
      <c r="A1454" s="0" t="inlineStr">
        <is>
          <t>'Reference sheet'!N1456</t>
        </is>
      </c>
      <c r="B1454" s="0" t="inlineStr">
        <is>
          <t>Structure Office Center</t>
        </is>
      </c>
      <c r="C1454" s="0" t="inlineStr">
        <is>
          <t>Camera Drones</t>
        </is>
      </c>
      <c r="D1454" s="0" t="n">
        <v>18</v>
      </c>
      <c r="E1454" s="0">
        <f>VLOOKUP(C1454,'Item Tier Lookup'!$A:$B,2,FALSE)</f>
        <v/>
      </c>
      <c r="F1454" s="0">
        <f>VLOOKUP(E1454,'Tier Params'!$A:$B,2,FALSE)</f>
        <v/>
      </c>
      <c r="G1454" s="0">
        <f>VLOOKUP(E1454,'Tier Params'!$A:$C,3,FALSE)</f>
        <v/>
      </c>
      <c r="H1454" s="0">
        <f>CEILING(D1454/G1454,1)</f>
        <v/>
      </c>
      <c r="I1454" s="0">
        <f>H1454*F1454</f>
        <v/>
      </c>
    </row>
    <row r="1455">
      <c r="A1455" s="0" t="inlineStr">
        <is>
          <t>'Reference sheet'!N1457</t>
        </is>
      </c>
      <c r="B1455" s="0" t="inlineStr">
        <is>
          <t>Structure Office Center</t>
        </is>
      </c>
      <c r="C1455" s="0" t="inlineStr">
        <is>
          <t>Rocket Fuel</t>
        </is>
      </c>
      <c r="D1455" s="0" t="n">
        <v>60</v>
      </c>
      <c r="E1455" s="0">
        <f>VLOOKUP(C1455,'Item Tier Lookup'!$A:$B,2,FALSE)</f>
        <v/>
      </c>
      <c r="F1455" s="0">
        <f>VLOOKUP(E1455,'Tier Params'!$A:$B,2,FALSE)</f>
        <v/>
      </c>
      <c r="G1455" s="0">
        <f>VLOOKUP(E1455,'Tier Params'!$A:$C,3,FALSE)</f>
        <v/>
      </c>
      <c r="H1455" s="0">
        <f>CEILING(D1455/G1455,1)</f>
        <v/>
      </c>
      <c r="I1455" s="0">
        <f>H1455*F1455</f>
        <v/>
      </c>
    </row>
    <row r="1456">
      <c r="A1456" s="0" t="inlineStr">
        <is>
          <t>'Reference sheet'!N1458</t>
        </is>
      </c>
      <c r="B1456" s="0" t="inlineStr">
        <is>
          <t>Structure Office Center</t>
        </is>
      </c>
      <c r="C1456" s="0" t="inlineStr">
        <is>
          <t>Electrolytes</t>
        </is>
      </c>
      <c r="D1456" s="0" t="n">
        <v>480</v>
      </c>
      <c r="E1456" s="0">
        <f>VLOOKUP(C1456,'Item Tier Lookup'!$A:$B,2,FALSE)</f>
        <v/>
      </c>
      <c r="F1456" s="0">
        <f>VLOOKUP(E1456,'Tier Params'!$A:$B,2,FALSE)</f>
        <v/>
      </c>
      <c r="G1456" s="0">
        <f>VLOOKUP(E1456,'Tier Params'!$A:$C,3,FALSE)</f>
        <v/>
      </c>
      <c r="H1456" s="0">
        <f>CEILING(D1456/G1456,1)</f>
        <v/>
      </c>
      <c r="I1456" s="0">
        <f>H1456*F1456</f>
        <v/>
      </c>
    </row>
    <row r="1457">
      <c r="A1457" s="0" t="inlineStr">
        <is>
          <t>'Reference sheet'!N1459</t>
        </is>
      </c>
      <c r="B1457" s="0" t="inlineStr">
        <is>
          <t>Structure Office Center</t>
        </is>
      </c>
      <c r="C1457" s="0" t="inlineStr">
        <is>
          <t>Ionic Solutions</t>
        </is>
      </c>
      <c r="D1457" s="0" t="n">
        <v>72000</v>
      </c>
      <c r="E1457" s="0">
        <f>VLOOKUP(C1457,'Item Tier Lookup'!$A:$B,2,FALSE)</f>
        <v/>
      </c>
      <c r="F1457" s="0">
        <f>VLOOKUP(E1457,'Tier Params'!$A:$B,2,FALSE)</f>
        <v/>
      </c>
      <c r="G1457" s="0">
        <f>VLOOKUP(E1457,'Tier Params'!$A:$C,3,FALSE)</f>
        <v/>
      </c>
      <c r="H1457" s="0">
        <f>CEILING(D1457/G1457,1)</f>
        <v/>
      </c>
      <c r="I1457" s="0">
        <f>H1457*F1457</f>
        <v/>
      </c>
    </row>
    <row r="1458">
      <c r="A1458" s="0" t="inlineStr">
        <is>
          <t>'Reference sheet'!N1460</t>
        </is>
      </c>
      <c r="B1458" s="0" t="inlineStr">
        <is>
          <t>Structure Office Center</t>
        </is>
      </c>
      <c r="C1458" s="0" t="inlineStr">
        <is>
          <t>Plasmoids</t>
        </is>
      </c>
      <c r="D1458" s="0" t="n">
        <v>480</v>
      </c>
      <c r="E1458" s="0">
        <f>VLOOKUP(C1458,'Item Tier Lookup'!$A:$B,2,FALSE)</f>
        <v/>
      </c>
      <c r="F1458" s="0">
        <f>VLOOKUP(E1458,'Tier Params'!$A:$B,2,FALSE)</f>
        <v/>
      </c>
      <c r="G1458" s="0">
        <f>VLOOKUP(E1458,'Tier Params'!$A:$C,3,FALSE)</f>
        <v/>
      </c>
      <c r="H1458" s="0">
        <f>CEILING(D1458/G1458,1)</f>
        <v/>
      </c>
      <c r="I1458" s="0">
        <f>H1458*F1458</f>
        <v/>
      </c>
    </row>
    <row r="1459">
      <c r="A1459" s="0" t="inlineStr">
        <is>
          <t>'Reference sheet'!N1461</t>
        </is>
      </c>
      <c r="B1459" s="0" t="inlineStr">
        <is>
          <t>Structure Office Center</t>
        </is>
      </c>
      <c r="C1459" s="0" t="inlineStr">
        <is>
          <t>Suspended Plasma</t>
        </is>
      </c>
      <c r="D1459" s="0" t="n">
        <v>72000</v>
      </c>
      <c r="E1459" s="0">
        <f>VLOOKUP(C1459,'Item Tier Lookup'!$A:$B,2,FALSE)</f>
        <v/>
      </c>
      <c r="F1459" s="0">
        <f>VLOOKUP(E1459,'Tier Params'!$A:$B,2,FALSE)</f>
        <v/>
      </c>
      <c r="G1459" s="0">
        <f>VLOOKUP(E1459,'Tier Params'!$A:$C,3,FALSE)</f>
        <v/>
      </c>
      <c r="H1459" s="0">
        <f>CEILING(D1459/G1459,1)</f>
        <v/>
      </c>
      <c r="I1459" s="0">
        <f>H1459*F1459</f>
        <v/>
      </c>
    </row>
    <row r="1460">
      <c r="A1460" s="0" t="inlineStr">
        <is>
          <t>'Reference sheet'!N1462</t>
        </is>
      </c>
      <c r="B1460" s="0" t="inlineStr">
        <is>
          <t>Structure Office Center</t>
        </is>
      </c>
      <c r="C1460" s="0" t="inlineStr">
        <is>
          <t>Silicate Glass</t>
        </is>
      </c>
      <c r="D1460" s="0" t="n">
        <v>60</v>
      </c>
      <c r="E1460" s="0">
        <f>VLOOKUP(C1460,'Item Tier Lookup'!$A:$B,2,FALSE)</f>
        <v/>
      </c>
      <c r="F1460" s="0">
        <f>VLOOKUP(E1460,'Tier Params'!$A:$B,2,FALSE)</f>
        <v/>
      </c>
      <c r="G1460" s="0">
        <f>VLOOKUP(E1460,'Tier Params'!$A:$C,3,FALSE)</f>
        <v/>
      </c>
      <c r="H1460" s="0">
        <f>CEILING(D1460/G1460,1)</f>
        <v/>
      </c>
      <c r="I1460" s="0">
        <f>H1460*F1460</f>
        <v/>
      </c>
    </row>
    <row r="1461">
      <c r="A1461" s="0" t="inlineStr">
        <is>
          <t>'Reference sheet'!N1463</t>
        </is>
      </c>
      <c r="B1461" s="0" t="inlineStr">
        <is>
          <t>Structure Office Center</t>
        </is>
      </c>
      <c r="C1461" s="0" t="inlineStr">
        <is>
          <t>Oxidizing Compound</t>
        </is>
      </c>
      <c r="D1461" s="0" t="n">
        <v>480</v>
      </c>
      <c r="E1461" s="0">
        <f>VLOOKUP(C1461,'Item Tier Lookup'!$A:$B,2,FALSE)</f>
        <v/>
      </c>
      <c r="F1461" s="0">
        <f>VLOOKUP(E1461,'Tier Params'!$A:$B,2,FALSE)</f>
        <v/>
      </c>
      <c r="G1461" s="0">
        <f>VLOOKUP(E1461,'Tier Params'!$A:$C,3,FALSE)</f>
        <v/>
      </c>
      <c r="H1461" s="0">
        <f>CEILING(D1461/G1461,1)</f>
        <v/>
      </c>
      <c r="I1461" s="0">
        <f>H1461*F1461</f>
        <v/>
      </c>
    </row>
    <row r="1462">
      <c r="A1462" s="0" t="inlineStr">
        <is>
          <t>'Reference sheet'!N1464</t>
        </is>
      </c>
      <c r="B1462" s="0" t="inlineStr">
        <is>
          <t>Structure Office Center</t>
        </is>
      </c>
      <c r="C1462" s="0" t="inlineStr">
        <is>
          <t>Reactive Gas</t>
        </is>
      </c>
      <c r="D1462" s="0" t="n">
        <v>72000</v>
      </c>
      <c r="E1462" s="0">
        <f>VLOOKUP(C1462,'Item Tier Lookup'!$A:$B,2,FALSE)</f>
        <v/>
      </c>
      <c r="F1462" s="0">
        <f>VLOOKUP(E1462,'Tier Params'!$A:$B,2,FALSE)</f>
        <v/>
      </c>
      <c r="G1462" s="0">
        <f>VLOOKUP(E1462,'Tier Params'!$A:$C,3,FALSE)</f>
        <v/>
      </c>
      <c r="H1462" s="0">
        <f>CEILING(D1462/G1462,1)</f>
        <v/>
      </c>
      <c r="I1462" s="0">
        <f>H1462*F1462</f>
        <v/>
      </c>
    </row>
    <row r="1463">
      <c r="A1463" s="0" t="inlineStr">
        <is>
          <t>'Reference sheet'!N1465</t>
        </is>
      </c>
      <c r="B1463" s="0" t="inlineStr">
        <is>
          <t>Structure Office Center</t>
        </is>
      </c>
      <c r="C1463" s="0" t="inlineStr">
        <is>
          <t>Silicon</t>
        </is>
      </c>
      <c r="D1463" s="0" t="n">
        <v>480</v>
      </c>
      <c r="E1463" s="0">
        <f>VLOOKUP(C1463,'Item Tier Lookup'!$A:$B,2,FALSE)</f>
        <v/>
      </c>
      <c r="F1463" s="0">
        <f>VLOOKUP(E1463,'Tier Params'!$A:$B,2,FALSE)</f>
        <v/>
      </c>
      <c r="G1463" s="0">
        <f>VLOOKUP(E1463,'Tier Params'!$A:$C,3,FALSE)</f>
        <v/>
      </c>
      <c r="H1463" s="0">
        <f>CEILING(D1463/G1463,1)</f>
        <v/>
      </c>
      <c r="I1463" s="0">
        <f>H1463*F1463</f>
        <v/>
      </c>
    </row>
    <row r="1464">
      <c r="A1464" s="0" t="inlineStr">
        <is>
          <t>'Reference sheet'!N1466</t>
        </is>
      </c>
      <c r="B1464" s="0" t="inlineStr">
        <is>
          <t>Structure Office Center</t>
        </is>
      </c>
      <c r="C1464" s="0" t="inlineStr">
        <is>
          <t>Felsic Magma</t>
        </is>
      </c>
      <c r="D1464" s="0" t="n">
        <v>72000</v>
      </c>
      <c r="E1464" s="0">
        <f>VLOOKUP(C1464,'Item Tier Lookup'!$A:$B,2,FALSE)</f>
        <v/>
      </c>
      <c r="F1464" s="0">
        <f>VLOOKUP(E1464,'Tier Params'!$A:$B,2,FALSE)</f>
        <v/>
      </c>
      <c r="G1464" s="0">
        <f>VLOOKUP(E1464,'Tier Params'!$A:$C,3,FALSE)</f>
        <v/>
      </c>
      <c r="H1464" s="0">
        <f>CEILING(D1464/G1464,1)</f>
        <v/>
      </c>
      <c r="I1464" s="0">
        <f>H1464*F1464</f>
        <v/>
      </c>
    </row>
    <row r="1465">
      <c r="A1465" s="0" t="inlineStr">
        <is>
          <t>'Reference sheet'!N1467</t>
        </is>
      </c>
      <c r="B1465" s="0" t="inlineStr">
        <is>
          <t>Structure Office Center</t>
        </is>
      </c>
      <c r="C1465" s="0" t="inlineStr">
        <is>
          <t>Hermetic Membranes</t>
        </is>
      </c>
      <c r="D1465" s="0" t="n">
        <v>18</v>
      </c>
      <c r="E1465" s="0">
        <f>VLOOKUP(C1465,'Item Tier Lookup'!$A:$B,2,FALSE)</f>
        <v/>
      </c>
      <c r="F1465" s="0">
        <f>VLOOKUP(E1465,'Tier Params'!$A:$B,2,FALSE)</f>
        <v/>
      </c>
      <c r="G1465" s="0">
        <f>VLOOKUP(E1465,'Tier Params'!$A:$C,3,FALSE)</f>
        <v/>
      </c>
      <c r="H1465" s="0">
        <f>CEILING(D1465/G1465,1)</f>
        <v/>
      </c>
      <c r="I1465" s="0">
        <f>H1465*F1465</f>
        <v/>
      </c>
    </row>
    <row r="1466">
      <c r="A1466" s="0" t="inlineStr">
        <is>
          <t>'Reference sheet'!N1468</t>
        </is>
      </c>
      <c r="B1466" s="0" t="inlineStr">
        <is>
          <t>Structure Office Center</t>
        </is>
      </c>
      <c r="C1466" s="0" t="inlineStr">
        <is>
          <t>Polyaramids</t>
        </is>
      </c>
      <c r="D1466" s="0" t="n">
        <v>60</v>
      </c>
      <c r="E1466" s="0">
        <f>VLOOKUP(C1466,'Item Tier Lookup'!$A:$B,2,FALSE)</f>
        <v/>
      </c>
      <c r="F1466" s="0">
        <f>VLOOKUP(E1466,'Tier Params'!$A:$B,2,FALSE)</f>
        <v/>
      </c>
      <c r="G1466" s="0">
        <f>VLOOKUP(E1466,'Tier Params'!$A:$C,3,FALSE)</f>
        <v/>
      </c>
      <c r="H1466" s="0">
        <f>CEILING(D1466/G1466,1)</f>
        <v/>
      </c>
      <c r="I1466" s="0">
        <f>H1466*F1466</f>
        <v/>
      </c>
    </row>
    <row r="1467">
      <c r="A1467" s="0" t="inlineStr">
        <is>
          <t>'Reference sheet'!N1469</t>
        </is>
      </c>
      <c r="B1467" s="0" t="inlineStr">
        <is>
          <t>Structure Office Center</t>
        </is>
      </c>
      <c r="C1467" s="0" t="inlineStr">
        <is>
          <t>Oxidizing Compound</t>
        </is>
      </c>
      <c r="D1467" s="0" t="n">
        <v>480</v>
      </c>
      <c r="E1467" s="0">
        <f>VLOOKUP(C1467,'Item Tier Lookup'!$A:$B,2,FALSE)</f>
        <v/>
      </c>
      <c r="F1467" s="0">
        <f>VLOOKUP(E1467,'Tier Params'!$A:$B,2,FALSE)</f>
        <v/>
      </c>
      <c r="G1467" s="0">
        <f>VLOOKUP(E1467,'Tier Params'!$A:$C,3,FALSE)</f>
        <v/>
      </c>
      <c r="H1467" s="0">
        <f>CEILING(D1467/G1467,1)</f>
        <v/>
      </c>
      <c r="I1467" s="0">
        <f>H1467*F1467</f>
        <v/>
      </c>
    </row>
    <row r="1468">
      <c r="A1468" s="0" t="inlineStr">
        <is>
          <t>'Reference sheet'!N1470</t>
        </is>
      </c>
      <c r="B1468" s="0" t="inlineStr">
        <is>
          <t>Structure Office Center</t>
        </is>
      </c>
      <c r="C1468" s="0" t="inlineStr">
        <is>
          <t>Reactive Gas</t>
        </is>
      </c>
      <c r="D1468" s="0" t="n">
        <v>72000</v>
      </c>
      <c r="E1468" s="0">
        <f>VLOOKUP(C1468,'Item Tier Lookup'!$A:$B,2,FALSE)</f>
        <v/>
      </c>
      <c r="F1468" s="0">
        <f>VLOOKUP(E1468,'Tier Params'!$A:$B,2,FALSE)</f>
        <v/>
      </c>
      <c r="G1468" s="0">
        <f>VLOOKUP(E1468,'Tier Params'!$A:$C,3,FALSE)</f>
        <v/>
      </c>
      <c r="H1468" s="0">
        <f>CEILING(D1468/G1468,1)</f>
        <v/>
      </c>
      <c r="I1468" s="0">
        <f>H1468*F1468</f>
        <v/>
      </c>
    </row>
    <row r="1469">
      <c r="A1469" s="0" t="inlineStr">
        <is>
          <t>'Reference sheet'!N1471</t>
        </is>
      </c>
      <c r="B1469" s="0" t="inlineStr">
        <is>
          <t>Structure Office Center</t>
        </is>
      </c>
      <c r="C1469" s="0" t="inlineStr">
        <is>
          <t>Industrial Fibers</t>
        </is>
      </c>
      <c r="D1469" s="0" t="n">
        <v>480</v>
      </c>
      <c r="E1469" s="0">
        <f>VLOOKUP(C1469,'Item Tier Lookup'!$A:$B,2,FALSE)</f>
        <v/>
      </c>
      <c r="F1469" s="0">
        <f>VLOOKUP(E1469,'Tier Params'!$A:$B,2,FALSE)</f>
        <v/>
      </c>
      <c r="G1469" s="0">
        <f>VLOOKUP(E1469,'Tier Params'!$A:$C,3,FALSE)</f>
        <v/>
      </c>
      <c r="H1469" s="0">
        <f>CEILING(D1469/G1469,1)</f>
        <v/>
      </c>
      <c r="I1469" s="0">
        <f>H1469*F1469</f>
        <v/>
      </c>
    </row>
    <row r="1470">
      <c r="A1470" s="0" t="inlineStr">
        <is>
          <t>'Reference sheet'!N1472</t>
        </is>
      </c>
      <c r="B1470" s="0" t="inlineStr">
        <is>
          <t>Structure Office Center</t>
        </is>
      </c>
      <c r="C1470" s="0" t="inlineStr">
        <is>
          <t>Autotrophs</t>
        </is>
      </c>
      <c r="D1470" s="0" t="n">
        <v>72000</v>
      </c>
      <c r="E1470" s="0">
        <f>VLOOKUP(C1470,'Item Tier Lookup'!$A:$B,2,FALSE)</f>
        <v/>
      </c>
      <c r="F1470" s="0">
        <f>VLOOKUP(E1470,'Tier Params'!$A:$B,2,FALSE)</f>
        <v/>
      </c>
      <c r="G1470" s="0">
        <f>VLOOKUP(E1470,'Tier Params'!$A:$C,3,FALSE)</f>
        <v/>
      </c>
      <c r="H1470" s="0">
        <f>CEILING(D1470/G1470,1)</f>
        <v/>
      </c>
      <c r="I1470" s="0">
        <f>H1470*F1470</f>
        <v/>
      </c>
    </row>
    <row r="1471">
      <c r="A1471" s="0" t="inlineStr">
        <is>
          <t>'Reference sheet'!N1473</t>
        </is>
      </c>
      <c r="B1471" s="0" t="inlineStr">
        <is>
          <t>Structure Office Center</t>
        </is>
      </c>
      <c r="C1471" s="0" t="inlineStr">
        <is>
          <t>Genetically Enhanced Livestock</t>
        </is>
      </c>
      <c r="D1471" s="0" t="n">
        <v>60</v>
      </c>
      <c r="E1471" s="0">
        <f>VLOOKUP(C1471,'Item Tier Lookup'!$A:$B,2,FALSE)</f>
        <v/>
      </c>
      <c r="F1471" s="0">
        <f>VLOOKUP(E1471,'Tier Params'!$A:$B,2,FALSE)</f>
        <v/>
      </c>
      <c r="G1471" s="0">
        <f>VLOOKUP(E1471,'Tier Params'!$A:$C,3,FALSE)</f>
        <v/>
      </c>
      <c r="H1471" s="0">
        <f>CEILING(D1471/G1471,1)</f>
        <v/>
      </c>
      <c r="I1471" s="0">
        <f>H1471*F1471</f>
        <v/>
      </c>
    </row>
    <row r="1472">
      <c r="A1472" s="0" t="inlineStr">
        <is>
          <t>'Reference sheet'!N1474</t>
        </is>
      </c>
      <c r="B1472" s="0" t="inlineStr">
        <is>
          <t>Structure Office Center</t>
        </is>
      </c>
      <c r="C1472" s="0" t="inlineStr">
        <is>
          <t>Proteins</t>
        </is>
      </c>
      <c r="D1472" s="0" t="n">
        <v>480</v>
      </c>
      <c r="E1472" s="0">
        <f>VLOOKUP(C1472,'Item Tier Lookup'!$A:$B,2,FALSE)</f>
        <v/>
      </c>
      <c r="F1472" s="0">
        <f>VLOOKUP(E1472,'Tier Params'!$A:$B,2,FALSE)</f>
        <v/>
      </c>
      <c r="G1472" s="0">
        <f>VLOOKUP(E1472,'Tier Params'!$A:$C,3,FALSE)</f>
        <v/>
      </c>
      <c r="H1472" s="0">
        <f>CEILING(D1472/G1472,1)</f>
        <v/>
      </c>
      <c r="I1472" s="0">
        <f>H1472*F1472</f>
        <v/>
      </c>
    </row>
    <row r="1473">
      <c r="A1473" s="0" t="inlineStr">
        <is>
          <t>'Reference sheet'!N1475</t>
        </is>
      </c>
      <c r="B1473" s="0" t="inlineStr">
        <is>
          <t>Structure Office Center</t>
        </is>
      </c>
      <c r="C1473" s="0" t="inlineStr">
        <is>
          <t>Complex Organisms</t>
        </is>
      </c>
      <c r="D1473" s="0" t="n">
        <v>72000</v>
      </c>
      <c r="E1473" s="0">
        <f>VLOOKUP(C1473,'Item Tier Lookup'!$A:$B,2,FALSE)</f>
        <v/>
      </c>
      <c r="F1473" s="0">
        <f>VLOOKUP(E1473,'Tier Params'!$A:$B,2,FALSE)</f>
        <v/>
      </c>
      <c r="G1473" s="0">
        <f>VLOOKUP(E1473,'Tier Params'!$A:$C,3,FALSE)</f>
        <v/>
      </c>
      <c r="H1473" s="0">
        <f>CEILING(D1473/G1473,1)</f>
        <v/>
      </c>
      <c r="I1473" s="0">
        <f>H1473*F1473</f>
        <v/>
      </c>
    </row>
    <row r="1474">
      <c r="A1474" s="0" t="inlineStr">
        <is>
          <t>'Reference sheet'!N1476</t>
        </is>
      </c>
      <c r="B1474" s="0" t="inlineStr">
        <is>
          <t>Structure Office Center</t>
        </is>
      </c>
      <c r="C1474" s="0" t="inlineStr">
        <is>
          <t>Biomass</t>
        </is>
      </c>
      <c r="D1474" s="0" t="n">
        <v>480</v>
      </c>
      <c r="E1474" s="0">
        <f>VLOOKUP(C1474,'Item Tier Lookup'!$A:$B,2,FALSE)</f>
        <v/>
      </c>
      <c r="F1474" s="0">
        <f>VLOOKUP(E1474,'Tier Params'!$A:$B,2,FALSE)</f>
        <v/>
      </c>
      <c r="G1474" s="0">
        <f>VLOOKUP(E1474,'Tier Params'!$A:$C,3,FALSE)</f>
        <v/>
      </c>
      <c r="H1474" s="0">
        <f>CEILING(D1474/G1474,1)</f>
        <v/>
      </c>
      <c r="I1474" s="0">
        <f>H1474*F1474</f>
        <v/>
      </c>
    </row>
    <row r="1475">
      <c r="A1475" s="0" t="inlineStr">
        <is>
          <t>'Reference sheet'!N1477</t>
        </is>
      </c>
      <c r="B1475" s="0" t="inlineStr">
        <is>
          <t>Structure Office Center</t>
        </is>
      </c>
      <c r="C1475" s="0" t="inlineStr">
        <is>
          <t>Planktic Colonies</t>
        </is>
      </c>
      <c r="D1475" s="0" t="n">
        <v>72000</v>
      </c>
      <c r="E1475" s="0">
        <f>VLOOKUP(C1475,'Item Tier Lookup'!$A:$B,2,FALSE)</f>
        <v/>
      </c>
      <c r="F1475" s="0">
        <f>VLOOKUP(E1475,'Tier Params'!$A:$B,2,FALSE)</f>
        <v/>
      </c>
      <c r="G1475" s="0">
        <f>VLOOKUP(E1475,'Tier Params'!$A:$C,3,FALSE)</f>
        <v/>
      </c>
      <c r="H1475" s="0">
        <f>CEILING(D1475/G1475,1)</f>
        <v/>
      </c>
      <c r="I1475" s="0">
        <f>H1475*F1475</f>
        <v/>
      </c>
    </row>
    <row r="1476">
      <c r="A1476" s="0" t="inlineStr">
        <is>
          <t>'Reference sheet'!N1478</t>
        </is>
      </c>
      <c r="B1476" s="0" t="inlineStr">
        <is>
          <t>Structure Office Center</t>
        </is>
      </c>
      <c r="C1476" s="0" t="inlineStr">
        <is>
          <t>Sterile Conduits</t>
        </is>
      </c>
      <c r="D1476" s="0" t="n">
        <v>3</v>
      </c>
      <c r="E1476" s="0">
        <f>VLOOKUP(C1476,'Item Tier Lookup'!$A:$B,2,FALSE)</f>
        <v/>
      </c>
      <c r="F1476" s="0">
        <f>VLOOKUP(E1476,'Tier Params'!$A:$B,2,FALSE)</f>
        <v/>
      </c>
      <c r="G1476" s="0">
        <f>VLOOKUP(E1476,'Tier Params'!$A:$C,3,FALSE)</f>
        <v/>
      </c>
      <c r="H1476" s="0">
        <f>CEILING(D1476/G1476,1)</f>
        <v/>
      </c>
      <c r="I1476" s="0">
        <f>H1476*F1476</f>
        <v/>
      </c>
    </row>
    <row r="1477">
      <c r="A1477" s="0" t="inlineStr">
        <is>
          <t>'Reference sheet'!N1479</t>
        </is>
      </c>
      <c r="B1477" s="0" t="inlineStr">
        <is>
          <t>Structure Office Center</t>
        </is>
      </c>
      <c r="C1477" s="0" t="inlineStr">
        <is>
          <t>Water</t>
        </is>
      </c>
      <c r="D1477" s="0" t="n">
        <v>120</v>
      </c>
      <c r="E1477" s="0">
        <f>VLOOKUP(C1477,'Item Tier Lookup'!$A:$B,2,FALSE)</f>
        <v/>
      </c>
      <c r="F1477" s="0">
        <f>VLOOKUP(E1477,'Tier Params'!$A:$B,2,FALSE)</f>
        <v/>
      </c>
      <c r="G1477" s="0">
        <f>VLOOKUP(E1477,'Tier Params'!$A:$C,3,FALSE)</f>
        <v/>
      </c>
      <c r="H1477" s="0">
        <f>CEILING(D1477/G1477,1)</f>
        <v/>
      </c>
      <c r="I1477" s="0">
        <f>H1477*F1477</f>
        <v/>
      </c>
    </row>
    <row r="1478">
      <c r="A1478" s="0" t="inlineStr">
        <is>
          <t>'Reference sheet'!N1480</t>
        </is>
      </c>
      <c r="B1478" s="0" t="inlineStr">
        <is>
          <t>Structure Office Center</t>
        </is>
      </c>
      <c r="C1478" s="0" t="inlineStr">
        <is>
          <t>Aqueous Liquids</t>
        </is>
      </c>
      <c r="D1478" s="0" t="n">
        <v>18000</v>
      </c>
      <c r="E1478" s="0">
        <f>VLOOKUP(C1478,'Item Tier Lookup'!$A:$B,2,FALSE)</f>
        <v/>
      </c>
      <c r="F1478" s="0">
        <f>VLOOKUP(E1478,'Tier Params'!$A:$B,2,FALSE)</f>
        <v/>
      </c>
      <c r="G1478" s="0">
        <f>VLOOKUP(E1478,'Tier Params'!$A:$C,3,FALSE)</f>
        <v/>
      </c>
      <c r="H1478" s="0">
        <f>CEILING(D1478/G1478,1)</f>
        <v/>
      </c>
      <c r="I1478" s="0">
        <f>H1478*F1478</f>
        <v/>
      </c>
    </row>
    <row r="1479">
      <c r="A1479" s="0" t="inlineStr">
        <is>
          <t>'Reference sheet'!N1481</t>
        </is>
      </c>
      <c r="B1479" s="0" t="inlineStr">
        <is>
          <t>Structure Office Center</t>
        </is>
      </c>
      <c r="C1479" s="0" t="inlineStr">
        <is>
          <t>Vaccines</t>
        </is>
      </c>
      <c r="D1479" s="0" t="n">
        <v>18</v>
      </c>
      <c r="E1479" s="0">
        <f>VLOOKUP(C1479,'Item Tier Lookup'!$A:$B,2,FALSE)</f>
        <v/>
      </c>
      <c r="F1479" s="0">
        <f>VLOOKUP(E1479,'Tier Params'!$A:$B,2,FALSE)</f>
        <v/>
      </c>
      <c r="G1479" s="0">
        <f>VLOOKUP(E1479,'Tier Params'!$A:$C,3,FALSE)</f>
        <v/>
      </c>
      <c r="H1479" s="0">
        <f>CEILING(D1479/G1479,1)</f>
        <v/>
      </c>
      <c r="I1479" s="0">
        <f>H1479*F1479</f>
        <v/>
      </c>
    </row>
    <row r="1480">
      <c r="A1480" s="0" t="inlineStr">
        <is>
          <t>'Reference sheet'!N1482</t>
        </is>
      </c>
      <c r="B1480" s="0" t="inlineStr">
        <is>
          <t>Structure Office Center</t>
        </is>
      </c>
      <c r="C1480" s="0" t="inlineStr">
        <is>
          <t>Livestock</t>
        </is>
      </c>
      <c r="D1480" s="0" t="n">
        <v>60</v>
      </c>
      <c r="E1480" s="0">
        <f>VLOOKUP(C1480,'Item Tier Lookup'!$A:$B,2,FALSE)</f>
        <v/>
      </c>
      <c r="F1480" s="0">
        <f>VLOOKUP(E1480,'Tier Params'!$A:$B,2,FALSE)</f>
        <v/>
      </c>
      <c r="G1480" s="0">
        <f>VLOOKUP(E1480,'Tier Params'!$A:$C,3,FALSE)</f>
        <v/>
      </c>
      <c r="H1480" s="0">
        <f>CEILING(D1480/G1480,1)</f>
        <v/>
      </c>
      <c r="I1480" s="0">
        <f>H1480*F1480</f>
        <v/>
      </c>
    </row>
    <row r="1481">
      <c r="A1481" s="0" t="inlineStr">
        <is>
          <t>'Reference sheet'!N1483</t>
        </is>
      </c>
      <c r="B1481" s="0" t="inlineStr">
        <is>
          <t>Structure Office Center</t>
        </is>
      </c>
      <c r="C1481" s="0" t="inlineStr">
        <is>
          <t>Proteins</t>
        </is>
      </c>
      <c r="D1481" s="0" t="n">
        <v>480</v>
      </c>
      <c r="E1481" s="0">
        <f>VLOOKUP(C1481,'Item Tier Lookup'!$A:$B,2,FALSE)</f>
        <v/>
      </c>
      <c r="F1481" s="0">
        <f>VLOOKUP(E1481,'Tier Params'!$A:$B,2,FALSE)</f>
        <v/>
      </c>
      <c r="G1481" s="0">
        <f>VLOOKUP(E1481,'Tier Params'!$A:$C,3,FALSE)</f>
        <v/>
      </c>
      <c r="H1481" s="0">
        <f>CEILING(D1481/G1481,1)</f>
        <v/>
      </c>
      <c r="I1481" s="0">
        <f>H1481*F1481</f>
        <v/>
      </c>
    </row>
    <row r="1482">
      <c r="A1482" s="0" t="inlineStr">
        <is>
          <t>'Reference sheet'!N1484</t>
        </is>
      </c>
      <c r="B1482" s="0" t="inlineStr">
        <is>
          <t>Structure Office Center</t>
        </is>
      </c>
      <c r="C1482" s="0" t="inlineStr">
        <is>
          <t>Complex Organisms</t>
        </is>
      </c>
      <c r="D1482" s="0" t="n">
        <v>72000</v>
      </c>
      <c r="E1482" s="0">
        <f>VLOOKUP(C1482,'Item Tier Lookup'!$A:$B,2,FALSE)</f>
        <v/>
      </c>
      <c r="F1482" s="0">
        <f>VLOOKUP(E1482,'Tier Params'!$A:$B,2,FALSE)</f>
        <v/>
      </c>
      <c r="G1482" s="0">
        <f>VLOOKUP(E1482,'Tier Params'!$A:$C,3,FALSE)</f>
        <v/>
      </c>
      <c r="H1482" s="0">
        <f>CEILING(D1482/G1482,1)</f>
        <v/>
      </c>
      <c r="I1482" s="0">
        <f>H1482*F1482</f>
        <v/>
      </c>
    </row>
    <row r="1483">
      <c r="A1483" s="0" t="inlineStr">
        <is>
          <t>'Reference sheet'!N1485</t>
        </is>
      </c>
      <c r="B1483" s="0" t="inlineStr">
        <is>
          <t>Structure Office Center</t>
        </is>
      </c>
      <c r="C1483" s="0" t="inlineStr">
        <is>
          <t>Biofuels</t>
        </is>
      </c>
      <c r="D1483" s="0" t="n">
        <v>480</v>
      </c>
      <c r="E1483" s="0">
        <f>VLOOKUP(C1483,'Item Tier Lookup'!$A:$B,2,FALSE)</f>
        <v/>
      </c>
      <c r="F1483" s="0">
        <f>VLOOKUP(E1483,'Tier Params'!$A:$B,2,FALSE)</f>
        <v/>
      </c>
      <c r="G1483" s="0">
        <f>VLOOKUP(E1483,'Tier Params'!$A:$C,3,FALSE)</f>
        <v/>
      </c>
      <c r="H1483" s="0">
        <f>CEILING(D1483/G1483,1)</f>
        <v/>
      </c>
      <c r="I1483" s="0">
        <f>H1483*F1483</f>
        <v/>
      </c>
    </row>
    <row r="1484">
      <c r="A1484" s="0" t="inlineStr">
        <is>
          <t>'Reference sheet'!N1486</t>
        </is>
      </c>
      <c r="B1484" s="0" t="inlineStr">
        <is>
          <t>Structure Office Center</t>
        </is>
      </c>
      <c r="C1484" s="0" t="inlineStr">
        <is>
          <t>Carbon Compounds</t>
        </is>
      </c>
      <c r="D1484" s="0" t="n">
        <v>72000</v>
      </c>
      <c r="E1484" s="0">
        <f>VLOOKUP(C1484,'Item Tier Lookup'!$A:$B,2,FALSE)</f>
        <v/>
      </c>
      <c r="F1484" s="0">
        <f>VLOOKUP(E1484,'Tier Params'!$A:$B,2,FALSE)</f>
        <v/>
      </c>
      <c r="G1484" s="0">
        <f>VLOOKUP(E1484,'Tier Params'!$A:$C,3,FALSE)</f>
        <v/>
      </c>
      <c r="H1484" s="0">
        <f>CEILING(D1484/G1484,1)</f>
        <v/>
      </c>
      <c r="I1484" s="0">
        <f>H1484*F1484</f>
        <v/>
      </c>
    </row>
    <row r="1485">
      <c r="A1485" s="0" t="inlineStr">
        <is>
          <t>'Reference sheet'!N1487</t>
        </is>
      </c>
      <c r="B1485" s="0" t="inlineStr">
        <is>
          <t>Structure Office Center</t>
        </is>
      </c>
      <c r="C1485" s="0" t="inlineStr">
        <is>
          <t>Viral Agent</t>
        </is>
      </c>
      <c r="D1485" s="0" t="n">
        <v>60</v>
      </c>
      <c r="E1485" s="0">
        <f>VLOOKUP(C1485,'Item Tier Lookup'!$A:$B,2,FALSE)</f>
        <v/>
      </c>
      <c r="F1485" s="0">
        <f>VLOOKUP(E1485,'Tier Params'!$A:$B,2,FALSE)</f>
        <v/>
      </c>
      <c r="G1485" s="0">
        <f>VLOOKUP(E1485,'Tier Params'!$A:$C,3,FALSE)</f>
        <v/>
      </c>
      <c r="H1485" s="0">
        <f>CEILING(D1485/G1485,1)</f>
        <v/>
      </c>
      <c r="I1485" s="0">
        <f>H1485*F1485</f>
        <v/>
      </c>
    </row>
    <row r="1486">
      <c r="A1486" s="0" t="inlineStr">
        <is>
          <t>'Reference sheet'!N1488</t>
        </is>
      </c>
      <c r="B1486" s="0" t="inlineStr">
        <is>
          <t>Structure Office Center</t>
        </is>
      </c>
      <c r="C1486" s="0" t="inlineStr">
        <is>
          <t>Bacteria</t>
        </is>
      </c>
      <c r="D1486" s="0" t="n">
        <v>480</v>
      </c>
      <c r="E1486" s="0">
        <f>VLOOKUP(C1486,'Item Tier Lookup'!$A:$B,2,FALSE)</f>
        <v/>
      </c>
      <c r="F1486" s="0">
        <f>VLOOKUP(E1486,'Tier Params'!$A:$B,2,FALSE)</f>
        <v/>
      </c>
      <c r="G1486" s="0">
        <f>VLOOKUP(E1486,'Tier Params'!$A:$C,3,FALSE)</f>
        <v/>
      </c>
      <c r="H1486" s="0">
        <f>CEILING(D1486/G1486,1)</f>
        <v/>
      </c>
      <c r="I1486" s="0">
        <f>H1486*F1486</f>
        <v/>
      </c>
    </row>
    <row r="1487">
      <c r="A1487" s="0" t="inlineStr">
        <is>
          <t>'Reference sheet'!N1489</t>
        </is>
      </c>
      <c r="B1487" s="0" t="inlineStr">
        <is>
          <t>Structure Office Center</t>
        </is>
      </c>
      <c r="C1487" s="0" t="inlineStr">
        <is>
          <t>Microorganisms</t>
        </is>
      </c>
      <c r="D1487" s="0" t="n">
        <v>72000</v>
      </c>
      <c r="E1487" s="0">
        <f>VLOOKUP(C1487,'Item Tier Lookup'!$A:$B,2,FALSE)</f>
        <v/>
      </c>
      <c r="F1487" s="0">
        <f>VLOOKUP(E1487,'Tier Params'!$A:$B,2,FALSE)</f>
        <v/>
      </c>
      <c r="G1487" s="0">
        <f>VLOOKUP(E1487,'Tier Params'!$A:$C,3,FALSE)</f>
        <v/>
      </c>
      <c r="H1487" s="0">
        <f>CEILING(D1487/G1487,1)</f>
        <v/>
      </c>
      <c r="I1487" s="0">
        <f>H1487*F1487</f>
        <v/>
      </c>
    </row>
    <row r="1488">
      <c r="A1488" s="0" t="inlineStr">
        <is>
          <t>'Reference sheet'!N1490</t>
        </is>
      </c>
      <c r="B1488" s="0" t="inlineStr">
        <is>
          <t>Structure Office Center</t>
        </is>
      </c>
      <c r="C1488" s="0" t="inlineStr">
        <is>
          <t>Biomass</t>
        </is>
      </c>
      <c r="D1488" s="0" t="n">
        <v>480</v>
      </c>
      <c r="E1488" s="0">
        <f>VLOOKUP(C1488,'Item Tier Lookup'!$A:$B,2,FALSE)</f>
        <v/>
      </c>
      <c r="F1488" s="0">
        <f>VLOOKUP(E1488,'Tier Params'!$A:$B,2,FALSE)</f>
        <v/>
      </c>
      <c r="G1488" s="0">
        <f>VLOOKUP(E1488,'Tier Params'!$A:$C,3,FALSE)</f>
        <v/>
      </c>
      <c r="H1488" s="0">
        <f>CEILING(D1488/G1488,1)</f>
        <v/>
      </c>
      <c r="I1488" s="0">
        <f>H1488*F1488</f>
        <v/>
      </c>
    </row>
    <row r="1489">
      <c r="A1489" s="0" t="inlineStr">
        <is>
          <t>'Reference sheet'!N1491</t>
        </is>
      </c>
      <c r="B1489" s="0" t="inlineStr">
        <is>
          <t>Structure Office Center</t>
        </is>
      </c>
      <c r="C1489" s="0" t="inlineStr">
        <is>
          <t>Planktic Colonies</t>
        </is>
      </c>
      <c r="D1489" s="0" t="n">
        <v>72000</v>
      </c>
      <c r="E1489" s="0">
        <f>VLOOKUP(C1489,'Item Tier Lookup'!$A:$B,2,FALSE)</f>
        <v/>
      </c>
      <c r="F1489" s="0">
        <f>VLOOKUP(E1489,'Tier Params'!$A:$B,2,FALSE)</f>
        <v/>
      </c>
      <c r="G1489" s="0">
        <f>VLOOKUP(E1489,'Tier Params'!$A:$C,3,FALSE)</f>
        <v/>
      </c>
      <c r="H1489" s="0">
        <f>CEILING(D1489/G1489,1)</f>
        <v/>
      </c>
      <c r="I1489" s="0">
        <f>H1489*F1489</f>
        <v/>
      </c>
    </row>
    <row r="1490">
      <c r="A1490" s="0" t="inlineStr">
        <is>
          <t>'Reference sheet'!N1492</t>
        </is>
      </c>
      <c r="B1490" s="0" t="inlineStr">
        <is>
          <t>Structure Office Center</t>
        </is>
      </c>
      <c r="C1490" s="0" t="inlineStr">
        <is>
          <t>Smartfab Units</t>
        </is>
      </c>
      <c r="D1490" s="0" t="n">
        <v>18</v>
      </c>
      <c r="E1490" s="0">
        <f>VLOOKUP(C1490,'Item Tier Lookup'!$A:$B,2,FALSE)</f>
        <v/>
      </c>
      <c r="F1490" s="0">
        <f>VLOOKUP(E1490,'Tier Params'!$A:$B,2,FALSE)</f>
        <v/>
      </c>
      <c r="G1490" s="0">
        <f>VLOOKUP(E1490,'Tier Params'!$A:$C,3,FALSE)</f>
        <v/>
      </c>
      <c r="H1490" s="0">
        <f>CEILING(D1490/G1490,1)</f>
        <v/>
      </c>
      <c r="I1490" s="0">
        <f>H1490*F1490</f>
        <v/>
      </c>
    </row>
    <row r="1491">
      <c r="A1491" s="0" t="inlineStr">
        <is>
          <t>'Reference sheet'!N1493</t>
        </is>
      </c>
      <c r="B1491" s="0" t="inlineStr">
        <is>
          <t>Structure Office Center</t>
        </is>
      </c>
      <c r="C1491" s="0" t="inlineStr">
        <is>
          <t>Miniature Electronics</t>
        </is>
      </c>
      <c r="D1491" s="0" t="n">
        <v>60</v>
      </c>
      <c r="E1491" s="0">
        <f>VLOOKUP(C1491,'Item Tier Lookup'!$A:$B,2,FALSE)</f>
        <v/>
      </c>
      <c r="F1491" s="0">
        <f>VLOOKUP(E1491,'Tier Params'!$A:$B,2,FALSE)</f>
        <v/>
      </c>
      <c r="G1491" s="0">
        <f>VLOOKUP(E1491,'Tier Params'!$A:$C,3,FALSE)</f>
        <v/>
      </c>
      <c r="H1491" s="0">
        <f>CEILING(D1491/G1491,1)</f>
        <v/>
      </c>
      <c r="I1491" s="0">
        <f>H1491*F1491</f>
        <v/>
      </c>
    </row>
    <row r="1492">
      <c r="A1492" s="0" t="inlineStr">
        <is>
          <t>'Reference sheet'!N1494</t>
        </is>
      </c>
      <c r="B1492" s="0" t="inlineStr">
        <is>
          <t>Structure Office Center</t>
        </is>
      </c>
      <c r="C1492" s="0" t="inlineStr">
        <is>
          <t>Chiral Structures</t>
        </is>
      </c>
      <c r="D1492" s="0" t="n">
        <v>480</v>
      </c>
      <c r="E1492" s="0">
        <f>VLOOKUP(C1492,'Item Tier Lookup'!$A:$B,2,FALSE)</f>
        <v/>
      </c>
      <c r="F1492" s="0">
        <f>VLOOKUP(E1492,'Tier Params'!$A:$B,2,FALSE)</f>
        <v/>
      </c>
      <c r="G1492" s="0">
        <f>VLOOKUP(E1492,'Tier Params'!$A:$C,3,FALSE)</f>
        <v/>
      </c>
      <c r="H1492" s="0">
        <f>CEILING(D1492/G1492,1)</f>
        <v/>
      </c>
      <c r="I1492" s="0">
        <f>H1492*F1492</f>
        <v/>
      </c>
    </row>
    <row r="1493">
      <c r="A1493" s="0" t="inlineStr">
        <is>
          <t>'Reference sheet'!N1495</t>
        </is>
      </c>
      <c r="B1493" s="0" t="inlineStr">
        <is>
          <t>Structure Office Center</t>
        </is>
      </c>
      <c r="C1493" s="0" t="inlineStr">
        <is>
          <t>Non-CS Crystals</t>
        </is>
      </c>
      <c r="D1493" s="0" t="n">
        <v>72000</v>
      </c>
      <c r="E1493" s="0">
        <f>VLOOKUP(C1493,'Item Tier Lookup'!$A:$B,2,FALSE)</f>
        <v/>
      </c>
      <c r="F1493" s="0">
        <f>VLOOKUP(E1493,'Tier Params'!$A:$B,2,FALSE)</f>
        <v/>
      </c>
      <c r="G1493" s="0">
        <f>VLOOKUP(E1493,'Tier Params'!$A:$C,3,FALSE)</f>
        <v/>
      </c>
      <c r="H1493" s="0">
        <f>CEILING(D1493/G1493,1)</f>
        <v/>
      </c>
      <c r="I1493" s="0">
        <f>H1493*F1493</f>
        <v/>
      </c>
    </row>
    <row r="1494">
      <c r="A1494" s="0" t="inlineStr">
        <is>
          <t>'Reference sheet'!N1496</t>
        </is>
      </c>
      <c r="B1494" s="0" t="inlineStr">
        <is>
          <t>Structure Office Center</t>
        </is>
      </c>
      <c r="C1494" s="0" t="inlineStr">
        <is>
          <t>Silicon</t>
        </is>
      </c>
      <c r="D1494" s="0" t="n">
        <v>480</v>
      </c>
      <c r="E1494" s="0">
        <f>VLOOKUP(C1494,'Item Tier Lookup'!$A:$B,2,FALSE)</f>
        <v/>
      </c>
      <c r="F1494" s="0">
        <f>VLOOKUP(E1494,'Tier Params'!$A:$B,2,FALSE)</f>
        <v/>
      </c>
      <c r="G1494" s="0">
        <f>VLOOKUP(E1494,'Tier Params'!$A:$C,3,FALSE)</f>
        <v/>
      </c>
      <c r="H1494" s="0">
        <f>CEILING(D1494/G1494,1)</f>
        <v/>
      </c>
      <c r="I1494" s="0">
        <f>H1494*F1494</f>
        <v/>
      </c>
    </row>
    <row r="1495">
      <c r="A1495" s="0" t="inlineStr">
        <is>
          <t>'Reference sheet'!N1497</t>
        </is>
      </c>
      <c r="B1495" s="0" t="inlineStr">
        <is>
          <t>Structure Office Center</t>
        </is>
      </c>
      <c r="C1495" s="0" t="inlineStr">
        <is>
          <t>Felsic Magma</t>
        </is>
      </c>
      <c r="D1495" s="0" t="n">
        <v>72000</v>
      </c>
      <c r="E1495" s="0">
        <f>VLOOKUP(C1495,'Item Tier Lookup'!$A:$B,2,FALSE)</f>
        <v/>
      </c>
      <c r="F1495" s="0">
        <f>VLOOKUP(E1495,'Tier Params'!$A:$B,2,FALSE)</f>
        <v/>
      </c>
      <c r="G1495" s="0">
        <f>VLOOKUP(E1495,'Tier Params'!$A:$C,3,FALSE)</f>
        <v/>
      </c>
      <c r="H1495" s="0">
        <f>CEILING(D1495/G1495,1)</f>
        <v/>
      </c>
      <c r="I1495" s="0">
        <f>H1495*F1495</f>
        <v/>
      </c>
    </row>
    <row r="1496">
      <c r="A1496" s="0" t="inlineStr">
        <is>
          <t>'Reference sheet'!N1498</t>
        </is>
      </c>
      <c r="B1496" s="0" t="inlineStr">
        <is>
          <t>Structure Office Center</t>
        </is>
      </c>
      <c r="C1496" s="0" t="inlineStr">
        <is>
          <t>Construction Blocks</t>
        </is>
      </c>
      <c r="D1496" s="0" t="n">
        <v>60</v>
      </c>
      <c r="E1496" s="0">
        <f>VLOOKUP(C1496,'Item Tier Lookup'!$A:$B,2,FALSE)</f>
        <v/>
      </c>
      <c r="F1496" s="0">
        <f>VLOOKUP(E1496,'Tier Params'!$A:$B,2,FALSE)</f>
        <v/>
      </c>
      <c r="G1496" s="0">
        <f>VLOOKUP(E1496,'Tier Params'!$A:$C,3,FALSE)</f>
        <v/>
      </c>
      <c r="H1496" s="0">
        <f>CEILING(D1496/G1496,1)</f>
        <v/>
      </c>
      <c r="I1496" s="0">
        <f>H1496*F1496</f>
        <v/>
      </c>
    </row>
    <row r="1497">
      <c r="A1497" s="0" t="inlineStr">
        <is>
          <t>'Reference sheet'!N1499</t>
        </is>
      </c>
      <c r="B1497" s="0" t="inlineStr">
        <is>
          <t>Structure Office Center</t>
        </is>
      </c>
      <c r="C1497" s="0" t="inlineStr">
        <is>
          <t>Toxic Metals</t>
        </is>
      </c>
      <c r="D1497" s="0" t="n">
        <v>480</v>
      </c>
      <c r="E1497" s="0">
        <f>VLOOKUP(C1497,'Item Tier Lookup'!$A:$B,2,FALSE)</f>
        <v/>
      </c>
      <c r="F1497" s="0">
        <f>VLOOKUP(E1497,'Tier Params'!$A:$B,2,FALSE)</f>
        <v/>
      </c>
      <c r="G1497" s="0">
        <f>VLOOKUP(E1497,'Tier Params'!$A:$C,3,FALSE)</f>
        <v/>
      </c>
      <c r="H1497" s="0">
        <f>CEILING(D1497/G1497,1)</f>
        <v/>
      </c>
      <c r="I1497" s="0">
        <f>H1497*F1497</f>
        <v/>
      </c>
    </row>
    <row r="1498">
      <c r="A1498" s="0" t="inlineStr">
        <is>
          <t>'Reference sheet'!N1500</t>
        </is>
      </c>
      <c r="B1498" s="0" t="inlineStr">
        <is>
          <t>Structure Office Center</t>
        </is>
      </c>
      <c r="C1498" s="0" t="inlineStr">
        <is>
          <t>Heavy Metals</t>
        </is>
      </c>
      <c r="D1498" s="0" t="n">
        <v>72000</v>
      </c>
      <c r="E1498" s="0">
        <f>VLOOKUP(C1498,'Item Tier Lookup'!$A:$B,2,FALSE)</f>
        <v/>
      </c>
      <c r="F1498" s="0">
        <f>VLOOKUP(E1498,'Tier Params'!$A:$B,2,FALSE)</f>
        <v/>
      </c>
      <c r="G1498" s="0">
        <f>VLOOKUP(E1498,'Tier Params'!$A:$C,3,FALSE)</f>
        <v/>
      </c>
      <c r="H1498" s="0">
        <f>CEILING(D1498/G1498,1)</f>
        <v/>
      </c>
      <c r="I1498" s="0">
        <f>H1498*F1498</f>
        <v/>
      </c>
    </row>
    <row r="1499">
      <c r="A1499" s="0" t="inlineStr">
        <is>
          <t>'Reference sheet'!N1501</t>
        </is>
      </c>
      <c r="B1499" s="0" t="inlineStr">
        <is>
          <t>Structure Office Center</t>
        </is>
      </c>
      <c r="C1499" s="0" t="inlineStr">
        <is>
          <t>Reactive Metals</t>
        </is>
      </c>
      <c r="D1499" s="0" t="n">
        <v>480</v>
      </c>
      <c r="E1499" s="0">
        <f>VLOOKUP(C1499,'Item Tier Lookup'!$A:$B,2,FALSE)</f>
        <v/>
      </c>
      <c r="F1499" s="0">
        <f>VLOOKUP(E1499,'Tier Params'!$A:$B,2,FALSE)</f>
        <v/>
      </c>
      <c r="G1499" s="0">
        <f>VLOOKUP(E1499,'Tier Params'!$A:$C,3,FALSE)</f>
        <v/>
      </c>
      <c r="H1499" s="0">
        <f>CEILING(D1499/G1499,1)</f>
        <v/>
      </c>
      <c r="I1499" s="0">
        <f>H1499*F1499</f>
        <v/>
      </c>
    </row>
    <row r="1500">
      <c r="A1500" s="0" t="inlineStr">
        <is>
          <t>'Reference sheet'!N1502</t>
        </is>
      </c>
      <c r="B1500" s="0" t="inlineStr">
        <is>
          <t>Structure Office Center</t>
        </is>
      </c>
      <c r="C1500" s="0" t="inlineStr">
        <is>
          <t>Base Metals</t>
        </is>
      </c>
      <c r="D1500" s="0" t="n">
        <v>72000</v>
      </c>
      <c r="E1500" s="0">
        <f>VLOOKUP(C1500,'Item Tier Lookup'!$A:$B,2,FALSE)</f>
        <v/>
      </c>
      <c r="F1500" s="0">
        <f>VLOOKUP(E1500,'Tier Params'!$A:$B,2,FALSE)</f>
        <v/>
      </c>
      <c r="G1500" s="0">
        <f>VLOOKUP(E1500,'Tier Params'!$A:$C,3,FALSE)</f>
        <v/>
      </c>
      <c r="H1500" s="0">
        <f>CEILING(D1500/G1500,1)</f>
        <v/>
      </c>
      <c r="I1500" s="0">
        <f>H1500*F1500</f>
        <v/>
      </c>
    </row>
    <row r="1501">
      <c r="A1501" s="0" t="inlineStr">
        <is>
          <t>'Reference sheet'!N1503</t>
        </is>
      </c>
      <c r="B1501" s="0" t="inlineStr">
        <is>
          <t>Structure Market Network</t>
        </is>
      </c>
      <c r="C1501" s="0" t="inlineStr">
        <is>
          <t>Structure Market Network</t>
        </is>
      </c>
      <c r="D1501" s="0" t="n">
        <v>4</v>
      </c>
      <c r="E1501" s="0">
        <f>VLOOKUP(C1501,'Item Tier Lookup'!$A:$B,2,FALSE)</f>
        <v/>
      </c>
      <c r="F1501" s="0">
        <f>VLOOKUP(E1501,'Tier Params'!$A:$B,2,FALSE)</f>
        <v/>
      </c>
      <c r="G1501" s="0">
        <f>VLOOKUP(E1501,'Tier Params'!$A:$C,3,FALSE)</f>
        <v/>
      </c>
      <c r="H1501" s="0">
        <f>CEILING(D1501/G1501,1)</f>
        <v/>
      </c>
      <c r="I1501" s="0">
        <f>H1501*F1501</f>
        <v/>
      </c>
    </row>
    <row r="1502">
      <c r="A1502" s="0" t="inlineStr">
        <is>
          <t>'Reference sheet'!N1504</t>
        </is>
      </c>
      <c r="B1502" s="0" t="inlineStr">
        <is>
          <t>Structure Market Network</t>
        </is>
      </c>
      <c r="C1502" s="0" t="inlineStr">
        <is>
          <t>Tritanium</t>
        </is>
      </c>
      <c r="D1502" s="0" t="n">
        <v>5400000</v>
      </c>
      <c r="E1502" s="0">
        <f>VLOOKUP(C1502,'Item Tier Lookup'!$A:$B,2,FALSE)</f>
        <v/>
      </c>
      <c r="F1502" s="0">
        <f>VLOOKUP(E1502,'Tier Params'!$A:$B,2,FALSE)</f>
        <v/>
      </c>
      <c r="G1502" s="0">
        <f>VLOOKUP(E1502,'Tier Params'!$A:$C,3,FALSE)</f>
        <v/>
      </c>
      <c r="H1502" s="0">
        <f>CEILING(D1502/G1502,1)</f>
        <v/>
      </c>
      <c r="I1502" s="0">
        <f>H1502*F1502</f>
        <v/>
      </c>
    </row>
    <row r="1503">
      <c r="A1503" s="0" t="inlineStr">
        <is>
          <t>'Reference sheet'!N1505</t>
        </is>
      </c>
      <c r="B1503" s="0" t="inlineStr">
        <is>
          <t>Structure Market Network</t>
        </is>
      </c>
      <c r="C1503" s="0" t="inlineStr">
        <is>
          <t>Pyerite</t>
        </is>
      </c>
      <c r="D1503" s="0" t="n">
        <v>1080000</v>
      </c>
      <c r="E1503" s="0">
        <f>VLOOKUP(C1503,'Item Tier Lookup'!$A:$B,2,FALSE)</f>
        <v/>
      </c>
      <c r="F1503" s="0">
        <f>VLOOKUP(E1503,'Tier Params'!$A:$B,2,FALSE)</f>
        <v/>
      </c>
      <c r="G1503" s="0">
        <f>VLOOKUP(E1503,'Tier Params'!$A:$C,3,FALSE)</f>
        <v/>
      </c>
      <c r="H1503" s="0">
        <f>CEILING(D1503/G1503,1)</f>
        <v/>
      </c>
      <c r="I1503" s="0">
        <f>H1503*F1503</f>
        <v/>
      </c>
    </row>
    <row r="1504">
      <c r="A1504" s="0" t="inlineStr">
        <is>
          <t>'Reference sheet'!N1506</t>
        </is>
      </c>
      <c r="B1504" s="0" t="inlineStr">
        <is>
          <t>Structure Market Network</t>
        </is>
      </c>
      <c r="C1504" s="0" t="inlineStr">
        <is>
          <t>Mexallon</t>
        </is>
      </c>
      <c r="D1504" s="0" t="n">
        <v>378000</v>
      </c>
      <c r="E1504" s="0">
        <f>VLOOKUP(C1504,'Item Tier Lookup'!$A:$B,2,FALSE)</f>
        <v/>
      </c>
      <c r="F1504" s="0">
        <f>VLOOKUP(E1504,'Tier Params'!$A:$B,2,FALSE)</f>
        <v/>
      </c>
      <c r="G1504" s="0">
        <f>VLOOKUP(E1504,'Tier Params'!$A:$C,3,FALSE)</f>
        <v/>
      </c>
      <c r="H1504" s="0">
        <f>CEILING(D1504/G1504,1)</f>
        <v/>
      </c>
      <c r="I1504" s="0">
        <f>H1504*F1504</f>
        <v/>
      </c>
    </row>
    <row r="1505">
      <c r="A1505" s="0" t="inlineStr">
        <is>
          <t>'Reference sheet'!N1507</t>
        </is>
      </c>
      <c r="B1505" s="0" t="inlineStr">
        <is>
          <t>Structure Market Network</t>
        </is>
      </c>
      <c r="C1505" s="0" t="inlineStr">
        <is>
          <t>Isogen</t>
        </is>
      </c>
      <c r="D1505" s="0" t="n">
        <v>43200</v>
      </c>
      <c r="E1505" s="0">
        <f>VLOOKUP(C1505,'Item Tier Lookup'!$A:$B,2,FALSE)</f>
        <v/>
      </c>
      <c r="F1505" s="0">
        <f>VLOOKUP(E1505,'Tier Params'!$A:$B,2,FALSE)</f>
        <v/>
      </c>
      <c r="G1505" s="0">
        <f>VLOOKUP(E1505,'Tier Params'!$A:$C,3,FALSE)</f>
        <v/>
      </c>
      <c r="H1505" s="0">
        <f>CEILING(D1505/G1505,1)</f>
        <v/>
      </c>
      <c r="I1505" s="0">
        <f>H1505*F1505</f>
        <v/>
      </c>
    </row>
    <row r="1506">
      <c r="A1506" s="0" t="inlineStr">
        <is>
          <t>'Reference sheet'!N1508</t>
        </is>
      </c>
      <c r="B1506" s="0" t="inlineStr">
        <is>
          <t>Structure Market Network</t>
        </is>
      </c>
      <c r="C1506" s="0" t="inlineStr">
        <is>
          <t>Nocxium</t>
        </is>
      </c>
      <c r="D1506" s="0" t="n">
        <v>8100</v>
      </c>
      <c r="E1506" s="0">
        <f>VLOOKUP(C1506,'Item Tier Lookup'!$A:$B,2,FALSE)</f>
        <v/>
      </c>
      <c r="F1506" s="0">
        <f>VLOOKUP(E1506,'Tier Params'!$A:$B,2,FALSE)</f>
        <v/>
      </c>
      <c r="G1506" s="0">
        <f>VLOOKUP(E1506,'Tier Params'!$A:$C,3,FALSE)</f>
        <v/>
      </c>
      <c r="H1506" s="0">
        <f>CEILING(D1506/G1506,1)</f>
        <v/>
      </c>
      <c r="I1506" s="0">
        <f>H1506*F1506</f>
        <v/>
      </c>
    </row>
    <row r="1507">
      <c r="A1507" s="0" t="inlineStr">
        <is>
          <t>'Reference sheet'!N1509</t>
        </is>
      </c>
      <c r="B1507" s="0" t="inlineStr">
        <is>
          <t>Structure Market Network</t>
        </is>
      </c>
      <c r="C1507" s="0" t="inlineStr">
        <is>
          <t>Zydrine</t>
        </is>
      </c>
      <c r="D1507" s="0" t="n">
        <v>3780</v>
      </c>
      <c r="E1507" s="0">
        <f>VLOOKUP(C1507,'Item Tier Lookup'!$A:$B,2,FALSE)</f>
        <v/>
      </c>
      <c r="F1507" s="0">
        <f>VLOOKUP(E1507,'Tier Params'!$A:$B,2,FALSE)</f>
        <v/>
      </c>
      <c r="G1507" s="0">
        <f>VLOOKUP(E1507,'Tier Params'!$A:$C,3,FALSE)</f>
        <v/>
      </c>
      <c r="H1507" s="0">
        <f>CEILING(D1507/G1507,1)</f>
        <v/>
      </c>
      <c r="I1507" s="0">
        <f>H1507*F1507</f>
        <v/>
      </c>
    </row>
    <row r="1508">
      <c r="A1508" s="0" t="inlineStr">
        <is>
          <t>'Reference sheet'!N1510</t>
        </is>
      </c>
      <c r="B1508" s="0" t="inlineStr">
        <is>
          <t>Structure Market Network</t>
        </is>
      </c>
      <c r="C1508" s="0" t="inlineStr">
        <is>
          <t>Megacyte</t>
        </is>
      </c>
      <c r="D1508" s="0" t="n">
        <v>1620</v>
      </c>
      <c r="E1508" s="0">
        <f>VLOOKUP(C1508,'Item Tier Lookup'!$A:$B,2,FALSE)</f>
        <v/>
      </c>
      <c r="F1508" s="0">
        <f>VLOOKUP(E1508,'Tier Params'!$A:$B,2,FALSE)</f>
        <v/>
      </c>
      <c r="G1508" s="0">
        <f>VLOOKUP(E1508,'Tier Params'!$A:$C,3,FALSE)</f>
        <v/>
      </c>
      <c r="H1508" s="0">
        <f>CEILING(D1508/G1508,1)</f>
        <v/>
      </c>
      <c r="I1508" s="0">
        <f>H1508*F1508</f>
        <v/>
      </c>
    </row>
    <row r="1509">
      <c r="A1509" s="0" t="inlineStr">
        <is>
          <t>'Reference sheet'!N1511</t>
        </is>
      </c>
      <c r="B1509" s="0" t="inlineStr">
        <is>
          <t>Structure Market Network</t>
        </is>
      </c>
      <c r="C1509" s="0" t="inlineStr">
        <is>
          <t>Broadcast Node</t>
        </is>
      </c>
      <c r="D1509" s="0" t="n">
        <v>54</v>
      </c>
      <c r="E1509" s="0">
        <f>VLOOKUP(C1509,'Item Tier Lookup'!$A:$B,2,FALSE)</f>
        <v/>
      </c>
      <c r="F1509" s="0">
        <f>VLOOKUP(E1509,'Tier Params'!$A:$B,2,FALSE)</f>
        <v/>
      </c>
      <c r="G1509" s="0">
        <f>VLOOKUP(E1509,'Tier Params'!$A:$C,3,FALSE)</f>
        <v/>
      </c>
      <c r="H1509" s="0">
        <f>CEILING(D1509/G1509,1)</f>
        <v/>
      </c>
      <c r="I1509" s="0">
        <f>H1509*F1509</f>
        <v/>
      </c>
    </row>
    <row r="1510">
      <c r="A1510" s="0" t="inlineStr">
        <is>
          <t>'Reference sheet'!N1512</t>
        </is>
      </c>
      <c r="B1510" s="0" t="inlineStr">
        <is>
          <t>Structure Market Network</t>
        </is>
      </c>
      <c r="C1510" s="0" t="inlineStr">
        <is>
          <t>Data Chips</t>
        </is>
      </c>
      <c r="D1510" s="0" t="n">
        <v>324</v>
      </c>
      <c r="E1510" s="0">
        <f>VLOOKUP(C1510,'Item Tier Lookup'!$A:$B,2,FALSE)</f>
        <v/>
      </c>
      <c r="F1510" s="0">
        <f>VLOOKUP(E1510,'Tier Params'!$A:$B,2,FALSE)</f>
        <v/>
      </c>
      <c r="G1510" s="0">
        <f>VLOOKUP(E1510,'Tier Params'!$A:$C,3,FALSE)</f>
        <v/>
      </c>
      <c r="H1510" s="0">
        <f>CEILING(D1510/G1510,1)</f>
        <v/>
      </c>
      <c r="I1510" s="0">
        <f>H1510*F1510</f>
        <v/>
      </c>
    </row>
    <row r="1511">
      <c r="A1511" s="0" t="inlineStr">
        <is>
          <t>'Reference sheet'!N1513</t>
        </is>
      </c>
      <c r="B1511" s="0" t="inlineStr">
        <is>
          <t>Structure Market Network</t>
        </is>
      </c>
      <c r="C1511" s="0" t="inlineStr">
        <is>
          <t>Supertensile Plastics</t>
        </is>
      </c>
      <c r="D1511" s="0" t="n">
        <v>1080</v>
      </c>
      <c r="E1511" s="0">
        <f>VLOOKUP(C1511,'Item Tier Lookup'!$A:$B,2,FALSE)</f>
        <v/>
      </c>
      <c r="F1511" s="0">
        <f>VLOOKUP(E1511,'Tier Params'!$A:$B,2,FALSE)</f>
        <v/>
      </c>
      <c r="G1511" s="0">
        <f>VLOOKUP(E1511,'Tier Params'!$A:$C,3,FALSE)</f>
        <v/>
      </c>
      <c r="H1511" s="0">
        <f>CEILING(D1511/G1511,1)</f>
        <v/>
      </c>
      <c r="I1511" s="0">
        <f>H1511*F1511</f>
        <v/>
      </c>
    </row>
    <row r="1512">
      <c r="A1512" s="0" t="inlineStr">
        <is>
          <t>'Reference sheet'!N1514</t>
        </is>
      </c>
      <c r="B1512" s="0" t="inlineStr">
        <is>
          <t>Structure Market Network</t>
        </is>
      </c>
      <c r="C1512" s="0" t="inlineStr">
        <is>
          <t>Oxygen</t>
        </is>
      </c>
      <c r="D1512" s="0" t="n">
        <v>8640</v>
      </c>
      <c r="E1512" s="0">
        <f>VLOOKUP(C1512,'Item Tier Lookup'!$A:$B,2,FALSE)</f>
        <v/>
      </c>
      <c r="F1512" s="0">
        <f>VLOOKUP(E1512,'Tier Params'!$A:$B,2,FALSE)</f>
        <v/>
      </c>
      <c r="G1512" s="0">
        <f>VLOOKUP(E1512,'Tier Params'!$A:$C,3,FALSE)</f>
        <v/>
      </c>
      <c r="H1512" s="0">
        <f>CEILING(D1512/G1512,1)</f>
        <v/>
      </c>
      <c r="I1512" s="0">
        <f>H1512*F1512</f>
        <v/>
      </c>
    </row>
    <row r="1513">
      <c r="A1513" s="0" t="inlineStr">
        <is>
          <t>'Reference sheet'!N1515</t>
        </is>
      </c>
      <c r="B1513" s="0" t="inlineStr">
        <is>
          <t>Structure Market Network</t>
        </is>
      </c>
      <c r="C1513" s="0" t="inlineStr">
        <is>
          <t>Noble Gas</t>
        </is>
      </c>
      <c r="D1513" s="0" t="n">
        <v>1296000</v>
      </c>
      <c r="E1513" s="0">
        <f>VLOOKUP(C1513,'Item Tier Lookup'!$A:$B,2,FALSE)</f>
        <v/>
      </c>
      <c r="F1513" s="0">
        <f>VLOOKUP(E1513,'Tier Params'!$A:$B,2,FALSE)</f>
        <v/>
      </c>
      <c r="G1513" s="0">
        <f>VLOOKUP(E1513,'Tier Params'!$A:$C,3,FALSE)</f>
        <v/>
      </c>
      <c r="H1513" s="0">
        <f>CEILING(D1513/G1513,1)</f>
        <v/>
      </c>
      <c r="I1513" s="0">
        <f>H1513*F1513</f>
        <v/>
      </c>
    </row>
    <row r="1514">
      <c r="A1514" s="0" t="inlineStr">
        <is>
          <t>'Reference sheet'!N1516</t>
        </is>
      </c>
      <c r="B1514" s="0" t="inlineStr">
        <is>
          <t>Structure Market Network</t>
        </is>
      </c>
      <c r="C1514" s="0" t="inlineStr">
        <is>
          <t>Biomass</t>
        </is>
      </c>
      <c r="D1514" s="0" t="n">
        <v>8640</v>
      </c>
      <c r="E1514" s="0">
        <f>VLOOKUP(C1514,'Item Tier Lookup'!$A:$B,2,FALSE)</f>
        <v/>
      </c>
      <c r="F1514" s="0">
        <f>VLOOKUP(E1514,'Tier Params'!$A:$B,2,FALSE)</f>
        <v/>
      </c>
      <c r="G1514" s="0">
        <f>VLOOKUP(E1514,'Tier Params'!$A:$C,3,FALSE)</f>
        <v/>
      </c>
      <c r="H1514" s="0">
        <f>CEILING(D1514/G1514,1)</f>
        <v/>
      </c>
      <c r="I1514" s="0">
        <f>H1514*F1514</f>
        <v/>
      </c>
    </row>
    <row r="1515">
      <c r="A1515" s="0" t="inlineStr">
        <is>
          <t>'Reference sheet'!N1517</t>
        </is>
      </c>
      <c r="B1515" s="0" t="inlineStr">
        <is>
          <t>Structure Market Network</t>
        </is>
      </c>
      <c r="C1515" s="0" t="inlineStr">
        <is>
          <t>Planktic Colonies</t>
        </is>
      </c>
      <c r="D1515" s="0" t="n">
        <v>1296000</v>
      </c>
      <c r="E1515" s="0">
        <f>VLOOKUP(C1515,'Item Tier Lookup'!$A:$B,2,FALSE)</f>
        <v/>
      </c>
      <c r="F1515" s="0">
        <f>VLOOKUP(E1515,'Tier Params'!$A:$B,2,FALSE)</f>
        <v/>
      </c>
      <c r="G1515" s="0">
        <f>VLOOKUP(E1515,'Tier Params'!$A:$C,3,FALSE)</f>
        <v/>
      </c>
      <c r="H1515" s="0">
        <f>CEILING(D1515/G1515,1)</f>
        <v/>
      </c>
      <c r="I1515" s="0">
        <f>H1515*F1515</f>
        <v/>
      </c>
    </row>
    <row r="1516">
      <c r="A1516" s="0" t="inlineStr">
        <is>
          <t>'Reference sheet'!N1518</t>
        </is>
      </c>
      <c r="B1516" s="0" t="inlineStr">
        <is>
          <t>Structure Market Network</t>
        </is>
      </c>
      <c r="C1516" s="0" t="inlineStr">
        <is>
          <t>Microfiber Shielding</t>
        </is>
      </c>
      <c r="D1516" s="0" t="n">
        <v>1080</v>
      </c>
      <c r="E1516" s="0">
        <f>VLOOKUP(C1516,'Item Tier Lookup'!$A:$B,2,FALSE)</f>
        <v/>
      </c>
      <c r="F1516" s="0">
        <f>VLOOKUP(E1516,'Tier Params'!$A:$B,2,FALSE)</f>
        <v/>
      </c>
      <c r="G1516" s="0">
        <f>VLOOKUP(E1516,'Tier Params'!$A:$C,3,FALSE)</f>
        <v/>
      </c>
      <c r="H1516" s="0">
        <f>CEILING(D1516/G1516,1)</f>
        <v/>
      </c>
      <c r="I1516" s="0">
        <f>H1516*F1516</f>
        <v/>
      </c>
    </row>
    <row r="1517">
      <c r="A1517" s="0" t="inlineStr">
        <is>
          <t>'Reference sheet'!N1519</t>
        </is>
      </c>
      <c r="B1517" s="0" t="inlineStr">
        <is>
          <t>Structure Market Network</t>
        </is>
      </c>
      <c r="C1517" s="0" t="inlineStr">
        <is>
          <t>Silicon</t>
        </is>
      </c>
      <c r="D1517" s="0" t="n">
        <v>8640</v>
      </c>
      <c r="E1517" s="0">
        <f>VLOOKUP(C1517,'Item Tier Lookup'!$A:$B,2,FALSE)</f>
        <v/>
      </c>
      <c r="F1517" s="0">
        <f>VLOOKUP(E1517,'Tier Params'!$A:$B,2,FALSE)</f>
        <v/>
      </c>
      <c r="G1517" s="0">
        <f>VLOOKUP(E1517,'Tier Params'!$A:$C,3,FALSE)</f>
        <v/>
      </c>
      <c r="H1517" s="0">
        <f>CEILING(D1517/G1517,1)</f>
        <v/>
      </c>
      <c r="I1517" s="0">
        <f>H1517*F1517</f>
        <v/>
      </c>
    </row>
    <row r="1518">
      <c r="A1518" s="0" t="inlineStr">
        <is>
          <t>'Reference sheet'!N1520</t>
        </is>
      </c>
      <c r="B1518" s="0" t="inlineStr">
        <is>
          <t>Structure Market Network</t>
        </is>
      </c>
      <c r="C1518" s="0" t="inlineStr">
        <is>
          <t>Felsic Magma</t>
        </is>
      </c>
      <c r="D1518" s="0" t="n">
        <v>1296000</v>
      </c>
      <c r="E1518" s="0">
        <f>VLOOKUP(C1518,'Item Tier Lookup'!$A:$B,2,FALSE)</f>
        <v/>
      </c>
      <c r="F1518" s="0">
        <f>VLOOKUP(E1518,'Tier Params'!$A:$B,2,FALSE)</f>
        <v/>
      </c>
      <c r="G1518" s="0">
        <f>VLOOKUP(E1518,'Tier Params'!$A:$C,3,FALSE)</f>
        <v/>
      </c>
      <c r="H1518" s="0">
        <f>CEILING(D1518/G1518,1)</f>
        <v/>
      </c>
      <c r="I1518" s="0">
        <f>H1518*F1518</f>
        <v/>
      </c>
    </row>
    <row r="1519">
      <c r="A1519" s="0" t="inlineStr">
        <is>
          <t>'Reference sheet'!N1521</t>
        </is>
      </c>
      <c r="B1519" s="0" t="inlineStr">
        <is>
          <t>Structure Market Network</t>
        </is>
      </c>
      <c r="C1519" s="0" t="inlineStr">
        <is>
          <t>Industrial Fibers</t>
        </is>
      </c>
      <c r="D1519" s="0" t="n">
        <v>8640</v>
      </c>
      <c r="E1519" s="0">
        <f>VLOOKUP(C1519,'Item Tier Lookup'!$A:$B,2,FALSE)</f>
        <v/>
      </c>
      <c r="F1519" s="0">
        <f>VLOOKUP(E1519,'Tier Params'!$A:$B,2,FALSE)</f>
        <v/>
      </c>
      <c r="G1519" s="0">
        <f>VLOOKUP(E1519,'Tier Params'!$A:$C,3,FALSE)</f>
        <v/>
      </c>
      <c r="H1519" s="0">
        <f>CEILING(D1519/G1519,1)</f>
        <v/>
      </c>
      <c r="I1519" s="0">
        <f>H1519*F1519</f>
        <v/>
      </c>
    </row>
    <row r="1520">
      <c r="A1520" s="0" t="inlineStr">
        <is>
          <t>'Reference sheet'!N1522</t>
        </is>
      </c>
      <c r="B1520" s="0" t="inlineStr">
        <is>
          <t>Structure Market Network</t>
        </is>
      </c>
      <c r="C1520" s="0" t="inlineStr">
        <is>
          <t>Autotrophs</t>
        </is>
      </c>
      <c r="D1520" s="0" t="n">
        <v>1296000</v>
      </c>
      <c r="E1520" s="0">
        <f>VLOOKUP(C1520,'Item Tier Lookup'!$A:$B,2,FALSE)</f>
        <v/>
      </c>
      <c r="F1520" s="0">
        <f>VLOOKUP(E1520,'Tier Params'!$A:$B,2,FALSE)</f>
        <v/>
      </c>
      <c r="G1520" s="0">
        <f>VLOOKUP(E1520,'Tier Params'!$A:$C,3,FALSE)</f>
        <v/>
      </c>
      <c r="H1520" s="0">
        <f>CEILING(D1520/G1520,1)</f>
        <v/>
      </c>
      <c r="I1520" s="0">
        <f>H1520*F1520</f>
        <v/>
      </c>
    </row>
    <row r="1521">
      <c r="A1521" s="0" t="inlineStr">
        <is>
          <t>'Reference sheet'!N1523</t>
        </is>
      </c>
      <c r="B1521" s="0" t="inlineStr">
        <is>
          <t>Structure Market Network</t>
        </is>
      </c>
      <c r="C1521" s="0" t="inlineStr">
        <is>
          <t>Neocoms</t>
        </is>
      </c>
      <c r="D1521" s="0" t="n">
        <v>324</v>
      </c>
      <c r="E1521" s="0">
        <f>VLOOKUP(C1521,'Item Tier Lookup'!$A:$B,2,FALSE)</f>
        <v/>
      </c>
      <c r="F1521" s="0">
        <f>VLOOKUP(E1521,'Tier Params'!$A:$B,2,FALSE)</f>
        <v/>
      </c>
      <c r="G1521" s="0">
        <f>VLOOKUP(E1521,'Tier Params'!$A:$C,3,FALSE)</f>
        <v/>
      </c>
      <c r="H1521" s="0">
        <f>CEILING(D1521/G1521,1)</f>
        <v/>
      </c>
      <c r="I1521" s="0">
        <f>H1521*F1521</f>
        <v/>
      </c>
    </row>
    <row r="1522">
      <c r="A1522" s="0" t="inlineStr">
        <is>
          <t>'Reference sheet'!N1524</t>
        </is>
      </c>
      <c r="B1522" s="0" t="inlineStr">
        <is>
          <t>Structure Market Network</t>
        </is>
      </c>
      <c r="C1522" s="0" t="inlineStr">
        <is>
          <t>Biocells</t>
        </is>
      </c>
      <c r="D1522" s="0" t="n">
        <v>1080</v>
      </c>
      <c r="E1522" s="0">
        <f>VLOOKUP(C1522,'Item Tier Lookup'!$A:$B,2,FALSE)</f>
        <v/>
      </c>
      <c r="F1522" s="0">
        <f>VLOOKUP(E1522,'Tier Params'!$A:$B,2,FALSE)</f>
        <v/>
      </c>
      <c r="G1522" s="0">
        <f>VLOOKUP(E1522,'Tier Params'!$A:$C,3,FALSE)</f>
        <v/>
      </c>
      <c r="H1522" s="0">
        <f>CEILING(D1522/G1522,1)</f>
        <v/>
      </c>
      <c r="I1522" s="0">
        <f>H1522*F1522</f>
        <v/>
      </c>
    </row>
    <row r="1523">
      <c r="A1523" s="0" t="inlineStr">
        <is>
          <t>'Reference sheet'!N1525</t>
        </is>
      </c>
      <c r="B1523" s="0" t="inlineStr">
        <is>
          <t>Structure Market Network</t>
        </is>
      </c>
      <c r="C1523" s="0" t="inlineStr">
        <is>
          <t>Biofuels</t>
        </is>
      </c>
      <c r="D1523" s="0" t="n">
        <v>8640</v>
      </c>
      <c r="E1523" s="0">
        <f>VLOOKUP(C1523,'Item Tier Lookup'!$A:$B,2,FALSE)</f>
        <v/>
      </c>
      <c r="F1523" s="0">
        <f>VLOOKUP(E1523,'Tier Params'!$A:$B,2,FALSE)</f>
        <v/>
      </c>
      <c r="G1523" s="0">
        <f>VLOOKUP(E1523,'Tier Params'!$A:$C,3,FALSE)</f>
        <v/>
      </c>
      <c r="H1523" s="0">
        <f>CEILING(D1523/G1523,1)</f>
        <v/>
      </c>
      <c r="I1523" s="0">
        <f>H1523*F1523</f>
        <v/>
      </c>
    </row>
    <row r="1524">
      <c r="A1524" s="0" t="inlineStr">
        <is>
          <t>'Reference sheet'!N1526</t>
        </is>
      </c>
      <c r="B1524" s="0" t="inlineStr">
        <is>
          <t>Structure Market Network</t>
        </is>
      </c>
      <c r="C1524" s="0" t="inlineStr">
        <is>
          <t>Carbon Compounds</t>
        </is>
      </c>
      <c r="D1524" s="0" t="n">
        <v>1296000</v>
      </c>
      <c r="E1524" s="0">
        <f>VLOOKUP(C1524,'Item Tier Lookup'!$A:$B,2,FALSE)</f>
        <v/>
      </c>
      <c r="F1524" s="0">
        <f>VLOOKUP(E1524,'Tier Params'!$A:$B,2,FALSE)</f>
        <v/>
      </c>
      <c r="G1524" s="0">
        <f>VLOOKUP(E1524,'Tier Params'!$A:$C,3,FALSE)</f>
        <v/>
      </c>
      <c r="H1524" s="0">
        <f>CEILING(D1524/G1524,1)</f>
        <v/>
      </c>
      <c r="I1524" s="0">
        <f>H1524*F1524</f>
        <v/>
      </c>
    </row>
    <row r="1525">
      <c r="A1525" s="0" t="inlineStr">
        <is>
          <t>'Reference sheet'!N1527</t>
        </is>
      </c>
      <c r="B1525" s="0" t="inlineStr">
        <is>
          <t>Structure Market Network</t>
        </is>
      </c>
      <c r="C1525" s="0" t="inlineStr">
        <is>
          <t>Precious Metals</t>
        </is>
      </c>
      <c r="D1525" s="0" t="n">
        <v>8640</v>
      </c>
      <c r="E1525" s="0">
        <f>VLOOKUP(C1525,'Item Tier Lookup'!$A:$B,2,FALSE)</f>
        <v/>
      </c>
      <c r="F1525" s="0">
        <f>VLOOKUP(E1525,'Tier Params'!$A:$B,2,FALSE)</f>
        <v/>
      </c>
      <c r="G1525" s="0">
        <f>VLOOKUP(E1525,'Tier Params'!$A:$C,3,FALSE)</f>
        <v/>
      </c>
      <c r="H1525" s="0">
        <f>CEILING(D1525/G1525,1)</f>
        <v/>
      </c>
      <c r="I1525" s="0">
        <f>H1525*F1525</f>
        <v/>
      </c>
    </row>
    <row r="1526">
      <c r="A1526" s="0" t="inlineStr">
        <is>
          <t>'Reference sheet'!N1528</t>
        </is>
      </c>
      <c r="B1526" s="0" t="inlineStr">
        <is>
          <t>Structure Market Network</t>
        </is>
      </c>
      <c r="C1526" s="0" t="inlineStr">
        <is>
          <t>Noble Metals</t>
        </is>
      </c>
      <c r="D1526" s="0" t="n">
        <v>1296000</v>
      </c>
      <c r="E1526" s="0">
        <f>VLOOKUP(C1526,'Item Tier Lookup'!$A:$B,2,FALSE)</f>
        <v/>
      </c>
      <c r="F1526" s="0">
        <f>VLOOKUP(E1526,'Tier Params'!$A:$B,2,FALSE)</f>
        <v/>
      </c>
      <c r="G1526" s="0">
        <f>VLOOKUP(E1526,'Tier Params'!$A:$C,3,FALSE)</f>
        <v/>
      </c>
      <c r="H1526" s="0">
        <f>CEILING(D1526/G1526,1)</f>
        <v/>
      </c>
      <c r="I1526" s="0">
        <f>H1526*F1526</f>
        <v/>
      </c>
    </row>
    <row r="1527">
      <c r="A1527" s="0" t="inlineStr">
        <is>
          <t>'Reference sheet'!N1529</t>
        </is>
      </c>
      <c r="B1527" s="0" t="inlineStr">
        <is>
          <t>Structure Market Network</t>
        </is>
      </c>
      <c r="C1527" s="0" t="inlineStr">
        <is>
          <t>Silicate Glass</t>
        </is>
      </c>
      <c r="D1527" s="0" t="n">
        <v>1080</v>
      </c>
      <c r="E1527" s="0">
        <f>VLOOKUP(C1527,'Item Tier Lookup'!$A:$B,2,FALSE)</f>
        <v/>
      </c>
      <c r="F1527" s="0">
        <f>VLOOKUP(E1527,'Tier Params'!$A:$B,2,FALSE)</f>
        <v/>
      </c>
      <c r="G1527" s="0">
        <f>VLOOKUP(E1527,'Tier Params'!$A:$C,3,FALSE)</f>
        <v/>
      </c>
      <c r="H1527" s="0">
        <f>CEILING(D1527/G1527,1)</f>
        <v/>
      </c>
      <c r="I1527" s="0">
        <f>H1527*F1527</f>
        <v/>
      </c>
    </row>
    <row r="1528">
      <c r="A1528" s="0" t="inlineStr">
        <is>
          <t>'Reference sheet'!N1530</t>
        </is>
      </c>
      <c r="B1528" s="0" t="inlineStr">
        <is>
          <t>Structure Market Network</t>
        </is>
      </c>
      <c r="C1528" s="0" t="inlineStr">
        <is>
          <t>Oxidizing Compound</t>
        </is>
      </c>
      <c r="D1528" s="0" t="n">
        <v>8640</v>
      </c>
      <c r="E1528" s="0">
        <f>VLOOKUP(C1528,'Item Tier Lookup'!$A:$B,2,FALSE)</f>
        <v/>
      </c>
      <c r="F1528" s="0">
        <f>VLOOKUP(E1528,'Tier Params'!$A:$B,2,FALSE)</f>
        <v/>
      </c>
      <c r="G1528" s="0">
        <f>VLOOKUP(E1528,'Tier Params'!$A:$C,3,FALSE)</f>
        <v/>
      </c>
      <c r="H1528" s="0">
        <f>CEILING(D1528/G1528,1)</f>
        <v/>
      </c>
      <c r="I1528" s="0">
        <f>H1528*F1528</f>
        <v/>
      </c>
    </row>
    <row r="1529">
      <c r="A1529" s="0" t="inlineStr">
        <is>
          <t>'Reference sheet'!N1531</t>
        </is>
      </c>
      <c r="B1529" s="0" t="inlineStr">
        <is>
          <t>Structure Market Network</t>
        </is>
      </c>
      <c r="C1529" s="0" t="inlineStr">
        <is>
          <t>Reactive Gas</t>
        </is>
      </c>
      <c r="D1529" s="0" t="n">
        <v>1296000</v>
      </c>
      <c r="E1529" s="0">
        <f>VLOOKUP(C1529,'Item Tier Lookup'!$A:$B,2,FALSE)</f>
        <v/>
      </c>
      <c r="F1529" s="0">
        <f>VLOOKUP(E1529,'Tier Params'!$A:$B,2,FALSE)</f>
        <v/>
      </c>
      <c r="G1529" s="0">
        <f>VLOOKUP(E1529,'Tier Params'!$A:$C,3,FALSE)</f>
        <v/>
      </c>
      <c r="H1529" s="0">
        <f>CEILING(D1529/G1529,1)</f>
        <v/>
      </c>
      <c r="I1529" s="0">
        <f>H1529*F1529</f>
        <v/>
      </c>
    </row>
    <row r="1530">
      <c r="A1530" s="0" t="inlineStr">
        <is>
          <t>'Reference sheet'!N1532</t>
        </is>
      </c>
      <c r="B1530" s="0" t="inlineStr">
        <is>
          <t>Structure Market Network</t>
        </is>
      </c>
      <c r="C1530" s="0" t="inlineStr">
        <is>
          <t>Silicon</t>
        </is>
      </c>
      <c r="D1530" s="0" t="n">
        <v>8640</v>
      </c>
      <c r="E1530" s="0">
        <f>VLOOKUP(C1530,'Item Tier Lookup'!$A:$B,2,FALSE)</f>
        <v/>
      </c>
      <c r="F1530" s="0">
        <f>VLOOKUP(E1530,'Tier Params'!$A:$B,2,FALSE)</f>
        <v/>
      </c>
      <c r="G1530" s="0">
        <f>VLOOKUP(E1530,'Tier Params'!$A:$C,3,FALSE)</f>
        <v/>
      </c>
      <c r="H1530" s="0">
        <f>CEILING(D1530/G1530,1)</f>
        <v/>
      </c>
      <c r="I1530" s="0">
        <f>H1530*F1530</f>
        <v/>
      </c>
    </row>
    <row r="1531">
      <c r="A1531" s="0" t="inlineStr">
        <is>
          <t>'Reference sheet'!N1533</t>
        </is>
      </c>
      <c r="B1531" s="0" t="inlineStr">
        <is>
          <t>Structure Market Network</t>
        </is>
      </c>
      <c r="C1531" s="0" t="inlineStr">
        <is>
          <t>Felsic Magma</t>
        </is>
      </c>
      <c r="D1531" s="0" t="n">
        <v>1296000</v>
      </c>
      <c r="E1531" s="0">
        <f>VLOOKUP(C1531,'Item Tier Lookup'!$A:$B,2,FALSE)</f>
        <v/>
      </c>
      <c r="F1531" s="0">
        <f>VLOOKUP(E1531,'Tier Params'!$A:$B,2,FALSE)</f>
        <v/>
      </c>
      <c r="G1531" s="0">
        <f>VLOOKUP(E1531,'Tier Params'!$A:$C,3,FALSE)</f>
        <v/>
      </c>
      <c r="H1531" s="0">
        <f>CEILING(D1531/G1531,1)</f>
        <v/>
      </c>
      <c r="I1531" s="0">
        <f>H1531*F1531</f>
        <v/>
      </c>
    </row>
    <row r="1532">
      <c r="A1532" s="0" t="inlineStr">
        <is>
          <t>'Reference sheet'!N1534</t>
        </is>
      </c>
      <c r="B1532" s="0" t="inlineStr">
        <is>
          <t>Structure Market Network</t>
        </is>
      </c>
      <c r="C1532" s="0" t="inlineStr">
        <is>
          <t>High-Tech Transmitters</t>
        </is>
      </c>
      <c r="D1532" s="0" t="n">
        <v>324</v>
      </c>
      <c r="E1532" s="0">
        <f>VLOOKUP(C1532,'Item Tier Lookup'!$A:$B,2,FALSE)</f>
        <v/>
      </c>
      <c r="F1532" s="0">
        <f>VLOOKUP(E1532,'Tier Params'!$A:$B,2,FALSE)</f>
        <v/>
      </c>
      <c r="G1532" s="0">
        <f>VLOOKUP(E1532,'Tier Params'!$A:$C,3,FALSE)</f>
        <v/>
      </c>
      <c r="H1532" s="0">
        <f>CEILING(D1532/G1532,1)</f>
        <v/>
      </c>
      <c r="I1532" s="0">
        <f>H1532*F1532</f>
        <v/>
      </c>
    </row>
    <row r="1533">
      <c r="A1533" s="0" t="inlineStr">
        <is>
          <t>'Reference sheet'!N1535</t>
        </is>
      </c>
      <c r="B1533" s="0" t="inlineStr">
        <is>
          <t>Structure Market Network</t>
        </is>
      </c>
      <c r="C1533" s="0" t="inlineStr">
        <is>
          <t>Transmitter</t>
        </is>
      </c>
      <c r="D1533" s="0" t="n">
        <v>1080</v>
      </c>
      <c r="E1533" s="0">
        <f>VLOOKUP(C1533,'Item Tier Lookup'!$A:$B,2,FALSE)</f>
        <v/>
      </c>
      <c r="F1533" s="0">
        <f>VLOOKUP(E1533,'Tier Params'!$A:$B,2,FALSE)</f>
        <v/>
      </c>
      <c r="G1533" s="0">
        <f>VLOOKUP(E1533,'Tier Params'!$A:$C,3,FALSE)</f>
        <v/>
      </c>
      <c r="H1533" s="0">
        <f>CEILING(D1533/G1533,1)</f>
        <v/>
      </c>
      <c r="I1533" s="0">
        <f>H1533*F1533</f>
        <v/>
      </c>
    </row>
    <row r="1534">
      <c r="A1534" s="0" t="inlineStr">
        <is>
          <t>'Reference sheet'!N1536</t>
        </is>
      </c>
      <c r="B1534" s="0" t="inlineStr">
        <is>
          <t>Structure Market Network</t>
        </is>
      </c>
      <c r="C1534" s="0" t="inlineStr">
        <is>
          <t>Chiral Structures</t>
        </is>
      </c>
      <c r="D1534" s="0" t="n">
        <v>8640</v>
      </c>
      <c r="E1534" s="0">
        <f>VLOOKUP(C1534,'Item Tier Lookup'!$A:$B,2,FALSE)</f>
        <v/>
      </c>
      <c r="F1534" s="0">
        <f>VLOOKUP(E1534,'Tier Params'!$A:$B,2,FALSE)</f>
        <v/>
      </c>
      <c r="G1534" s="0">
        <f>VLOOKUP(E1534,'Tier Params'!$A:$C,3,FALSE)</f>
        <v/>
      </c>
      <c r="H1534" s="0">
        <f>CEILING(D1534/G1534,1)</f>
        <v/>
      </c>
      <c r="I1534" s="0">
        <f>H1534*F1534</f>
        <v/>
      </c>
    </row>
    <row r="1535">
      <c r="A1535" s="0" t="inlineStr">
        <is>
          <t>'Reference sheet'!N1537</t>
        </is>
      </c>
      <c r="B1535" s="0" t="inlineStr">
        <is>
          <t>Structure Market Network</t>
        </is>
      </c>
      <c r="C1535" s="0" t="inlineStr">
        <is>
          <t>Non-CS Crystals</t>
        </is>
      </c>
      <c r="D1535" s="0" t="n">
        <v>1296000</v>
      </c>
      <c r="E1535" s="0">
        <f>VLOOKUP(C1535,'Item Tier Lookup'!$A:$B,2,FALSE)</f>
        <v/>
      </c>
      <c r="F1535" s="0">
        <f>VLOOKUP(E1535,'Tier Params'!$A:$B,2,FALSE)</f>
        <v/>
      </c>
      <c r="G1535" s="0">
        <f>VLOOKUP(E1535,'Tier Params'!$A:$C,3,FALSE)</f>
        <v/>
      </c>
      <c r="H1535" s="0">
        <f>CEILING(D1535/G1535,1)</f>
        <v/>
      </c>
      <c r="I1535" s="0">
        <f>H1535*F1535</f>
        <v/>
      </c>
    </row>
    <row r="1536">
      <c r="A1536" s="0" t="inlineStr">
        <is>
          <t>'Reference sheet'!N1538</t>
        </is>
      </c>
      <c r="B1536" s="0" t="inlineStr">
        <is>
          <t>Structure Market Network</t>
        </is>
      </c>
      <c r="C1536" s="0" t="inlineStr">
        <is>
          <t>Plasmoids</t>
        </is>
      </c>
      <c r="D1536" s="0" t="n">
        <v>8640</v>
      </c>
      <c r="E1536" s="0">
        <f>VLOOKUP(C1536,'Item Tier Lookup'!$A:$B,2,FALSE)</f>
        <v/>
      </c>
      <c r="F1536" s="0">
        <f>VLOOKUP(E1536,'Tier Params'!$A:$B,2,FALSE)</f>
        <v/>
      </c>
      <c r="G1536" s="0">
        <f>VLOOKUP(E1536,'Tier Params'!$A:$C,3,FALSE)</f>
        <v/>
      </c>
      <c r="H1536" s="0">
        <f>CEILING(D1536/G1536,1)</f>
        <v/>
      </c>
      <c r="I1536" s="0">
        <f>H1536*F1536</f>
        <v/>
      </c>
    </row>
    <row r="1537">
      <c r="A1537" s="0" t="inlineStr">
        <is>
          <t>'Reference sheet'!N1539</t>
        </is>
      </c>
      <c r="B1537" s="0" t="inlineStr">
        <is>
          <t>Structure Market Network</t>
        </is>
      </c>
      <c r="C1537" s="0" t="inlineStr">
        <is>
          <t>Suspended Plasma</t>
        </is>
      </c>
      <c r="D1537" s="0" t="n">
        <v>1296000</v>
      </c>
      <c r="E1537" s="0">
        <f>VLOOKUP(C1537,'Item Tier Lookup'!$A:$B,2,FALSE)</f>
        <v/>
      </c>
      <c r="F1537" s="0">
        <f>VLOOKUP(E1537,'Tier Params'!$A:$B,2,FALSE)</f>
        <v/>
      </c>
      <c r="G1537" s="0">
        <f>VLOOKUP(E1537,'Tier Params'!$A:$C,3,FALSE)</f>
        <v/>
      </c>
      <c r="H1537" s="0">
        <f>CEILING(D1537/G1537,1)</f>
        <v/>
      </c>
      <c r="I1537" s="0">
        <f>H1537*F1537</f>
        <v/>
      </c>
    </row>
    <row r="1538">
      <c r="A1538" s="0" t="inlineStr">
        <is>
          <t>'Reference sheet'!N1540</t>
        </is>
      </c>
      <c r="B1538" s="0" t="inlineStr">
        <is>
          <t>Structure Market Network</t>
        </is>
      </c>
      <c r="C1538" s="0" t="inlineStr">
        <is>
          <t>Polyaramids</t>
        </is>
      </c>
      <c r="D1538" s="0" t="n">
        <v>1080</v>
      </c>
      <c r="E1538" s="0">
        <f>VLOOKUP(C1538,'Item Tier Lookup'!$A:$B,2,FALSE)</f>
        <v/>
      </c>
      <c r="F1538" s="0">
        <f>VLOOKUP(E1538,'Tier Params'!$A:$B,2,FALSE)</f>
        <v/>
      </c>
      <c r="G1538" s="0">
        <f>VLOOKUP(E1538,'Tier Params'!$A:$C,3,FALSE)</f>
        <v/>
      </c>
      <c r="H1538" s="0">
        <f>CEILING(D1538/G1538,1)</f>
        <v/>
      </c>
      <c r="I1538" s="0">
        <f>H1538*F1538</f>
        <v/>
      </c>
    </row>
    <row r="1539">
      <c r="A1539" s="0" t="inlineStr">
        <is>
          <t>'Reference sheet'!N1541</t>
        </is>
      </c>
      <c r="B1539" s="0" t="inlineStr">
        <is>
          <t>Structure Market Network</t>
        </is>
      </c>
      <c r="C1539" s="0" t="inlineStr">
        <is>
          <t>Oxidizing Compound</t>
        </is>
      </c>
      <c r="D1539" s="0" t="n">
        <v>8640</v>
      </c>
      <c r="E1539" s="0">
        <f>VLOOKUP(C1539,'Item Tier Lookup'!$A:$B,2,FALSE)</f>
        <v/>
      </c>
      <c r="F1539" s="0">
        <f>VLOOKUP(E1539,'Tier Params'!$A:$B,2,FALSE)</f>
        <v/>
      </c>
      <c r="G1539" s="0">
        <f>VLOOKUP(E1539,'Tier Params'!$A:$C,3,FALSE)</f>
        <v/>
      </c>
      <c r="H1539" s="0">
        <f>CEILING(D1539/G1539,1)</f>
        <v/>
      </c>
      <c r="I1539" s="0">
        <f>H1539*F1539</f>
        <v/>
      </c>
    </row>
    <row r="1540">
      <c r="A1540" s="0" t="inlineStr">
        <is>
          <t>'Reference sheet'!N1542</t>
        </is>
      </c>
      <c r="B1540" s="0" t="inlineStr">
        <is>
          <t>Structure Market Network</t>
        </is>
      </c>
      <c r="C1540" s="0" t="inlineStr">
        <is>
          <t>Reactive Gas</t>
        </is>
      </c>
      <c r="D1540" s="0" t="n">
        <v>1296000</v>
      </c>
      <c r="E1540" s="0">
        <f>VLOOKUP(C1540,'Item Tier Lookup'!$A:$B,2,FALSE)</f>
        <v/>
      </c>
      <c r="F1540" s="0">
        <f>VLOOKUP(E1540,'Tier Params'!$A:$B,2,FALSE)</f>
        <v/>
      </c>
      <c r="G1540" s="0">
        <f>VLOOKUP(E1540,'Tier Params'!$A:$C,3,FALSE)</f>
        <v/>
      </c>
      <c r="H1540" s="0">
        <f>CEILING(D1540/G1540,1)</f>
        <v/>
      </c>
      <c r="I1540" s="0">
        <f>H1540*F1540</f>
        <v/>
      </c>
    </row>
    <row r="1541">
      <c r="A1541" s="0" t="inlineStr">
        <is>
          <t>'Reference sheet'!N1543</t>
        </is>
      </c>
      <c r="B1541" s="0" t="inlineStr">
        <is>
          <t>Structure Market Network</t>
        </is>
      </c>
      <c r="C1541" s="0" t="inlineStr">
        <is>
          <t>Industrial Fibers</t>
        </is>
      </c>
      <c r="D1541" s="0" t="n">
        <v>8640</v>
      </c>
      <c r="E1541" s="0">
        <f>VLOOKUP(C1541,'Item Tier Lookup'!$A:$B,2,FALSE)</f>
        <v/>
      </c>
      <c r="F1541" s="0">
        <f>VLOOKUP(E1541,'Tier Params'!$A:$B,2,FALSE)</f>
        <v/>
      </c>
      <c r="G1541" s="0">
        <f>VLOOKUP(E1541,'Tier Params'!$A:$C,3,FALSE)</f>
        <v/>
      </c>
      <c r="H1541" s="0">
        <f>CEILING(D1541/G1541,1)</f>
        <v/>
      </c>
      <c r="I1541" s="0">
        <f>H1541*F1541</f>
        <v/>
      </c>
    </row>
    <row r="1542">
      <c r="A1542" s="0" t="inlineStr">
        <is>
          <t>'Reference sheet'!N1544</t>
        </is>
      </c>
      <c r="B1542" s="0" t="inlineStr">
        <is>
          <t>Structure Market Network</t>
        </is>
      </c>
      <c r="C1542" s="0" t="inlineStr">
        <is>
          <t>Autotrophs</t>
        </is>
      </c>
      <c r="D1542" s="0" t="n">
        <v>1296000</v>
      </c>
      <c r="E1542" s="0">
        <f>VLOOKUP(C1542,'Item Tier Lookup'!$A:$B,2,FALSE)</f>
        <v/>
      </c>
      <c r="F1542" s="0">
        <f>VLOOKUP(E1542,'Tier Params'!$A:$B,2,FALSE)</f>
        <v/>
      </c>
      <c r="G1542" s="0">
        <f>VLOOKUP(E1542,'Tier Params'!$A:$C,3,FALSE)</f>
        <v/>
      </c>
      <c r="H1542" s="0">
        <f>CEILING(D1542/G1542,1)</f>
        <v/>
      </c>
      <c r="I1542" s="0">
        <f>H1542*F1542</f>
        <v/>
      </c>
    </row>
    <row r="1543">
      <c r="A1543" s="0" t="inlineStr">
        <is>
          <t>'Reference sheet'!N1545</t>
        </is>
      </c>
      <c r="B1543" s="0" t="inlineStr">
        <is>
          <t>Structure Market Network</t>
        </is>
      </c>
      <c r="C1543" s="0" t="inlineStr">
        <is>
          <t>Nano-Factory</t>
        </is>
      </c>
      <c r="D1543" s="0" t="n">
        <v>36</v>
      </c>
      <c r="E1543" s="0">
        <f>VLOOKUP(C1543,'Item Tier Lookup'!$A:$B,2,FALSE)</f>
        <v/>
      </c>
      <c r="F1543" s="0">
        <f>VLOOKUP(E1543,'Tier Params'!$A:$B,2,FALSE)</f>
        <v/>
      </c>
      <c r="G1543" s="0">
        <f>VLOOKUP(E1543,'Tier Params'!$A:$C,3,FALSE)</f>
        <v/>
      </c>
      <c r="H1543" s="0">
        <f>CEILING(D1543/G1543,1)</f>
        <v/>
      </c>
      <c r="I1543" s="0">
        <f>H1543*F1543</f>
        <v/>
      </c>
    </row>
    <row r="1544">
      <c r="A1544" s="0" t="inlineStr">
        <is>
          <t>'Reference sheet'!N1546</t>
        </is>
      </c>
      <c r="B1544" s="0" t="inlineStr">
        <is>
          <t>Structure Market Network</t>
        </is>
      </c>
      <c r="C1544" s="0" t="inlineStr">
        <is>
          <t>Industrial Explosives</t>
        </is>
      </c>
      <c r="D1544" s="0" t="n">
        <v>216</v>
      </c>
      <c r="E1544" s="0">
        <f>VLOOKUP(C1544,'Item Tier Lookup'!$A:$B,2,FALSE)</f>
        <v/>
      </c>
      <c r="F1544" s="0">
        <f>VLOOKUP(E1544,'Tier Params'!$A:$B,2,FALSE)</f>
        <v/>
      </c>
      <c r="G1544" s="0">
        <f>VLOOKUP(E1544,'Tier Params'!$A:$C,3,FALSE)</f>
        <v/>
      </c>
      <c r="H1544" s="0">
        <f>CEILING(D1544/G1544,1)</f>
        <v/>
      </c>
      <c r="I1544" s="0">
        <f>H1544*F1544</f>
        <v/>
      </c>
    </row>
    <row r="1545">
      <c r="A1545" s="0" t="inlineStr">
        <is>
          <t>'Reference sheet'!N1547</t>
        </is>
      </c>
      <c r="B1545" s="0" t="inlineStr">
        <is>
          <t>Structure Market Network</t>
        </is>
      </c>
      <c r="C1545" s="0" t="inlineStr">
        <is>
          <t>Fertilizer</t>
        </is>
      </c>
      <c r="D1545" s="0" t="n">
        <v>720</v>
      </c>
      <c r="E1545" s="0">
        <f>VLOOKUP(C1545,'Item Tier Lookup'!$A:$B,2,FALSE)</f>
        <v/>
      </c>
      <c r="F1545" s="0">
        <f>VLOOKUP(E1545,'Tier Params'!$A:$B,2,FALSE)</f>
        <v/>
      </c>
      <c r="G1545" s="0">
        <f>VLOOKUP(E1545,'Tier Params'!$A:$C,3,FALSE)</f>
        <v/>
      </c>
      <c r="H1545" s="0">
        <f>CEILING(D1545/G1545,1)</f>
        <v/>
      </c>
      <c r="I1545" s="0">
        <f>H1545*F1545</f>
        <v/>
      </c>
    </row>
    <row r="1546">
      <c r="A1546" s="0" t="inlineStr">
        <is>
          <t>'Reference sheet'!N1548</t>
        </is>
      </c>
      <c r="B1546" s="0" t="inlineStr">
        <is>
          <t>Structure Market Network</t>
        </is>
      </c>
      <c r="C1546" s="0" t="inlineStr">
        <is>
          <t>Bacteria</t>
        </is>
      </c>
      <c r="D1546" s="0" t="n">
        <v>5760</v>
      </c>
      <c r="E1546" s="0">
        <f>VLOOKUP(C1546,'Item Tier Lookup'!$A:$B,2,FALSE)</f>
        <v/>
      </c>
      <c r="F1546" s="0">
        <f>VLOOKUP(E1546,'Tier Params'!$A:$B,2,FALSE)</f>
        <v/>
      </c>
      <c r="G1546" s="0">
        <f>VLOOKUP(E1546,'Tier Params'!$A:$C,3,FALSE)</f>
        <v/>
      </c>
      <c r="H1546" s="0">
        <f>CEILING(D1546/G1546,1)</f>
        <v/>
      </c>
      <c r="I1546" s="0">
        <f>H1546*F1546</f>
        <v/>
      </c>
    </row>
    <row r="1547">
      <c r="A1547" s="0" t="inlineStr">
        <is>
          <t>'Reference sheet'!N1549</t>
        </is>
      </c>
      <c r="B1547" s="0" t="inlineStr">
        <is>
          <t>Structure Market Network</t>
        </is>
      </c>
      <c r="C1547" s="0" t="inlineStr">
        <is>
          <t>Microorganisms</t>
        </is>
      </c>
      <c r="D1547" s="0" t="n">
        <v>864000</v>
      </c>
      <c r="E1547" s="0">
        <f>VLOOKUP(C1547,'Item Tier Lookup'!$A:$B,2,FALSE)</f>
        <v/>
      </c>
      <c r="F1547" s="0">
        <f>VLOOKUP(E1547,'Tier Params'!$A:$B,2,FALSE)</f>
        <v/>
      </c>
      <c r="G1547" s="0">
        <f>VLOOKUP(E1547,'Tier Params'!$A:$C,3,FALSE)</f>
        <v/>
      </c>
      <c r="H1547" s="0">
        <f>CEILING(D1547/G1547,1)</f>
        <v/>
      </c>
      <c r="I1547" s="0">
        <f>H1547*F1547</f>
        <v/>
      </c>
    </row>
    <row r="1548">
      <c r="A1548" s="0" t="inlineStr">
        <is>
          <t>'Reference sheet'!N1550</t>
        </is>
      </c>
      <c r="B1548" s="0" t="inlineStr">
        <is>
          <t>Structure Market Network</t>
        </is>
      </c>
      <c r="C1548" s="0" t="inlineStr">
        <is>
          <t>Proteins</t>
        </is>
      </c>
      <c r="D1548" s="0" t="n">
        <v>5760</v>
      </c>
      <c r="E1548" s="0">
        <f>VLOOKUP(C1548,'Item Tier Lookup'!$A:$B,2,FALSE)</f>
        <v/>
      </c>
      <c r="F1548" s="0">
        <f>VLOOKUP(E1548,'Tier Params'!$A:$B,2,FALSE)</f>
        <v/>
      </c>
      <c r="G1548" s="0">
        <f>VLOOKUP(E1548,'Tier Params'!$A:$C,3,FALSE)</f>
        <v/>
      </c>
      <c r="H1548" s="0">
        <f>CEILING(D1548/G1548,1)</f>
        <v/>
      </c>
      <c r="I1548" s="0">
        <f>H1548*F1548</f>
        <v/>
      </c>
    </row>
    <row r="1549">
      <c r="A1549" s="0" t="inlineStr">
        <is>
          <t>'Reference sheet'!N1551</t>
        </is>
      </c>
      <c r="B1549" s="0" t="inlineStr">
        <is>
          <t>Structure Market Network</t>
        </is>
      </c>
      <c r="C1549" s="0" t="inlineStr">
        <is>
          <t>Complex Organisms</t>
        </is>
      </c>
      <c r="D1549" s="0" t="n">
        <v>864000</v>
      </c>
      <c r="E1549" s="0">
        <f>VLOOKUP(C1549,'Item Tier Lookup'!$A:$B,2,FALSE)</f>
        <v/>
      </c>
      <c r="F1549" s="0">
        <f>VLOOKUP(E1549,'Tier Params'!$A:$B,2,FALSE)</f>
        <v/>
      </c>
      <c r="G1549" s="0">
        <f>VLOOKUP(E1549,'Tier Params'!$A:$C,3,FALSE)</f>
        <v/>
      </c>
      <c r="H1549" s="0">
        <f>CEILING(D1549/G1549,1)</f>
        <v/>
      </c>
      <c r="I1549" s="0">
        <f>H1549*F1549</f>
        <v/>
      </c>
    </row>
    <row r="1550">
      <c r="A1550" s="0" t="inlineStr">
        <is>
          <t>'Reference sheet'!N1552</t>
        </is>
      </c>
      <c r="B1550" s="0" t="inlineStr">
        <is>
          <t>Structure Market Network</t>
        </is>
      </c>
      <c r="C1550" s="0" t="inlineStr">
        <is>
          <t>Polytextiles</t>
        </is>
      </c>
      <c r="D1550" s="0" t="n">
        <v>720</v>
      </c>
      <c r="E1550" s="0">
        <f>VLOOKUP(C1550,'Item Tier Lookup'!$A:$B,2,FALSE)</f>
        <v/>
      </c>
      <c r="F1550" s="0">
        <f>VLOOKUP(E1550,'Tier Params'!$A:$B,2,FALSE)</f>
        <v/>
      </c>
      <c r="G1550" s="0">
        <f>VLOOKUP(E1550,'Tier Params'!$A:$C,3,FALSE)</f>
        <v/>
      </c>
      <c r="H1550" s="0">
        <f>CEILING(D1550/G1550,1)</f>
        <v/>
      </c>
      <c r="I1550" s="0">
        <f>H1550*F1550</f>
        <v/>
      </c>
    </row>
    <row r="1551">
      <c r="A1551" s="0" t="inlineStr">
        <is>
          <t>'Reference sheet'!N1553</t>
        </is>
      </c>
      <c r="B1551" s="0" t="inlineStr">
        <is>
          <t>Structure Market Network</t>
        </is>
      </c>
      <c r="C1551" s="0" t="inlineStr">
        <is>
          <t>Biofuels</t>
        </is>
      </c>
      <c r="D1551" s="0" t="n">
        <v>5760</v>
      </c>
      <c r="E1551" s="0">
        <f>VLOOKUP(C1551,'Item Tier Lookup'!$A:$B,2,FALSE)</f>
        <v/>
      </c>
      <c r="F1551" s="0">
        <f>VLOOKUP(E1551,'Tier Params'!$A:$B,2,FALSE)</f>
        <v/>
      </c>
      <c r="G1551" s="0">
        <f>VLOOKUP(E1551,'Tier Params'!$A:$C,3,FALSE)</f>
        <v/>
      </c>
      <c r="H1551" s="0">
        <f>CEILING(D1551/G1551,1)</f>
        <v/>
      </c>
      <c r="I1551" s="0">
        <f>H1551*F1551</f>
        <v/>
      </c>
    </row>
    <row r="1552">
      <c r="A1552" s="0" t="inlineStr">
        <is>
          <t>'Reference sheet'!N1554</t>
        </is>
      </c>
      <c r="B1552" s="0" t="inlineStr">
        <is>
          <t>Structure Market Network</t>
        </is>
      </c>
      <c r="C1552" s="0" t="inlineStr">
        <is>
          <t>Carbon Compounds</t>
        </is>
      </c>
      <c r="D1552" s="0" t="n">
        <v>864000</v>
      </c>
      <c r="E1552" s="0">
        <f>VLOOKUP(C1552,'Item Tier Lookup'!$A:$B,2,FALSE)</f>
        <v/>
      </c>
      <c r="F1552" s="0">
        <f>VLOOKUP(E1552,'Tier Params'!$A:$B,2,FALSE)</f>
        <v/>
      </c>
      <c r="G1552" s="0">
        <f>VLOOKUP(E1552,'Tier Params'!$A:$C,3,FALSE)</f>
        <v/>
      </c>
      <c r="H1552" s="0">
        <f>CEILING(D1552/G1552,1)</f>
        <v/>
      </c>
      <c r="I1552" s="0">
        <f>H1552*F1552</f>
        <v/>
      </c>
    </row>
    <row r="1553">
      <c r="A1553" s="0" t="inlineStr">
        <is>
          <t>'Reference sheet'!N1555</t>
        </is>
      </c>
      <c r="B1553" s="0" t="inlineStr">
        <is>
          <t>Structure Market Network</t>
        </is>
      </c>
      <c r="C1553" s="0" t="inlineStr">
        <is>
          <t>Industrial Fibers</t>
        </is>
      </c>
      <c r="D1553" s="0" t="n">
        <v>5760</v>
      </c>
      <c r="E1553" s="0">
        <f>VLOOKUP(C1553,'Item Tier Lookup'!$A:$B,2,FALSE)</f>
        <v/>
      </c>
      <c r="F1553" s="0">
        <f>VLOOKUP(E1553,'Tier Params'!$A:$B,2,FALSE)</f>
        <v/>
      </c>
      <c r="G1553" s="0">
        <f>VLOOKUP(E1553,'Tier Params'!$A:$C,3,FALSE)</f>
        <v/>
      </c>
      <c r="H1553" s="0">
        <f>CEILING(D1553/G1553,1)</f>
        <v/>
      </c>
      <c r="I1553" s="0">
        <f>H1553*F1553</f>
        <v/>
      </c>
    </row>
    <row r="1554">
      <c r="A1554" s="0" t="inlineStr">
        <is>
          <t>'Reference sheet'!N1556</t>
        </is>
      </c>
      <c r="B1554" s="0" t="inlineStr">
        <is>
          <t>Structure Market Network</t>
        </is>
      </c>
      <c r="C1554" s="0" t="inlineStr">
        <is>
          <t>Autotrophs</t>
        </is>
      </c>
      <c r="D1554" s="0" t="n">
        <v>864000</v>
      </c>
      <c r="E1554" s="0">
        <f>VLOOKUP(C1554,'Item Tier Lookup'!$A:$B,2,FALSE)</f>
        <v/>
      </c>
      <c r="F1554" s="0">
        <f>VLOOKUP(E1554,'Tier Params'!$A:$B,2,FALSE)</f>
        <v/>
      </c>
      <c r="G1554" s="0">
        <f>VLOOKUP(E1554,'Tier Params'!$A:$C,3,FALSE)</f>
        <v/>
      </c>
      <c r="H1554" s="0">
        <f>CEILING(D1554/G1554,1)</f>
        <v/>
      </c>
      <c r="I1554" s="0">
        <f>H1554*F1554</f>
        <v/>
      </c>
    </row>
    <row r="1555">
      <c r="A1555" s="0" t="inlineStr">
        <is>
          <t>'Reference sheet'!N1557</t>
        </is>
      </c>
      <c r="B1555" s="0" t="inlineStr">
        <is>
          <t>Structure Market Network</t>
        </is>
      </c>
      <c r="C1555" s="0" t="inlineStr">
        <is>
          <t>Ukomi Superconductors</t>
        </is>
      </c>
      <c r="D1555" s="0" t="n">
        <v>216</v>
      </c>
      <c r="E1555" s="0">
        <f>VLOOKUP(C1555,'Item Tier Lookup'!$A:$B,2,FALSE)</f>
        <v/>
      </c>
      <c r="F1555" s="0">
        <f>VLOOKUP(E1555,'Tier Params'!$A:$B,2,FALSE)</f>
        <v/>
      </c>
      <c r="G1555" s="0">
        <f>VLOOKUP(E1555,'Tier Params'!$A:$C,3,FALSE)</f>
        <v/>
      </c>
      <c r="H1555" s="0">
        <f>CEILING(D1555/G1555,1)</f>
        <v/>
      </c>
      <c r="I1555" s="0">
        <f>H1555*F1555</f>
        <v/>
      </c>
    </row>
    <row r="1556">
      <c r="A1556" s="0" t="inlineStr">
        <is>
          <t>'Reference sheet'!N1558</t>
        </is>
      </c>
      <c r="B1556" s="0" t="inlineStr">
        <is>
          <t>Structure Market Network</t>
        </is>
      </c>
      <c r="C1556" s="0" t="inlineStr">
        <is>
          <t>Synthetic Oil</t>
        </is>
      </c>
      <c r="D1556" s="0" t="n">
        <v>720</v>
      </c>
      <c r="E1556" s="0">
        <f>VLOOKUP(C1556,'Item Tier Lookup'!$A:$B,2,FALSE)</f>
        <v/>
      </c>
      <c r="F1556" s="0">
        <f>VLOOKUP(E1556,'Tier Params'!$A:$B,2,FALSE)</f>
        <v/>
      </c>
      <c r="G1556" s="0">
        <f>VLOOKUP(E1556,'Tier Params'!$A:$C,3,FALSE)</f>
        <v/>
      </c>
      <c r="H1556" s="0">
        <f>CEILING(D1556/G1556,1)</f>
        <v/>
      </c>
      <c r="I1556" s="0">
        <f>H1556*F1556</f>
        <v/>
      </c>
    </row>
    <row r="1557">
      <c r="A1557" s="0" t="inlineStr">
        <is>
          <t>'Reference sheet'!N1559</t>
        </is>
      </c>
      <c r="B1557" s="0" t="inlineStr">
        <is>
          <t>Structure Market Network</t>
        </is>
      </c>
      <c r="C1557" s="0" t="inlineStr">
        <is>
          <t>Oxygen</t>
        </is>
      </c>
      <c r="D1557" s="0" t="n">
        <v>5760</v>
      </c>
      <c r="E1557" s="0">
        <f>VLOOKUP(C1557,'Item Tier Lookup'!$A:$B,2,FALSE)</f>
        <v/>
      </c>
      <c r="F1557" s="0">
        <f>VLOOKUP(E1557,'Tier Params'!$A:$B,2,FALSE)</f>
        <v/>
      </c>
      <c r="G1557" s="0">
        <f>VLOOKUP(E1557,'Tier Params'!$A:$C,3,FALSE)</f>
        <v/>
      </c>
      <c r="H1557" s="0">
        <f>CEILING(D1557/G1557,1)</f>
        <v/>
      </c>
      <c r="I1557" s="0">
        <f>H1557*F1557</f>
        <v/>
      </c>
    </row>
    <row r="1558">
      <c r="A1558" s="0" t="inlineStr">
        <is>
          <t>'Reference sheet'!N1560</t>
        </is>
      </c>
      <c r="B1558" s="0" t="inlineStr">
        <is>
          <t>Structure Market Network</t>
        </is>
      </c>
      <c r="C1558" s="0" t="inlineStr">
        <is>
          <t>Noble Gas</t>
        </is>
      </c>
      <c r="D1558" s="0" t="n">
        <v>864000</v>
      </c>
      <c r="E1558" s="0">
        <f>VLOOKUP(C1558,'Item Tier Lookup'!$A:$B,2,FALSE)</f>
        <v/>
      </c>
      <c r="F1558" s="0">
        <f>VLOOKUP(E1558,'Tier Params'!$A:$B,2,FALSE)</f>
        <v/>
      </c>
      <c r="G1558" s="0">
        <f>VLOOKUP(E1558,'Tier Params'!$A:$C,3,FALSE)</f>
        <v/>
      </c>
      <c r="H1558" s="0">
        <f>CEILING(D1558/G1558,1)</f>
        <v/>
      </c>
      <c r="I1558" s="0">
        <f>H1558*F1558</f>
        <v/>
      </c>
    </row>
    <row r="1559">
      <c r="A1559" s="0" t="inlineStr">
        <is>
          <t>'Reference sheet'!N1561</t>
        </is>
      </c>
      <c r="B1559" s="0" t="inlineStr">
        <is>
          <t>Structure Market Network</t>
        </is>
      </c>
      <c r="C1559" s="0" t="inlineStr">
        <is>
          <t>Electrolytes</t>
        </is>
      </c>
      <c r="D1559" s="0" t="n">
        <v>5760</v>
      </c>
      <c r="E1559" s="0">
        <f>VLOOKUP(C1559,'Item Tier Lookup'!$A:$B,2,FALSE)</f>
        <v/>
      </c>
      <c r="F1559" s="0">
        <f>VLOOKUP(E1559,'Tier Params'!$A:$B,2,FALSE)</f>
        <v/>
      </c>
      <c r="G1559" s="0">
        <f>VLOOKUP(E1559,'Tier Params'!$A:$C,3,FALSE)</f>
        <v/>
      </c>
      <c r="H1559" s="0">
        <f>CEILING(D1559/G1559,1)</f>
        <v/>
      </c>
      <c r="I1559" s="0">
        <f>H1559*F1559</f>
        <v/>
      </c>
    </row>
    <row r="1560">
      <c r="A1560" s="0" t="inlineStr">
        <is>
          <t>'Reference sheet'!N1562</t>
        </is>
      </c>
      <c r="B1560" s="0" t="inlineStr">
        <is>
          <t>Structure Market Network</t>
        </is>
      </c>
      <c r="C1560" s="0" t="inlineStr">
        <is>
          <t>Ionic Solutions</t>
        </is>
      </c>
      <c r="D1560" s="0" t="n">
        <v>864000</v>
      </c>
      <c r="E1560" s="0">
        <f>VLOOKUP(C1560,'Item Tier Lookup'!$A:$B,2,FALSE)</f>
        <v/>
      </c>
      <c r="F1560" s="0">
        <f>VLOOKUP(E1560,'Tier Params'!$A:$B,2,FALSE)</f>
        <v/>
      </c>
      <c r="G1560" s="0">
        <f>VLOOKUP(E1560,'Tier Params'!$A:$C,3,FALSE)</f>
        <v/>
      </c>
      <c r="H1560" s="0">
        <f>CEILING(D1560/G1560,1)</f>
        <v/>
      </c>
      <c r="I1560" s="0">
        <f>H1560*F1560</f>
        <v/>
      </c>
    </row>
    <row r="1561">
      <c r="A1561" s="0" t="inlineStr">
        <is>
          <t>'Reference sheet'!N1563</t>
        </is>
      </c>
      <c r="B1561" s="0" t="inlineStr">
        <is>
          <t>Structure Market Network</t>
        </is>
      </c>
      <c r="C1561" s="0" t="inlineStr">
        <is>
          <t>Superconductors</t>
        </is>
      </c>
      <c r="D1561" s="0" t="n">
        <v>720</v>
      </c>
      <c r="E1561" s="0">
        <f>VLOOKUP(C1561,'Item Tier Lookup'!$A:$B,2,FALSE)</f>
        <v/>
      </c>
      <c r="F1561" s="0">
        <f>VLOOKUP(E1561,'Tier Params'!$A:$B,2,FALSE)</f>
        <v/>
      </c>
      <c r="G1561" s="0">
        <f>VLOOKUP(E1561,'Tier Params'!$A:$C,3,FALSE)</f>
        <v/>
      </c>
      <c r="H1561" s="0">
        <f>CEILING(D1561/G1561,1)</f>
        <v/>
      </c>
      <c r="I1561" s="0">
        <f>H1561*F1561</f>
        <v/>
      </c>
    </row>
    <row r="1562">
      <c r="A1562" s="0" t="inlineStr">
        <is>
          <t>'Reference sheet'!N1564</t>
        </is>
      </c>
      <c r="B1562" s="0" t="inlineStr">
        <is>
          <t>Structure Market Network</t>
        </is>
      </c>
      <c r="C1562" s="0" t="inlineStr">
        <is>
          <t>Plasmoids</t>
        </is>
      </c>
      <c r="D1562" s="0" t="n">
        <v>5760</v>
      </c>
      <c r="E1562" s="0">
        <f>VLOOKUP(C1562,'Item Tier Lookup'!$A:$B,2,FALSE)</f>
        <v/>
      </c>
      <c r="F1562" s="0">
        <f>VLOOKUP(E1562,'Tier Params'!$A:$B,2,FALSE)</f>
        <v/>
      </c>
      <c r="G1562" s="0">
        <f>VLOOKUP(E1562,'Tier Params'!$A:$C,3,FALSE)</f>
        <v/>
      </c>
      <c r="H1562" s="0">
        <f>CEILING(D1562/G1562,1)</f>
        <v/>
      </c>
      <c r="I1562" s="0">
        <f>H1562*F1562</f>
        <v/>
      </c>
    </row>
    <row r="1563">
      <c r="A1563" s="0" t="inlineStr">
        <is>
          <t>'Reference sheet'!N1565</t>
        </is>
      </c>
      <c r="B1563" s="0" t="inlineStr">
        <is>
          <t>Structure Market Network</t>
        </is>
      </c>
      <c r="C1563" s="0" t="inlineStr">
        <is>
          <t>Suspended Plasma</t>
        </is>
      </c>
      <c r="D1563" s="0" t="n">
        <v>864000</v>
      </c>
      <c r="E1563" s="0">
        <f>VLOOKUP(C1563,'Item Tier Lookup'!$A:$B,2,FALSE)</f>
        <v/>
      </c>
      <c r="F1563" s="0">
        <f>VLOOKUP(E1563,'Tier Params'!$A:$B,2,FALSE)</f>
        <v/>
      </c>
      <c r="G1563" s="0">
        <f>VLOOKUP(E1563,'Tier Params'!$A:$C,3,FALSE)</f>
        <v/>
      </c>
      <c r="H1563" s="0">
        <f>CEILING(D1563/G1563,1)</f>
        <v/>
      </c>
      <c r="I1563" s="0">
        <f>H1563*F1563</f>
        <v/>
      </c>
    </row>
    <row r="1564">
      <c r="A1564" s="0" t="inlineStr">
        <is>
          <t>'Reference sheet'!N1566</t>
        </is>
      </c>
      <c r="B1564" s="0" t="inlineStr">
        <is>
          <t>Structure Market Network</t>
        </is>
      </c>
      <c r="C1564" s="0" t="inlineStr">
        <is>
          <t>Water</t>
        </is>
      </c>
      <c r="D1564" s="0" t="n">
        <v>5760</v>
      </c>
      <c r="E1564" s="0">
        <f>VLOOKUP(C1564,'Item Tier Lookup'!$A:$B,2,FALSE)</f>
        <v/>
      </c>
      <c r="F1564" s="0">
        <f>VLOOKUP(E1564,'Tier Params'!$A:$B,2,FALSE)</f>
        <v/>
      </c>
      <c r="G1564" s="0">
        <f>VLOOKUP(E1564,'Tier Params'!$A:$C,3,FALSE)</f>
        <v/>
      </c>
      <c r="H1564" s="0">
        <f>CEILING(D1564/G1564,1)</f>
        <v/>
      </c>
      <c r="I1564" s="0">
        <f>H1564*F1564</f>
        <v/>
      </c>
    </row>
    <row r="1565">
      <c r="A1565" s="0" t="inlineStr">
        <is>
          <t>'Reference sheet'!N1567</t>
        </is>
      </c>
      <c r="B1565" s="0" t="inlineStr">
        <is>
          <t>Structure Market Network</t>
        </is>
      </c>
      <c r="C1565" s="0" t="inlineStr">
        <is>
          <t>Aqueous Liquids</t>
        </is>
      </c>
      <c r="D1565" s="0" t="n">
        <v>864000</v>
      </c>
      <c r="E1565" s="0">
        <f>VLOOKUP(C1565,'Item Tier Lookup'!$A:$B,2,FALSE)</f>
        <v/>
      </c>
      <c r="F1565" s="0">
        <f>VLOOKUP(E1565,'Tier Params'!$A:$B,2,FALSE)</f>
        <v/>
      </c>
      <c r="G1565" s="0">
        <f>VLOOKUP(E1565,'Tier Params'!$A:$C,3,FALSE)</f>
        <v/>
      </c>
      <c r="H1565" s="0">
        <f>CEILING(D1565/G1565,1)</f>
        <v/>
      </c>
      <c r="I1565" s="0">
        <f>H1565*F1565</f>
        <v/>
      </c>
    </row>
    <row r="1566">
      <c r="A1566" s="0" t="inlineStr">
        <is>
          <t>'Reference sheet'!N1568</t>
        </is>
      </c>
      <c r="B1566" s="0" t="inlineStr">
        <is>
          <t>Structure Market Network</t>
        </is>
      </c>
      <c r="C1566" s="0" t="inlineStr">
        <is>
          <t>Reactive Metals</t>
        </is>
      </c>
      <c r="D1566" s="0" t="n">
        <v>1440</v>
      </c>
      <c r="E1566" s="0">
        <f>VLOOKUP(C1566,'Item Tier Lookup'!$A:$B,2,FALSE)</f>
        <v/>
      </c>
      <c r="F1566" s="0">
        <f>VLOOKUP(E1566,'Tier Params'!$A:$B,2,FALSE)</f>
        <v/>
      </c>
      <c r="G1566" s="0">
        <f>VLOOKUP(E1566,'Tier Params'!$A:$C,3,FALSE)</f>
        <v/>
      </c>
      <c r="H1566" s="0">
        <f>CEILING(D1566/G1566,1)</f>
        <v/>
      </c>
      <c r="I1566" s="0">
        <f>H1566*F1566</f>
        <v/>
      </c>
    </row>
    <row r="1567">
      <c r="A1567" s="0" t="inlineStr">
        <is>
          <t>'Reference sheet'!N1569</t>
        </is>
      </c>
      <c r="B1567" s="0" t="inlineStr">
        <is>
          <t>Structure Market Network</t>
        </is>
      </c>
      <c r="C1567" s="0" t="inlineStr">
        <is>
          <t>Base Metals</t>
        </is>
      </c>
      <c r="D1567" s="0" t="n">
        <v>216000</v>
      </c>
      <c r="E1567" s="0">
        <f>VLOOKUP(C1567,'Item Tier Lookup'!$A:$B,2,FALSE)</f>
        <v/>
      </c>
      <c r="F1567" s="0">
        <f>VLOOKUP(E1567,'Tier Params'!$A:$B,2,FALSE)</f>
        <v/>
      </c>
      <c r="G1567" s="0">
        <f>VLOOKUP(E1567,'Tier Params'!$A:$C,3,FALSE)</f>
        <v/>
      </c>
      <c r="H1567" s="0">
        <f>CEILING(D1567/G1567,1)</f>
        <v/>
      </c>
      <c r="I1567" s="0">
        <f>H1567*F1567</f>
        <v/>
      </c>
    </row>
    <row r="1568">
      <c r="A1568" s="0" t="inlineStr">
        <is>
          <t>'Reference sheet'!N1570</t>
        </is>
      </c>
      <c r="B1568" s="0" t="inlineStr">
        <is>
          <t>Structure Market Network</t>
        </is>
      </c>
      <c r="C1568" s="0" t="inlineStr">
        <is>
          <t>Organic Mortar Applicators</t>
        </is>
      </c>
      <c r="D1568" s="0" t="n">
        <v>36</v>
      </c>
      <c r="E1568" s="0">
        <f>VLOOKUP(C1568,'Item Tier Lookup'!$A:$B,2,FALSE)</f>
        <v/>
      </c>
      <c r="F1568" s="0">
        <f>VLOOKUP(E1568,'Tier Params'!$A:$B,2,FALSE)</f>
        <v/>
      </c>
      <c r="G1568" s="0">
        <f>VLOOKUP(E1568,'Tier Params'!$A:$C,3,FALSE)</f>
        <v/>
      </c>
      <c r="H1568" s="0">
        <f>CEILING(D1568/G1568,1)</f>
        <v/>
      </c>
      <c r="I1568" s="0">
        <f>H1568*F1568</f>
        <v/>
      </c>
    </row>
    <row r="1569">
      <c r="A1569" s="0" t="inlineStr">
        <is>
          <t>'Reference sheet'!N1571</t>
        </is>
      </c>
      <c r="B1569" s="0" t="inlineStr">
        <is>
          <t>Structure Market Network</t>
        </is>
      </c>
      <c r="C1569" s="0" t="inlineStr">
        <is>
          <t>Condensates</t>
        </is>
      </c>
      <c r="D1569" s="0" t="n">
        <v>216</v>
      </c>
      <c r="E1569" s="0">
        <f>VLOOKUP(C1569,'Item Tier Lookup'!$A:$B,2,FALSE)</f>
        <v/>
      </c>
      <c r="F1569" s="0">
        <f>VLOOKUP(E1569,'Tier Params'!$A:$B,2,FALSE)</f>
        <v/>
      </c>
      <c r="G1569" s="0">
        <f>VLOOKUP(E1569,'Tier Params'!$A:$C,3,FALSE)</f>
        <v/>
      </c>
      <c r="H1569" s="0">
        <f>CEILING(D1569/G1569,1)</f>
        <v/>
      </c>
      <c r="I1569" s="0">
        <f>H1569*F1569</f>
        <v/>
      </c>
    </row>
    <row r="1570">
      <c r="A1570" s="0" t="inlineStr">
        <is>
          <t>'Reference sheet'!N1572</t>
        </is>
      </c>
      <c r="B1570" s="0" t="inlineStr">
        <is>
          <t>Structure Market Network</t>
        </is>
      </c>
      <c r="C1570" s="0" t="inlineStr">
        <is>
          <t>Coolant</t>
        </is>
      </c>
      <c r="D1570" s="0" t="n">
        <v>720</v>
      </c>
      <c r="E1570" s="0">
        <f>VLOOKUP(C1570,'Item Tier Lookup'!$A:$B,2,FALSE)</f>
        <v/>
      </c>
      <c r="F1570" s="0">
        <f>VLOOKUP(E1570,'Tier Params'!$A:$B,2,FALSE)</f>
        <v/>
      </c>
      <c r="G1570" s="0">
        <f>VLOOKUP(E1570,'Tier Params'!$A:$C,3,FALSE)</f>
        <v/>
      </c>
      <c r="H1570" s="0">
        <f>CEILING(D1570/G1570,1)</f>
        <v/>
      </c>
      <c r="I1570" s="0">
        <f>H1570*F1570</f>
        <v/>
      </c>
    </row>
    <row r="1571">
      <c r="A1571" s="0" t="inlineStr">
        <is>
          <t>'Reference sheet'!N1573</t>
        </is>
      </c>
      <c r="B1571" s="0" t="inlineStr">
        <is>
          <t>Structure Market Network</t>
        </is>
      </c>
      <c r="C1571" s="0" t="inlineStr">
        <is>
          <t>Water</t>
        </is>
      </c>
      <c r="D1571" s="0" t="n">
        <v>5760</v>
      </c>
      <c r="E1571" s="0">
        <f>VLOOKUP(C1571,'Item Tier Lookup'!$A:$B,2,FALSE)</f>
        <v/>
      </c>
      <c r="F1571" s="0">
        <f>VLOOKUP(E1571,'Tier Params'!$A:$B,2,FALSE)</f>
        <v/>
      </c>
      <c r="G1571" s="0">
        <f>VLOOKUP(E1571,'Tier Params'!$A:$C,3,FALSE)</f>
        <v/>
      </c>
      <c r="H1571" s="0">
        <f>CEILING(D1571/G1571,1)</f>
        <v/>
      </c>
      <c r="I1571" s="0">
        <f>H1571*F1571</f>
        <v/>
      </c>
    </row>
    <row r="1572">
      <c r="A1572" s="0" t="inlineStr">
        <is>
          <t>'Reference sheet'!N1574</t>
        </is>
      </c>
      <c r="B1572" s="0" t="inlineStr">
        <is>
          <t>Structure Market Network</t>
        </is>
      </c>
      <c r="C1572" s="0" t="inlineStr">
        <is>
          <t>Aqueous Liquids</t>
        </is>
      </c>
      <c r="D1572" s="0" t="n">
        <v>864000</v>
      </c>
      <c r="E1572" s="0">
        <f>VLOOKUP(C1572,'Item Tier Lookup'!$A:$B,2,FALSE)</f>
        <v/>
      </c>
      <c r="F1572" s="0">
        <f>VLOOKUP(E1572,'Tier Params'!$A:$B,2,FALSE)</f>
        <v/>
      </c>
      <c r="G1572" s="0">
        <f>VLOOKUP(E1572,'Tier Params'!$A:$C,3,FALSE)</f>
        <v/>
      </c>
      <c r="H1572" s="0">
        <f>CEILING(D1572/G1572,1)</f>
        <v/>
      </c>
      <c r="I1572" s="0">
        <f>H1572*F1572</f>
        <v/>
      </c>
    </row>
    <row r="1573">
      <c r="A1573" s="0" t="inlineStr">
        <is>
          <t>'Reference sheet'!N1575</t>
        </is>
      </c>
      <c r="B1573" s="0" t="inlineStr">
        <is>
          <t>Structure Market Network</t>
        </is>
      </c>
      <c r="C1573" s="0" t="inlineStr">
        <is>
          <t>Electrolytes</t>
        </is>
      </c>
      <c r="D1573" s="0" t="n">
        <v>5760</v>
      </c>
      <c r="E1573" s="0">
        <f>VLOOKUP(C1573,'Item Tier Lookup'!$A:$B,2,FALSE)</f>
        <v/>
      </c>
      <c r="F1573" s="0">
        <f>VLOOKUP(E1573,'Tier Params'!$A:$B,2,FALSE)</f>
        <v/>
      </c>
      <c r="G1573" s="0">
        <f>VLOOKUP(E1573,'Tier Params'!$A:$C,3,FALSE)</f>
        <v/>
      </c>
      <c r="H1573" s="0">
        <f>CEILING(D1573/G1573,1)</f>
        <v/>
      </c>
      <c r="I1573" s="0">
        <f>H1573*F1573</f>
        <v/>
      </c>
    </row>
    <row r="1574">
      <c r="A1574" s="0" t="inlineStr">
        <is>
          <t>'Reference sheet'!N1576</t>
        </is>
      </c>
      <c r="B1574" s="0" t="inlineStr">
        <is>
          <t>Structure Market Network</t>
        </is>
      </c>
      <c r="C1574" s="0" t="inlineStr">
        <is>
          <t>Ionic Solutions</t>
        </is>
      </c>
      <c r="D1574" s="0" t="n">
        <v>864000</v>
      </c>
      <c r="E1574" s="0">
        <f>VLOOKUP(C1574,'Item Tier Lookup'!$A:$B,2,FALSE)</f>
        <v/>
      </c>
      <c r="F1574" s="0">
        <f>VLOOKUP(E1574,'Tier Params'!$A:$B,2,FALSE)</f>
        <v/>
      </c>
      <c r="G1574" s="0">
        <f>VLOOKUP(E1574,'Tier Params'!$A:$C,3,FALSE)</f>
        <v/>
      </c>
      <c r="H1574" s="0">
        <f>CEILING(D1574/G1574,1)</f>
        <v/>
      </c>
      <c r="I1574" s="0">
        <f>H1574*F1574</f>
        <v/>
      </c>
    </row>
    <row r="1575">
      <c r="A1575" s="0" t="inlineStr">
        <is>
          <t>'Reference sheet'!N1577</t>
        </is>
      </c>
      <c r="B1575" s="0" t="inlineStr">
        <is>
          <t>Structure Market Network</t>
        </is>
      </c>
      <c r="C1575" s="0" t="inlineStr">
        <is>
          <t>Oxides</t>
        </is>
      </c>
      <c r="D1575" s="0" t="n">
        <v>720</v>
      </c>
      <c r="E1575" s="0">
        <f>VLOOKUP(C1575,'Item Tier Lookup'!$A:$B,2,FALSE)</f>
        <v/>
      </c>
      <c r="F1575" s="0">
        <f>VLOOKUP(E1575,'Tier Params'!$A:$B,2,FALSE)</f>
        <v/>
      </c>
      <c r="G1575" s="0">
        <f>VLOOKUP(E1575,'Tier Params'!$A:$C,3,FALSE)</f>
        <v/>
      </c>
      <c r="H1575" s="0">
        <f>CEILING(D1575/G1575,1)</f>
        <v/>
      </c>
      <c r="I1575" s="0">
        <f>H1575*F1575</f>
        <v/>
      </c>
    </row>
    <row r="1576">
      <c r="A1576" s="0" t="inlineStr">
        <is>
          <t>'Reference sheet'!N1578</t>
        </is>
      </c>
      <c r="B1576" s="0" t="inlineStr">
        <is>
          <t>Structure Market Network</t>
        </is>
      </c>
      <c r="C1576" s="0" t="inlineStr">
        <is>
          <t>Oxidizing Compound</t>
        </is>
      </c>
      <c r="D1576" s="0" t="n">
        <v>5760</v>
      </c>
      <c r="E1576" s="0">
        <f>VLOOKUP(C1576,'Item Tier Lookup'!$A:$B,2,FALSE)</f>
        <v/>
      </c>
      <c r="F1576" s="0">
        <f>VLOOKUP(E1576,'Tier Params'!$A:$B,2,FALSE)</f>
        <v/>
      </c>
      <c r="G1576" s="0">
        <f>VLOOKUP(E1576,'Tier Params'!$A:$C,3,FALSE)</f>
        <v/>
      </c>
      <c r="H1576" s="0">
        <f>CEILING(D1576/G1576,1)</f>
        <v/>
      </c>
      <c r="I1576" s="0">
        <f>H1576*F1576</f>
        <v/>
      </c>
    </row>
    <row r="1577">
      <c r="A1577" s="0" t="inlineStr">
        <is>
          <t>'Reference sheet'!N1579</t>
        </is>
      </c>
      <c r="B1577" s="0" t="inlineStr">
        <is>
          <t>Structure Market Network</t>
        </is>
      </c>
      <c r="C1577" s="0" t="inlineStr">
        <is>
          <t>Reactive Gas</t>
        </is>
      </c>
      <c r="D1577" s="0" t="n">
        <v>864000</v>
      </c>
      <c r="E1577" s="0">
        <f>VLOOKUP(C1577,'Item Tier Lookup'!$A:$B,2,FALSE)</f>
        <v/>
      </c>
      <c r="F1577" s="0">
        <f>VLOOKUP(E1577,'Tier Params'!$A:$B,2,FALSE)</f>
        <v/>
      </c>
      <c r="G1577" s="0">
        <f>VLOOKUP(E1577,'Tier Params'!$A:$C,3,FALSE)</f>
        <v/>
      </c>
      <c r="H1577" s="0">
        <f>CEILING(D1577/G1577,1)</f>
        <v/>
      </c>
      <c r="I1577" s="0">
        <f>H1577*F1577</f>
        <v/>
      </c>
    </row>
    <row r="1578">
      <c r="A1578" s="0" t="inlineStr">
        <is>
          <t>'Reference sheet'!N1580</t>
        </is>
      </c>
      <c r="B1578" s="0" t="inlineStr">
        <is>
          <t>Structure Market Network</t>
        </is>
      </c>
      <c r="C1578" s="0" t="inlineStr">
        <is>
          <t>Oxygen</t>
        </is>
      </c>
      <c r="D1578" s="0" t="n">
        <v>5760</v>
      </c>
      <c r="E1578" s="0">
        <f>VLOOKUP(C1578,'Item Tier Lookup'!$A:$B,2,FALSE)</f>
        <v/>
      </c>
      <c r="F1578" s="0">
        <f>VLOOKUP(E1578,'Tier Params'!$A:$B,2,FALSE)</f>
        <v/>
      </c>
      <c r="G1578" s="0">
        <f>VLOOKUP(E1578,'Tier Params'!$A:$C,3,FALSE)</f>
        <v/>
      </c>
      <c r="H1578" s="0">
        <f>CEILING(D1578/G1578,1)</f>
        <v/>
      </c>
      <c r="I1578" s="0">
        <f>H1578*F1578</f>
        <v/>
      </c>
    </row>
    <row r="1579">
      <c r="A1579" s="0" t="inlineStr">
        <is>
          <t>'Reference sheet'!N1581</t>
        </is>
      </c>
      <c r="B1579" s="0" t="inlineStr">
        <is>
          <t>Structure Market Network</t>
        </is>
      </c>
      <c r="C1579" s="0" t="inlineStr">
        <is>
          <t>Noble Gas</t>
        </is>
      </c>
      <c r="D1579" s="0" t="n">
        <v>864000</v>
      </c>
      <c r="E1579" s="0">
        <f>VLOOKUP(C1579,'Item Tier Lookup'!$A:$B,2,FALSE)</f>
        <v/>
      </c>
      <c r="F1579" s="0">
        <f>VLOOKUP(E1579,'Tier Params'!$A:$B,2,FALSE)</f>
        <v/>
      </c>
      <c r="G1579" s="0">
        <f>VLOOKUP(E1579,'Tier Params'!$A:$C,3,FALSE)</f>
        <v/>
      </c>
      <c r="H1579" s="0">
        <f>CEILING(D1579/G1579,1)</f>
        <v/>
      </c>
      <c r="I1579" s="0">
        <f>H1579*F1579</f>
        <v/>
      </c>
    </row>
    <row r="1580">
      <c r="A1580" s="0" t="inlineStr">
        <is>
          <t>'Reference sheet'!N1582</t>
        </is>
      </c>
      <c r="B1580" s="0" t="inlineStr">
        <is>
          <t>Structure Market Network</t>
        </is>
      </c>
      <c r="C1580" s="0" t="inlineStr">
        <is>
          <t>Bacteria</t>
        </is>
      </c>
      <c r="D1580" s="0" t="n">
        <v>1440</v>
      </c>
      <c r="E1580" s="0">
        <f>VLOOKUP(C1580,'Item Tier Lookup'!$A:$B,2,FALSE)</f>
        <v/>
      </c>
      <c r="F1580" s="0">
        <f>VLOOKUP(E1580,'Tier Params'!$A:$B,2,FALSE)</f>
        <v/>
      </c>
      <c r="G1580" s="0">
        <f>VLOOKUP(E1580,'Tier Params'!$A:$C,3,FALSE)</f>
        <v/>
      </c>
      <c r="H1580" s="0">
        <f>CEILING(D1580/G1580,1)</f>
        <v/>
      </c>
      <c r="I1580" s="0">
        <f>H1580*F1580</f>
        <v/>
      </c>
    </row>
    <row r="1581">
      <c r="A1581" s="0" t="inlineStr">
        <is>
          <t>'Reference sheet'!N1583</t>
        </is>
      </c>
      <c r="B1581" s="0" t="inlineStr">
        <is>
          <t>Structure Market Network</t>
        </is>
      </c>
      <c r="C1581" s="0" t="inlineStr">
        <is>
          <t>Microorganisms</t>
        </is>
      </c>
      <c r="D1581" s="0" t="n">
        <v>216000</v>
      </c>
      <c r="E1581" s="0">
        <f>VLOOKUP(C1581,'Item Tier Lookup'!$A:$B,2,FALSE)</f>
        <v/>
      </c>
      <c r="F1581" s="0">
        <f>VLOOKUP(E1581,'Tier Params'!$A:$B,2,FALSE)</f>
        <v/>
      </c>
      <c r="G1581" s="0">
        <f>VLOOKUP(E1581,'Tier Params'!$A:$C,3,FALSE)</f>
        <v/>
      </c>
      <c r="H1581" s="0">
        <f>CEILING(D1581/G1581,1)</f>
        <v/>
      </c>
      <c r="I1581" s="0">
        <f>H1581*F1581</f>
        <v/>
      </c>
    </row>
    <row r="1582">
      <c r="A1582" s="0" t="inlineStr">
        <is>
          <t>'Reference sheet'!N1584</t>
        </is>
      </c>
      <c r="B1582" s="0" t="inlineStr">
        <is>
          <t>Structure Market Network</t>
        </is>
      </c>
      <c r="C1582" s="0" t="inlineStr">
        <is>
          <t>Robotics</t>
        </is>
      </c>
      <c r="D1582" s="0" t="n">
        <v>216</v>
      </c>
      <c r="E1582" s="0">
        <f>VLOOKUP(C1582,'Item Tier Lookup'!$A:$B,2,FALSE)</f>
        <v/>
      </c>
      <c r="F1582" s="0">
        <f>VLOOKUP(E1582,'Tier Params'!$A:$B,2,FALSE)</f>
        <v/>
      </c>
      <c r="G1582" s="0">
        <f>VLOOKUP(E1582,'Tier Params'!$A:$C,3,FALSE)</f>
        <v/>
      </c>
      <c r="H1582" s="0">
        <f>CEILING(D1582/G1582,1)</f>
        <v/>
      </c>
      <c r="I1582" s="0">
        <f>H1582*F1582</f>
        <v/>
      </c>
    </row>
    <row r="1583">
      <c r="A1583" s="0" t="inlineStr">
        <is>
          <t>'Reference sheet'!N1585</t>
        </is>
      </c>
      <c r="B1583" s="0" t="inlineStr">
        <is>
          <t>Structure Market Network</t>
        </is>
      </c>
      <c r="C1583" s="0" t="inlineStr">
        <is>
          <t>Mechanical Parts</t>
        </is>
      </c>
      <c r="D1583" s="0" t="n">
        <v>720</v>
      </c>
      <c r="E1583" s="0">
        <f>VLOOKUP(C1583,'Item Tier Lookup'!$A:$B,2,FALSE)</f>
        <v/>
      </c>
      <c r="F1583" s="0">
        <f>VLOOKUP(E1583,'Tier Params'!$A:$B,2,FALSE)</f>
        <v/>
      </c>
      <c r="G1583" s="0">
        <f>VLOOKUP(E1583,'Tier Params'!$A:$C,3,FALSE)</f>
        <v/>
      </c>
      <c r="H1583" s="0">
        <f>CEILING(D1583/G1583,1)</f>
        <v/>
      </c>
      <c r="I1583" s="0">
        <f>H1583*F1583</f>
        <v/>
      </c>
    </row>
    <row r="1584">
      <c r="A1584" s="0" t="inlineStr">
        <is>
          <t>'Reference sheet'!N1586</t>
        </is>
      </c>
      <c r="B1584" s="0" t="inlineStr">
        <is>
          <t>Structure Market Network</t>
        </is>
      </c>
      <c r="C1584" s="0" t="inlineStr">
        <is>
          <t>Reactive Metals</t>
        </is>
      </c>
      <c r="D1584" s="0" t="n">
        <v>5760</v>
      </c>
      <c r="E1584" s="0">
        <f>VLOOKUP(C1584,'Item Tier Lookup'!$A:$B,2,FALSE)</f>
        <v/>
      </c>
      <c r="F1584" s="0">
        <f>VLOOKUP(E1584,'Tier Params'!$A:$B,2,FALSE)</f>
        <v/>
      </c>
      <c r="G1584" s="0">
        <f>VLOOKUP(E1584,'Tier Params'!$A:$C,3,FALSE)</f>
        <v/>
      </c>
      <c r="H1584" s="0">
        <f>CEILING(D1584/G1584,1)</f>
        <v/>
      </c>
      <c r="I1584" s="0">
        <f>H1584*F1584</f>
        <v/>
      </c>
    </row>
    <row r="1585">
      <c r="A1585" s="0" t="inlineStr">
        <is>
          <t>'Reference sheet'!N1587</t>
        </is>
      </c>
      <c r="B1585" s="0" t="inlineStr">
        <is>
          <t>Structure Market Network</t>
        </is>
      </c>
      <c r="C1585" s="0" t="inlineStr">
        <is>
          <t>Base Metals</t>
        </is>
      </c>
      <c r="D1585" s="0" t="n">
        <v>864000</v>
      </c>
      <c r="E1585" s="0">
        <f>VLOOKUP(C1585,'Item Tier Lookup'!$A:$B,2,FALSE)</f>
        <v/>
      </c>
      <c r="F1585" s="0">
        <f>VLOOKUP(E1585,'Tier Params'!$A:$B,2,FALSE)</f>
        <v/>
      </c>
      <c r="G1585" s="0">
        <f>VLOOKUP(E1585,'Tier Params'!$A:$C,3,FALSE)</f>
        <v/>
      </c>
      <c r="H1585" s="0">
        <f>CEILING(D1585/G1585,1)</f>
        <v/>
      </c>
      <c r="I1585" s="0">
        <f>H1585*F1585</f>
        <v/>
      </c>
    </row>
    <row r="1586">
      <c r="A1586" s="0" t="inlineStr">
        <is>
          <t>'Reference sheet'!N1588</t>
        </is>
      </c>
      <c r="B1586" s="0" t="inlineStr">
        <is>
          <t>Structure Market Network</t>
        </is>
      </c>
      <c r="C1586" s="0" t="inlineStr">
        <is>
          <t>Precious Metals</t>
        </is>
      </c>
      <c r="D1586" s="0" t="n">
        <v>5760</v>
      </c>
      <c r="E1586" s="0">
        <f>VLOOKUP(C1586,'Item Tier Lookup'!$A:$B,2,FALSE)</f>
        <v/>
      </c>
      <c r="F1586" s="0">
        <f>VLOOKUP(E1586,'Tier Params'!$A:$B,2,FALSE)</f>
        <v/>
      </c>
      <c r="G1586" s="0">
        <f>VLOOKUP(E1586,'Tier Params'!$A:$C,3,FALSE)</f>
        <v/>
      </c>
      <c r="H1586" s="0">
        <f>CEILING(D1586/G1586,1)</f>
        <v/>
      </c>
      <c r="I1586" s="0">
        <f>H1586*F1586</f>
        <v/>
      </c>
    </row>
    <row r="1587">
      <c r="A1587" s="0" t="inlineStr">
        <is>
          <t>'Reference sheet'!N1589</t>
        </is>
      </c>
      <c r="B1587" s="0" t="inlineStr">
        <is>
          <t>Structure Market Network</t>
        </is>
      </c>
      <c r="C1587" s="0" t="inlineStr">
        <is>
          <t>Noble Metals</t>
        </is>
      </c>
      <c r="D1587" s="0" t="n">
        <v>864000</v>
      </c>
      <c r="E1587" s="0">
        <f>VLOOKUP(C1587,'Item Tier Lookup'!$A:$B,2,FALSE)</f>
        <v/>
      </c>
      <c r="F1587" s="0">
        <f>VLOOKUP(E1587,'Tier Params'!$A:$B,2,FALSE)</f>
        <v/>
      </c>
      <c r="G1587" s="0">
        <f>VLOOKUP(E1587,'Tier Params'!$A:$C,3,FALSE)</f>
        <v/>
      </c>
      <c r="H1587" s="0">
        <f>CEILING(D1587/G1587,1)</f>
        <v/>
      </c>
      <c r="I1587" s="0">
        <f>H1587*F1587</f>
        <v/>
      </c>
    </row>
    <row r="1588">
      <c r="A1588" s="0" t="inlineStr">
        <is>
          <t>'Reference sheet'!N1590</t>
        </is>
      </c>
      <c r="B1588" s="0" t="inlineStr">
        <is>
          <t>Structure Market Network</t>
        </is>
      </c>
      <c r="C1588" s="0" t="inlineStr">
        <is>
          <t>Consumer Electronics</t>
        </is>
      </c>
      <c r="D1588" s="0" t="n">
        <v>720</v>
      </c>
      <c r="E1588" s="0">
        <f>VLOOKUP(C1588,'Item Tier Lookup'!$A:$B,2,FALSE)</f>
        <v/>
      </c>
      <c r="F1588" s="0">
        <f>VLOOKUP(E1588,'Tier Params'!$A:$B,2,FALSE)</f>
        <v/>
      </c>
      <c r="G1588" s="0">
        <f>VLOOKUP(E1588,'Tier Params'!$A:$C,3,FALSE)</f>
        <v/>
      </c>
      <c r="H1588" s="0">
        <f>CEILING(D1588/G1588,1)</f>
        <v/>
      </c>
      <c r="I1588" s="0">
        <f>H1588*F1588</f>
        <v/>
      </c>
    </row>
    <row r="1589">
      <c r="A1589" s="0" t="inlineStr">
        <is>
          <t>'Reference sheet'!N1591</t>
        </is>
      </c>
      <c r="B1589" s="0" t="inlineStr">
        <is>
          <t>Structure Market Network</t>
        </is>
      </c>
      <c r="C1589" s="0" t="inlineStr">
        <is>
          <t>Toxic Metals</t>
        </is>
      </c>
      <c r="D1589" s="0" t="n">
        <v>5760</v>
      </c>
      <c r="E1589" s="0">
        <f>VLOOKUP(C1589,'Item Tier Lookup'!$A:$B,2,FALSE)</f>
        <v/>
      </c>
      <c r="F1589" s="0">
        <f>VLOOKUP(E1589,'Tier Params'!$A:$B,2,FALSE)</f>
        <v/>
      </c>
      <c r="G1589" s="0">
        <f>VLOOKUP(E1589,'Tier Params'!$A:$C,3,FALSE)</f>
        <v/>
      </c>
      <c r="H1589" s="0">
        <f>CEILING(D1589/G1589,1)</f>
        <v/>
      </c>
      <c r="I1589" s="0">
        <f>H1589*F1589</f>
        <v/>
      </c>
    </row>
    <row r="1590">
      <c r="A1590" s="0" t="inlineStr">
        <is>
          <t>'Reference sheet'!N1592</t>
        </is>
      </c>
      <c r="B1590" s="0" t="inlineStr">
        <is>
          <t>Structure Market Network</t>
        </is>
      </c>
      <c r="C1590" s="0" t="inlineStr">
        <is>
          <t>Heavy Metals</t>
        </is>
      </c>
      <c r="D1590" s="0" t="n">
        <v>864000</v>
      </c>
      <c r="E1590" s="0">
        <f>VLOOKUP(C1590,'Item Tier Lookup'!$A:$B,2,FALSE)</f>
        <v/>
      </c>
      <c r="F1590" s="0">
        <f>VLOOKUP(E1590,'Tier Params'!$A:$B,2,FALSE)</f>
        <v/>
      </c>
      <c r="G1590" s="0">
        <f>VLOOKUP(E1590,'Tier Params'!$A:$C,3,FALSE)</f>
        <v/>
      </c>
      <c r="H1590" s="0">
        <f>CEILING(D1590/G1590,1)</f>
        <v/>
      </c>
      <c r="I1590" s="0">
        <f>H1590*F1590</f>
        <v/>
      </c>
    </row>
    <row r="1591">
      <c r="A1591" s="0" t="inlineStr">
        <is>
          <t>'Reference sheet'!N1593</t>
        </is>
      </c>
      <c r="B1591" s="0" t="inlineStr">
        <is>
          <t>Structure Market Network</t>
        </is>
      </c>
      <c r="C1591" s="0" t="inlineStr">
        <is>
          <t>Chiral Structures</t>
        </is>
      </c>
      <c r="D1591" s="0" t="n">
        <v>5760</v>
      </c>
      <c r="E1591" s="0">
        <f>VLOOKUP(C1591,'Item Tier Lookup'!$A:$B,2,FALSE)</f>
        <v/>
      </c>
      <c r="F1591" s="0">
        <f>VLOOKUP(E1591,'Tier Params'!$A:$B,2,FALSE)</f>
        <v/>
      </c>
      <c r="G1591" s="0">
        <f>VLOOKUP(E1591,'Tier Params'!$A:$C,3,FALSE)</f>
        <v/>
      </c>
      <c r="H1591" s="0">
        <f>CEILING(D1591/G1591,1)</f>
        <v/>
      </c>
      <c r="I1591" s="0">
        <f>H1591*F1591</f>
        <v/>
      </c>
    </row>
    <row r="1592">
      <c r="A1592" s="0" t="inlineStr">
        <is>
          <t>'Reference sheet'!N1594</t>
        </is>
      </c>
      <c r="B1592" s="0" t="inlineStr">
        <is>
          <t>Structure Market Network</t>
        </is>
      </c>
      <c r="C1592" s="0" t="inlineStr">
        <is>
          <t>Non-CS Crystals</t>
        </is>
      </c>
      <c r="D1592" s="0" t="n">
        <v>864000</v>
      </c>
      <c r="E1592" s="0">
        <f>VLOOKUP(C1592,'Item Tier Lookup'!$A:$B,2,FALSE)</f>
        <v/>
      </c>
      <c r="F1592" s="0">
        <f>VLOOKUP(E1592,'Tier Params'!$A:$B,2,FALSE)</f>
        <v/>
      </c>
      <c r="G1592" s="0">
        <f>VLOOKUP(E1592,'Tier Params'!$A:$C,3,FALSE)</f>
        <v/>
      </c>
      <c r="H1592" s="0">
        <f>CEILING(D1592/G1592,1)</f>
        <v/>
      </c>
      <c r="I1592" s="0">
        <f>H1592*F1592</f>
        <v/>
      </c>
    </row>
    <row r="1593">
      <c r="A1593" s="0" t="inlineStr">
        <is>
          <t>'Reference sheet'!N1595</t>
        </is>
      </c>
      <c r="B1593" s="0" t="inlineStr">
        <is>
          <t>Structure Market Network</t>
        </is>
      </c>
      <c r="C1593" s="0" t="inlineStr">
        <is>
          <t>Recursive Computing Module</t>
        </is>
      </c>
      <c r="D1593" s="0" t="n">
        <v>18</v>
      </c>
      <c r="E1593" s="0">
        <f>VLOOKUP(C1593,'Item Tier Lookup'!$A:$B,2,FALSE)</f>
        <v/>
      </c>
      <c r="F1593" s="0">
        <f>VLOOKUP(E1593,'Tier Params'!$A:$B,2,FALSE)</f>
        <v/>
      </c>
      <c r="G1593" s="0">
        <f>VLOOKUP(E1593,'Tier Params'!$A:$C,3,FALSE)</f>
        <v/>
      </c>
      <c r="H1593" s="0">
        <f>CEILING(D1593/G1593,1)</f>
        <v/>
      </c>
      <c r="I1593" s="0">
        <f>H1593*F1593</f>
        <v/>
      </c>
    </row>
    <row r="1594">
      <c r="A1594" s="0" t="inlineStr">
        <is>
          <t>'Reference sheet'!N1596</t>
        </is>
      </c>
      <c r="B1594" s="0" t="inlineStr">
        <is>
          <t>Structure Market Network</t>
        </is>
      </c>
      <c r="C1594" s="0" t="inlineStr">
        <is>
          <t>Synthetic Synapses</t>
        </is>
      </c>
      <c r="D1594" s="0" t="n">
        <v>108</v>
      </c>
      <c r="E1594" s="0">
        <f>VLOOKUP(C1594,'Item Tier Lookup'!$A:$B,2,FALSE)</f>
        <v/>
      </c>
      <c r="F1594" s="0">
        <f>VLOOKUP(E1594,'Tier Params'!$A:$B,2,FALSE)</f>
        <v/>
      </c>
      <c r="G1594" s="0">
        <f>VLOOKUP(E1594,'Tier Params'!$A:$C,3,FALSE)</f>
        <v/>
      </c>
      <c r="H1594" s="0">
        <f>CEILING(D1594/G1594,1)</f>
        <v/>
      </c>
      <c r="I1594" s="0">
        <f>H1594*F1594</f>
        <v/>
      </c>
    </row>
    <row r="1595">
      <c r="A1595" s="0" t="inlineStr">
        <is>
          <t>'Reference sheet'!N1597</t>
        </is>
      </c>
      <c r="B1595" s="0" t="inlineStr">
        <is>
          <t>Structure Market Network</t>
        </is>
      </c>
      <c r="C1595" s="0" t="inlineStr">
        <is>
          <t>Supertensile Plastics</t>
        </is>
      </c>
      <c r="D1595" s="0" t="n">
        <v>360</v>
      </c>
      <c r="E1595" s="0">
        <f>VLOOKUP(C1595,'Item Tier Lookup'!$A:$B,2,FALSE)</f>
        <v/>
      </c>
      <c r="F1595" s="0">
        <f>VLOOKUP(E1595,'Tier Params'!$A:$B,2,FALSE)</f>
        <v/>
      </c>
      <c r="G1595" s="0">
        <f>VLOOKUP(E1595,'Tier Params'!$A:$C,3,FALSE)</f>
        <v/>
      </c>
      <c r="H1595" s="0">
        <f>CEILING(D1595/G1595,1)</f>
        <v/>
      </c>
      <c r="I1595" s="0">
        <f>H1595*F1595</f>
        <v/>
      </c>
    </row>
    <row r="1596">
      <c r="A1596" s="0" t="inlineStr">
        <is>
          <t>'Reference sheet'!N1598</t>
        </is>
      </c>
      <c r="B1596" s="0" t="inlineStr">
        <is>
          <t>Structure Market Network</t>
        </is>
      </c>
      <c r="C1596" s="0" t="inlineStr">
        <is>
          <t>Oxygen</t>
        </is>
      </c>
      <c r="D1596" s="0" t="n">
        <v>2880</v>
      </c>
      <c r="E1596" s="0">
        <f>VLOOKUP(C1596,'Item Tier Lookup'!$A:$B,2,FALSE)</f>
        <v/>
      </c>
      <c r="F1596" s="0">
        <f>VLOOKUP(E1596,'Tier Params'!$A:$B,2,FALSE)</f>
        <v/>
      </c>
      <c r="G1596" s="0">
        <f>VLOOKUP(E1596,'Tier Params'!$A:$C,3,FALSE)</f>
        <v/>
      </c>
      <c r="H1596" s="0">
        <f>CEILING(D1596/G1596,1)</f>
        <v/>
      </c>
      <c r="I1596" s="0">
        <f>H1596*F1596</f>
        <v/>
      </c>
    </row>
    <row r="1597">
      <c r="A1597" s="0" t="inlineStr">
        <is>
          <t>'Reference sheet'!N1599</t>
        </is>
      </c>
      <c r="B1597" s="0" t="inlineStr">
        <is>
          <t>Structure Market Network</t>
        </is>
      </c>
      <c r="C1597" s="0" t="inlineStr">
        <is>
          <t>Noble Gas</t>
        </is>
      </c>
      <c r="D1597" s="0" t="n">
        <v>432000</v>
      </c>
      <c r="E1597" s="0">
        <f>VLOOKUP(C1597,'Item Tier Lookup'!$A:$B,2,FALSE)</f>
        <v/>
      </c>
      <c r="F1597" s="0">
        <f>VLOOKUP(E1597,'Tier Params'!$A:$B,2,FALSE)</f>
        <v/>
      </c>
      <c r="G1597" s="0">
        <f>VLOOKUP(E1597,'Tier Params'!$A:$C,3,FALSE)</f>
        <v/>
      </c>
      <c r="H1597" s="0">
        <f>CEILING(D1597/G1597,1)</f>
        <v/>
      </c>
      <c r="I1597" s="0">
        <f>H1597*F1597</f>
        <v/>
      </c>
    </row>
    <row r="1598">
      <c r="A1598" s="0" t="inlineStr">
        <is>
          <t>'Reference sheet'!N1600</t>
        </is>
      </c>
      <c r="B1598" s="0" t="inlineStr">
        <is>
          <t>Structure Market Network</t>
        </is>
      </c>
      <c r="C1598" s="0" t="inlineStr">
        <is>
          <t>Biomass</t>
        </is>
      </c>
      <c r="D1598" s="0" t="n">
        <v>2880</v>
      </c>
      <c r="E1598" s="0">
        <f>VLOOKUP(C1598,'Item Tier Lookup'!$A:$B,2,FALSE)</f>
        <v/>
      </c>
      <c r="F1598" s="0">
        <f>VLOOKUP(E1598,'Tier Params'!$A:$B,2,FALSE)</f>
        <v/>
      </c>
      <c r="G1598" s="0">
        <f>VLOOKUP(E1598,'Tier Params'!$A:$C,3,FALSE)</f>
        <v/>
      </c>
      <c r="H1598" s="0">
        <f>CEILING(D1598/G1598,1)</f>
        <v/>
      </c>
      <c r="I1598" s="0">
        <f>H1598*F1598</f>
        <v/>
      </c>
    </row>
    <row r="1599">
      <c r="A1599" s="0" t="inlineStr">
        <is>
          <t>'Reference sheet'!N1601</t>
        </is>
      </c>
      <c r="B1599" s="0" t="inlineStr">
        <is>
          <t>Structure Market Network</t>
        </is>
      </c>
      <c r="C1599" s="0" t="inlineStr">
        <is>
          <t>Planktic Colonies</t>
        </is>
      </c>
      <c r="D1599" s="0" t="n">
        <v>432000</v>
      </c>
      <c r="E1599" s="0">
        <f>VLOOKUP(C1599,'Item Tier Lookup'!$A:$B,2,FALSE)</f>
        <v/>
      </c>
      <c r="F1599" s="0">
        <f>VLOOKUP(E1599,'Tier Params'!$A:$B,2,FALSE)</f>
        <v/>
      </c>
      <c r="G1599" s="0">
        <f>VLOOKUP(E1599,'Tier Params'!$A:$C,3,FALSE)</f>
        <v/>
      </c>
      <c r="H1599" s="0">
        <f>CEILING(D1599/G1599,1)</f>
        <v/>
      </c>
      <c r="I1599" s="0">
        <f>H1599*F1599</f>
        <v/>
      </c>
    </row>
    <row r="1600">
      <c r="A1600" s="0" t="inlineStr">
        <is>
          <t>'Reference sheet'!N1602</t>
        </is>
      </c>
      <c r="B1600" s="0" t="inlineStr">
        <is>
          <t>Structure Market Network</t>
        </is>
      </c>
      <c r="C1600" s="0" t="inlineStr">
        <is>
          <t>Test Cultures</t>
        </is>
      </c>
      <c r="D1600" s="0" t="n">
        <v>360</v>
      </c>
      <c r="E1600" s="0">
        <f>VLOOKUP(C1600,'Item Tier Lookup'!$A:$B,2,FALSE)</f>
        <v/>
      </c>
      <c r="F1600" s="0">
        <f>VLOOKUP(E1600,'Tier Params'!$A:$B,2,FALSE)</f>
        <v/>
      </c>
      <c r="G1600" s="0">
        <f>VLOOKUP(E1600,'Tier Params'!$A:$C,3,FALSE)</f>
        <v/>
      </c>
      <c r="H1600" s="0">
        <f>CEILING(D1600/G1600,1)</f>
        <v/>
      </c>
      <c r="I1600" s="0">
        <f>H1600*F1600</f>
        <v/>
      </c>
    </row>
    <row r="1601">
      <c r="A1601" s="0" t="inlineStr">
        <is>
          <t>'Reference sheet'!N1603</t>
        </is>
      </c>
      <c r="B1601" s="0" t="inlineStr">
        <is>
          <t>Structure Market Network</t>
        </is>
      </c>
      <c r="C1601" s="0" t="inlineStr">
        <is>
          <t>Bacteria</t>
        </is>
      </c>
      <c r="D1601" s="0" t="n">
        <v>2880</v>
      </c>
      <c r="E1601" s="0">
        <f>VLOOKUP(C1601,'Item Tier Lookup'!$A:$B,2,FALSE)</f>
        <v/>
      </c>
      <c r="F1601" s="0">
        <f>VLOOKUP(E1601,'Tier Params'!$A:$B,2,FALSE)</f>
        <v/>
      </c>
      <c r="G1601" s="0">
        <f>VLOOKUP(E1601,'Tier Params'!$A:$C,3,FALSE)</f>
        <v/>
      </c>
      <c r="H1601" s="0">
        <f>CEILING(D1601/G1601,1)</f>
        <v/>
      </c>
      <c r="I1601" s="0">
        <f>H1601*F1601</f>
        <v/>
      </c>
    </row>
    <row r="1602">
      <c r="A1602" s="0" t="inlineStr">
        <is>
          <t>'Reference sheet'!N1604</t>
        </is>
      </c>
      <c r="B1602" s="0" t="inlineStr">
        <is>
          <t>Structure Market Network</t>
        </is>
      </c>
      <c r="C1602" s="0" t="inlineStr">
        <is>
          <t>Microorganisms</t>
        </is>
      </c>
      <c r="D1602" s="0" t="n">
        <v>432000</v>
      </c>
      <c r="E1602" s="0">
        <f>VLOOKUP(C1602,'Item Tier Lookup'!$A:$B,2,FALSE)</f>
        <v/>
      </c>
      <c r="F1602" s="0">
        <f>VLOOKUP(E1602,'Tier Params'!$A:$B,2,FALSE)</f>
        <v/>
      </c>
      <c r="G1602" s="0">
        <f>VLOOKUP(E1602,'Tier Params'!$A:$C,3,FALSE)</f>
        <v/>
      </c>
      <c r="H1602" s="0">
        <f>CEILING(D1602/G1602,1)</f>
        <v/>
      </c>
      <c r="I1602" s="0">
        <f>H1602*F1602</f>
        <v/>
      </c>
    </row>
    <row r="1603">
      <c r="A1603" s="0" t="inlineStr">
        <is>
          <t>'Reference sheet'!N1605</t>
        </is>
      </c>
      <c r="B1603" s="0" t="inlineStr">
        <is>
          <t>Structure Market Network</t>
        </is>
      </c>
      <c r="C1603" s="0" t="inlineStr">
        <is>
          <t>Water</t>
        </is>
      </c>
      <c r="D1603" s="0" t="n">
        <v>2880</v>
      </c>
      <c r="E1603" s="0">
        <f>VLOOKUP(C1603,'Item Tier Lookup'!$A:$B,2,FALSE)</f>
        <v/>
      </c>
      <c r="F1603" s="0">
        <f>VLOOKUP(E1603,'Tier Params'!$A:$B,2,FALSE)</f>
        <v/>
      </c>
      <c r="G1603" s="0">
        <f>VLOOKUP(E1603,'Tier Params'!$A:$C,3,FALSE)</f>
        <v/>
      </c>
      <c r="H1603" s="0">
        <f>CEILING(D1603/G1603,1)</f>
        <v/>
      </c>
      <c r="I1603" s="0">
        <f>H1603*F1603</f>
        <v/>
      </c>
    </row>
    <row r="1604">
      <c r="A1604" s="0" t="inlineStr">
        <is>
          <t>'Reference sheet'!N1606</t>
        </is>
      </c>
      <c r="B1604" s="0" t="inlineStr">
        <is>
          <t>Structure Market Network</t>
        </is>
      </c>
      <c r="C1604" s="0" t="inlineStr">
        <is>
          <t>Aqueous Liquids</t>
        </is>
      </c>
      <c r="D1604" s="0" t="n">
        <v>432000</v>
      </c>
      <c r="E1604" s="0">
        <f>VLOOKUP(C1604,'Item Tier Lookup'!$A:$B,2,FALSE)</f>
        <v/>
      </c>
      <c r="F1604" s="0">
        <f>VLOOKUP(E1604,'Tier Params'!$A:$B,2,FALSE)</f>
        <v/>
      </c>
      <c r="G1604" s="0">
        <f>VLOOKUP(E1604,'Tier Params'!$A:$C,3,FALSE)</f>
        <v/>
      </c>
      <c r="H1604" s="0">
        <f>CEILING(D1604/G1604,1)</f>
        <v/>
      </c>
      <c r="I1604" s="0">
        <f>H1604*F1604</f>
        <v/>
      </c>
    </row>
    <row r="1605">
      <c r="A1605" s="0" t="inlineStr">
        <is>
          <t>'Reference sheet'!N1607</t>
        </is>
      </c>
      <c r="B1605" s="0" t="inlineStr">
        <is>
          <t>Structure Market Network</t>
        </is>
      </c>
      <c r="C1605" s="0" t="inlineStr">
        <is>
          <t>Transcranial Microcontrollers</t>
        </is>
      </c>
      <c r="D1605" s="0" t="n">
        <v>108</v>
      </c>
      <c r="E1605" s="0">
        <f>VLOOKUP(C1605,'Item Tier Lookup'!$A:$B,2,FALSE)</f>
        <v/>
      </c>
      <c r="F1605" s="0">
        <f>VLOOKUP(E1605,'Tier Params'!$A:$B,2,FALSE)</f>
        <v/>
      </c>
      <c r="G1605" s="0">
        <f>VLOOKUP(E1605,'Tier Params'!$A:$C,3,FALSE)</f>
        <v/>
      </c>
      <c r="H1605" s="0">
        <f>CEILING(D1605/G1605,1)</f>
        <v/>
      </c>
      <c r="I1605" s="0">
        <f>H1605*F1605</f>
        <v/>
      </c>
    </row>
    <row r="1606">
      <c r="A1606" s="0" t="inlineStr">
        <is>
          <t>'Reference sheet'!N1608</t>
        </is>
      </c>
      <c r="B1606" s="0" t="inlineStr">
        <is>
          <t>Structure Market Network</t>
        </is>
      </c>
      <c r="C1606" s="0" t="inlineStr">
        <is>
          <t>Biocells</t>
        </is>
      </c>
      <c r="D1606" s="0" t="n">
        <v>360</v>
      </c>
      <c r="E1606" s="0">
        <f>VLOOKUP(C1606,'Item Tier Lookup'!$A:$B,2,FALSE)</f>
        <v/>
      </c>
      <c r="F1606" s="0">
        <f>VLOOKUP(E1606,'Tier Params'!$A:$B,2,FALSE)</f>
        <v/>
      </c>
      <c r="G1606" s="0">
        <f>VLOOKUP(E1606,'Tier Params'!$A:$C,3,FALSE)</f>
        <v/>
      </c>
      <c r="H1606" s="0">
        <f>CEILING(D1606/G1606,1)</f>
        <v/>
      </c>
      <c r="I1606" s="0">
        <f>H1606*F1606</f>
        <v/>
      </c>
    </row>
    <row r="1607">
      <c r="A1607" s="0" t="inlineStr">
        <is>
          <t>'Reference sheet'!N1609</t>
        </is>
      </c>
      <c r="B1607" s="0" t="inlineStr">
        <is>
          <t>Structure Market Network</t>
        </is>
      </c>
      <c r="C1607" s="0" t="inlineStr">
        <is>
          <t>Biofuels</t>
        </is>
      </c>
      <c r="D1607" s="0" t="n">
        <v>2880</v>
      </c>
      <c r="E1607" s="0">
        <f>VLOOKUP(C1607,'Item Tier Lookup'!$A:$B,2,FALSE)</f>
        <v/>
      </c>
      <c r="F1607" s="0">
        <f>VLOOKUP(E1607,'Tier Params'!$A:$B,2,FALSE)</f>
        <v/>
      </c>
      <c r="G1607" s="0">
        <f>VLOOKUP(E1607,'Tier Params'!$A:$C,3,FALSE)</f>
        <v/>
      </c>
      <c r="H1607" s="0">
        <f>CEILING(D1607/G1607,1)</f>
        <v/>
      </c>
      <c r="I1607" s="0">
        <f>H1607*F1607</f>
        <v/>
      </c>
    </row>
    <row r="1608">
      <c r="A1608" s="0" t="inlineStr">
        <is>
          <t>'Reference sheet'!N1610</t>
        </is>
      </c>
      <c r="B1608" s="0" t="inlineStr">
        <is>
          <t>Structure Market Network</t>
        </is>
      </c>
      <c r="C1608" s="0" t="inlineStr">
        <is>
          <t>Carbon Compounds</t>
        </is>
      </c>
      <c r="D1608" s="0" t="n">
        <v>432000</v>
      </c>
      <c r="E1608" s="0">
        <f>VLOOKUP(C1608,'Item Tier Lookup'!$A:$B,2,FALSE)</f>
        <v/>
      </c>
      <c r="F1608" s="0">
        <f>VLOOKUP(E1608,'Tier Params'!$A:$B,2,FALSE)</f>
        <v/>
      </c>
      <c r="G1608" s="0">
        <f>VLOOKUP(E1608,'Tier Params'!$A:$C,3,FALSE)</f>
        <v/>
      </c>
      <c r="H1608" s="0">
        <f>CEILING(D1608/G1608,1)</f>
        <v/>
      </c>
      <c r="I1608" s="0">
        <f>H1608*F1608</f>
        <v/>
      </c>
    </row>
    <row r="1609">
      <c r="A1609" s="0" t="inlineStr">
        <is>
          <t>'Reference sheet'!N1611</t>
        </is>
      </c>
      <c r="B1609" s="0" t="inlineStr">
        <is>
          <t>Structure Market Network</t>
        </is>
      </c>
      <c r="C1609" s="0" t="inlineStr">
        <is>
          <t>Precious Metals</t>
        </is>
      </c>
      <c r="D1609" s="0" t="n">
        <v>2880</v>
      </c>
      <c r="E1609" s="0">
        <f>VLOOKUP(C1609,'Item Tier Lookup'!$A:$B,2,FALSE)</f>
        <v/>
      </c>
      <c r="F1609" s="0">
        <f>VLOOKUP(E1609,'Tier Params'!$A:$B,2,FALSE)</f>
        <v/>
      </c>
      <c r="G1609" s="0">
        <f>VLOOKUP(E1609,'Tier Params'!$A:$C,3,FALSE)</f>
        <v/>
      </c>
      <c r="H1609" s="0">
        <f>CEILING(D1609/G1609,1)</f>
        <v/>
      </c>
      <c r="I1609" s="0">
        <f>H1609*F1609</f>
        <v/>
      </c>
    </row>
    <row r="1610">
      <c r="A1610" s="0" t="inlineStr">
        <is>
          <t>'Reference sheet'!N1612</t>
        </is>
      </c>
      <c r="B1610" s="0" t="inlineStr">
        <is>
          <t>Structure Market Network</t>
        </is>
      </c>
      <c r="C1610" s="0" t="inlineStr">
        <is>
          <t>Noble Metals</t>
        </is>
      </c>
      <c r="D1610" s="0" t="n">
        <v>432000</v>
      </c>
      <c r="E1610" s="0">
        <f>VLOOKUP(C1610,'Item Tier Lookup'!$A:$B,2,FALSE)</f>
        <v/>
      </c>
      <c r="F1610" s="0">
        <f>VLOOKUP(E1610,'Tier Params'!$A:$B,2,FALSE)</f>
        <v/>
      </c>
      <c r="G1610" s="0">
        <f>VLOOKUP(E1610,'Tier Params'!$A:$C,3,FALSE)</f>
        <v/>
      </c>
      <c r="H1610" s="0">
        <f>CEILING(D1610/G1610,1)</f>
        <v/>
      </c>
      <c r="I1610" s="0">
        <f>H1610*F1610</f>
        <v/>
      </c>
    </row>
    <row r="1611">
      <c r="A1611" s="0" t="inlineStr">
        <is>
          <t>'Reference sheet'!N1613</t>
        </is>
      </c>
      <c r="B1611" s="0" t="inlineStr">
        <is>
          <t>Structure Market Network</t>
        </is>
      </c>
      <c r="C1611" s="0" t="inlineStr">
        <is>
          <t>Nanites</t>
        </is>
      </c>
      <c r="D1611" s="0" t="n">
        <v>360</v>
      </c>
      <c r="E1611" s="0">
        <f>VLOOKUP(C1611,'Item Tier Lookup'!$A:$B,2,FALSE)</f>
        <v/>
      </c>
      <c r="F1611" s="0">
        <f>VLOOKUP(E1611,'Tier Params'!$A:$B,2,FALSE)</f>
        <v/>
      </c>
      <c r="G1611" s="0">
        <f>VLOOKUP(E1611,'Tier Params'!$A:$C,3,FALSE)</f>
        <v/>
      </c>
      <c r="H1611" s="0">
        <f>CEILING(D1611/G1611,1)</f>
        <v/>
      </c>
      <c r="I1611" s="0">
        <f>H1611*F1611</f>
        <v/>
      </c>
    </row>
    <row r="1612">
      <c r="A1612" s="0" t="inlineStr">
        <is>
          <t>'Reference sheet'!N1614</t>
        </is>
      </c>
      <c r="B1612" s="0" t="inlineStr">
        <is>
          <t>Structure Market Network</t>
        </is>
      </c>
      <c r="C1612" s="0" t="inlineStr">
        <is>
          <t>Bacteria</t>
        </is>
      </c>
      <c r="D1612" s="0" t="n">
        <v>2880</v>
      </c>
      <c r="E1612" s="0">
        <f>VLOOKUP(C1612,'Item Tier Lookup'!$A:$B,2,FALSE)</f>
        <v/>
      </c>
      <c r="F1612" s="0">
        <f>VLOOKUP(E1612,'Tier Params'!$A:$B,2,FALSE)</f>
        <v/>
      </c>
      <c r="G1612" s="0">
        <f>VLOOKUP(E1612,'Tier Params'!$A:$C,3,FALSE)</f>
        <v/>
      </c>
      <c r="H1612" s="0">
        <f>CEILING(D1612/G1612,1)</f>
        <v/>
      </c>
      <c r="I1612" s="0">
        <f>H1612*F1612</f>
        <v/>
      </c>
    </row>
    <row r="1613">
      <c r="A1613" s="0" t="inlineStr">
        <is>
          <t>'Reference sheet'!N1615</t>
        </is>
      </c>
      <c r="B1613" s="0" t="inlineStr">
        <is>
          <t>Structure Market Network</t>
        </is>
      </c>
      <c r="C1613" s="0" t="inlineStr">
        <is>
          <t>Microorganisms</t>
        </is>
      </c>
      <c r="D1613" s="0" t="n">
        <v>432000</v>
      </c>
      <c r="E1613" s="0">
        <f>VLOOKUP(C1613,'Item Tier Lookup'!$A:$B,2,FALSE)</f>
        <v/>
      </c>
      <c r="F1613" s="0">
        <f>VLOOKUP(E1613,'Tier Params'!$A:$B,2,FALSE)</f>
        <v/>
      </c>
      <c r="G1613" s="0">
        <f>VLOOKUP(E1613,'Tier Params'!$A:$C,3,FALSE)</f>
        <v/>
      </c>
      <c r="H1613" s="0">
        <f>CEILING(D1613/G1613,1)</f>
        <v/>
      </c>
      <c r="I1613" s="0">
        <f>H1613*F1613</f>
        <v/>
      </c>
    </row>
    <row r="1614">
      <c r="A1614" s="0" t="inlineStr">
        <is>
          <t>'Reference sheet'!N1616</t>
        </is>
      </c>
      <c r="B1614" s="0" t="inlineStr">
        <is>
          <t>Structure Market Network</t>
        </is>
      </c>
      <c r="C1614" s="0" t="inlineStr">
        <is>
          <t>Reactive Metals</t>
        </is>
      </c>
      <c r="D1614" s="0" t="n">
        <v>2880</v>
      </c>
      <c r="E1614" s="0">
        <f>VLOOKUP(C1614,'Item Tier Lookup'!$A:$B,2,FALSE)</f>
        <v/>
      </c>
      <c r="F1614" s="0">
        <f>VLOOKUP(E1614,'Tier Params'!$A:$B,2,FALSE)</f>
        <v/>
      </c>
      <c r="G1614" s="0">
        <f>VLOOKUP(E1614,'Tier Params'!$A:$C,3,FALSE)</f>
        <v/>
      </c>
      <c r="H1614" s="0">
        <f>CEILING(D1614/G1614,1)</f>
        <v/>
      </c>
      <c r="I1614" s="0">
        <f>H1614*F1614</f>
        <v/>
      </c>
    </row>
    <row r="1615">
      <c r="A1615" s="0" t="inlineStr">
        <is>
          <t>'Reference sheet'!N1617</t>
        </is>
      </c>
      <c r="B1615" s="0" t="inlineStr">
        <is>
          <t>Structure Market Network</t>
        </is>
      </c>
      <c r="C1615" s="0" t="inlineStr">
        <is>
          <t>Base Metals</t>
        </is>
      </c>
      <c r="D1615" s="0" t="n">
        <v>432000</v>
      </c>
      <c r="E1615" s="0">
        <f>VLOOKUP(C1615,'Item Tier Lookup'!$A:$B,2,FALSE)</f>
        <v/>
      </c>
      <c r="F1615" s="0">
        <f>VLOOKUP(E1615,'Tier Params'!$A:$B,2,FALSE)</f>
        <v/>
      </c>
      <c r="G1615" s="0">
        <f>VLOOKUP(E1615,'Tier Params'!$A:$C,3,FALSE)</f>
        <v/>
      </c>
      <c r="H1615" s="0">
        <f>CEILING(D1615/G1615,1)</f>
        <v/>
      </c>
      <c r="I1615" s="0">
        <f>H1615*F1615</f>
        <v/>
      </c>
    </row>
    <row r="1616">
      <c r="A1616" s="0" t="inlineStr">
        <is>
          <t>'Reference sheet'!N1618</t>
        </is>
      </c>
      <c r="B1616" s="0" t="inlineStr">
        <is>
          <t>Structure Market Network</t>
        </is>
      </c>
      <c r="C1616" s="0" t="inlineStr">
        <is>
          <t>Guidance Systems</t>
        </is>
      </c>
      <c r="D1616" s="0" t="n">
        <v>108</v>
      </c>
      <c r="E1616" s="0">
        <f>VLOOKUP(C1616,'Item Tier Lookup'!$A:$B,2,FALSE)</f>
        <v/>
      </c>
      <c r="F1616" s="0">
        <f>VLOOKUP(E1616,'Tier Params'!$A:$B,2,FALSE)</f>
        <v/>
      </c>
      <c r="G1616" s="0">
        <f>VLOOKUP(E1616,'Tier Params'!$A:$C,3,FALSE)</f>
        <v/>
      </c>
      <c r="H1616" s="0">
        <f>CEILING(D1616/G1616,1)</f>
        <v/>
      </c>
      <c r="I1616" s="0">
        <f>H1616*F1616</f>
        <v/>
      </c>
    </row>
    <row r="1617">
      <c r="A1617" s="0" t="inlineStr">
        <is>
          <t>'Reference sheet'!N1619</t>
        </is>
      </c>
      <c r="B1617" s="0" t="inlineStr">
        <is>
          <t>Structure Market Network</t>
        </is>
      </c>
      <c r="C1617" s="0" t="inlineStr">
        <is>
          <t>Water-Cooled CPU</t>
        </is>
      </c>
      <c r="D1617" s="0" t="n">
        <v>360</v>
      </c>
      <c r="E1617" s="0">
        <f>VLOOKUP(C1617,'Item Tier Lookup'!$A:$B,2,FALSE)</f>
        <v/>
      </c>
      <c r="F1617" s="0">
        <f>VLOOKUP(E1617,'Tier Params'!$A:$B,2,FALSE)</f>
        <v/>
      </c>
      <c r="G1617" s="0">
        <f>VLOOKUP(E1617,'Tier Params'!$A:$C,3,FALSE)</f>
        <v/>
      </c>
      <c r="H1617" s="0">
        <f>CEILING(D1617/G1617,1)</f>
        <v/>
      </c>
      <c r="I1617" s="0">
        <f>H1617*F1617</f>
        <v/>
      </c>
    </row>
    <row r="1618">
      <c r="A1618" s="0" t="inlineStr">
        <is>
          <t>'Reference sheet'!N1620</t>
        </is>
      </c>
      <c r="B1618" s="0" t="inlineStr">
        <is>
          <t>Structure Market Network</t>
        </is>
      </c>
      <c r="C1618" s="0" t="inlineStr">
        <is>
          <t>Water</t>
        </is>
      </c>
      <c r="D1618" s="0" t="n">
        <v>2880</v>
      </c>
      <c r="E1618" s="0">
        <f>VLOOKUP(C1618,'Item Tier Lookup'!$A:$B,2,FALSE)</f>
        <v/>
      </c>
      <c r="F1618" s="0">
        <f>VLOOKUP(E1618,'Tier Params'!$A:$B,2,FALSE)</f>
        <v/>
      </c>
      <c r="G1618" s="0">
        <f>VLOOKUP(E1618,'Tier Params'!$A:$C,3,FALSE)</f>
        <v/>
      </c>
      <c r="H1618" s="0">
        <f>CEILING(D1618/G1618,1)</f>
        <v/>
      </c>
      <c r="I1618" s="0">
        <f>H1618*F1618</f>
        <v/>
      </c>
    </row>
    <row r="1619">
      <c r="A1619" s="0" t="inlineStr">
        <is>
          <t>'Reference sheet'!N1621</t>
        </is>
      </c>
      <c r="B1619" s="0" t="inlineStr">
        <is>
          <t>Structure Market Network</t>
        </is>
      </c>
      <c r="C1619" s="0" t="inlineStr">
        <is>
          <t>Aqueous Liquids</t>
        </is>
      </c>
      <c r="D1619" s="0" t="n">
        <v>432000</v>
      </c>
      <c r="E1619" s="0">
        <f>VLOOKUP(C1619,'Item Tier Lookup'!$A:$B,2,FALSE)</f>
        <v/>
      </c>
      <c r="F1619" s="0">
        <f>VLOOKUP(E1619,'Tier Params'!$A:$B,2,FALSE)</f>
        <v/>
      </c>
      <c r="G1619" s="0">
        <f>VLOOKUP(E1619,'Tier Params'!$A:$C,3,FALSE)</f>
        <v/>
      </c>
      <c r="H1619" s="0">
        <f>CEILING(D1619/G1619,1)</f>
        <v/>
      </c>
      <c r="I1619" s="0">
        <f>H1619*F1619</f>
        <v/>
      </c>
    </row>
    <row r="1620">
      <c r="A1620" s="0" t="inlineStr">
        <is>
          <t>'Reference sheet'!N1622</t>
        </is>
      </c>
      <c r="B1620" s="0" t="inlineStr">
        <is>
          <t>Structure Market Network</t>
        </is>
      </c>
      <c r="C1620" s="0" t="inlineStr">
        <is>
          <t>Reactive Metals</t>
        </is>
      </c>
      <c r="D1620" s="0" t="n">
        <v>2880</v>
      </c>
      <c r="E1620" s="0">
        <f>VLOOKUP(C1620,'Item Tier Lookup'!$A:$B,2,FALSE)</f>
        <v/>
      </c>
      <c r="F1620" s="0">
        <f>VLOOKUP(E1620,'Tier Params'!$A:$B,2,FALSE)</f>
        <v/>
      </c>
      <c r="G1620" s="0">
        <f>VLOOKUP(E1620,'Tier Params'!$A:$C,3,FALSE)</f>
        <v/>
      </c>
      <c r="H1620" s="0">
        <f>CEILING(D1620/G1620,1)</f>
        <v/>
      </c>
      <c r="I1620" s="0">
        <f>H1620*F1620</f>
        <v/>
      </c>
    </row>
    <row r="1621">
      <c r="A1621" s="0" t="inlineStr">
        <is>
          <t>'Reference sheet'!N1623</t>
        </is>
      </c>
      <c r="B1621" s="0" t="inlineStr">
        <is>
          <t>Structure Market Network</t>
        </is>
      </c>
      <c r="C1621" s="0" t="inlineStr">
        <is>
          <t>Base Metals</t>
        </is>
      </c>
      <c r="D1621" s="0" t="n">
        <v>432000</v>
      </c>
      <c r="E1621" s="0">
        <f>VLOOKUP(C1621,'Item Tier Lookup'!$A:$B,2,FALSE)</f>
        <v/>
      </c>
      <c r="F1621" s="0">
        <f>VLOOKUP(E1621,'Tier Params'!$A:$B,2,FALSE)</f>
        <v/>
      </c>
      <c r="G1621" s="0">
        <f>VLOOKUP(E1621,'Tier Params'!$A:$C,3,FALSE)</f>
        <v/>
      </c>
      <c r="H1621" s="0">
        <f>CEILING(D1621/G1621,1)</f>
        <v/>
      </c>
      <c r="I1621" s="0">
        <f>H1621*F1621</f>
        <v/>
      </c>
    </row>
    <row r="1622">
      <c r="A1622" s="0" t="inlineStr">
        <is>
          <t>'Reference sheet'!N1624</t>
        </is>
      </c>
      <c r="B1622" s="0" t="inlineStr">
        <is>
          <t>Structure Market Network</t>
        </is>
      </c>
      <c r="C1622" s="0" t="inlineStr">
        <is>
          <t>Transmitter</t>
        </is>
      </c>
      <c r="D1622" s="0" t="n">
        <v>360</v>
      </c>
      <c r="E1622" s="0">
        <f>VLOOKUP(C1622,'Item Tier Lookup'!$A:$B,2,FALSE)</f>
        <v/>
      </c>
      <c r="F1622" s="0">
        <f>VLOOKUP(E1622,'Tier Params'!$A:$B,2,FALSE)</f>
        <v/>
      </c>
      <c r="G1622" s="0">
        <f>VLOOKUP(E1622,'Tier Params'!$A:$C,3,FALSE)</f>
        <v/>
      </c>
      <c r="H1622" s="0">
        <f>CEILING(D1622/G1622,1)</f>
        <v/>
      </c>
      <c r="I1622" s="0">
        <f>H1622*F1622</f>
        <v/>
      </c>
    </row>
    <row r="1623">
      <c r="A1623" s="0" t="inlineStr">
        <is>
          <t>'Reference sheet'!N1625</t>
        </is>
      </c>
      <c r="B1623" s="0" t="inlineStr">
        <is>
          <t>Structure Market Network</t>
        </is>
      </c>
      <c r="C1623" s="0" t="inlineStr">
        <is>
          <t>Chiral Structures</t>
        </is>
      </c>
      <c r="D1623" s="0" t="n">
        <v>2880</v>
      </c>
      <c r="E1623" s="0">
        <f>VLOOKUP(C1623,'Item Tier Lookup'!$A:$B,2,FALSE)</f>
        <v/>
      </c>
      <c r="F1623" s="0">
        <f>VLOOKUP(E1623,'Tier Params'!$A:$B,2,FALSE)</f>
        <v/>
      </c>
      <c r="G1623" s="0">
        <f>VLOOKUP(E1623,'Tier Params'!$A:$C,3,FALSE)</f>
        <v/>
      </c>
      <c r="H1623" s="0">
        <f>CEILING(D1623/G1623,1)</f>
        <v/>
      </c>
      <c r="I1623" s="0">
        <f>H1623*F1623</f>
        <v/>
      </c>
    </row>
    <row r="1624">
      <c r="A1624" s="0" t="inlineStr">
        <is>
          <t>'Reference sheet'!N1626</t>
        </is>
      </c>
      <c r="B1624" s="0" t="inlineStr">
        <is>
          <t>Structure Market Network</t>
        </is>
      </c>
      <c r="C1624" s="0" t="inlineStr">
        <is>
          <t>Non-CS Crystals</t>
        </is>
      </c>
      <c r="D1624" s="0" t="n">
        <v>432000</v>
      </c>
      <c r="E1624" s="0">
        <f>VLOOKUP(C1624,'Item Tier Lookup'!$A:$B,2,FALSE)</f>
        <v/>
      </c>
      <c r="F1624" s="0">
        <f>VLOOKUP(E1624,'Tier Params'!$A:$B,2,FALSE)</f>
        <v/>
      </c>
      <c r="G1624" s="0">
        <f>VLOOKUP(E1624,'Tier Params'!$A:$C,3,FALSE)</f>
        <v/>
      </c>
      <c r="H1624" s="0">
        <f>CEILING(D1624/G1624,1)</f>
        <v/>
      </c>
      <c r="I1624" s="0">
        <f>H1624*F1624</f>
        <v/>
      </c>
    </row>
    <row r="1625">
      <c r="A1625" s="0" t="inlineStr">
        <is>
          <t>'Reference sheet'!N1627</t>
        </is>
      </c>
      <c r="B1625" s="0" t="inlineStr">
        <is>
          <t>Structure Market Network</t>
        </is>
      </c>
      <c r="C1625" s="0" t="inlineStr">
        <is>
          <t>Plasmoids</t>
        </is>
      </c>
      <c r="D1625" s="0" t="n">
        <v>2880</v>
      </c>
      <c r="E1625" s="0">
        <f>VLOOKUP(C1625,'Item Tier Lookup'!$A:$B,2,FALSE)</f>
        <v/>
      </c>
      <c r="F1625" s="0">
        <f>VLOOKUP(E1625,'Tier Params'!$A:$B,2,FALSE)</f>
        <v/>
      </c>
      <c r="G1625" s="0">
        <f>VLOOKUP(E1625,'Tier Params'!$A:$C,3,FALSE)</f>
        <v/>
      </c>
      <c r="H1625" s="0">
        <f>CEILING(D1625/G1625,1)</f>
        <v/>
      </c>
      <c r="I1625" s="0">
        <f>H1625*F1625</f>
        <v/>
      </c>
    </row>
    <row r="1626">
      <c r="A1626" s="0" t="inlineStr">
        <is>
          <t>'Reference sheet'!N1628</t>
        </is>
      </c>
      <c r="B1626" s="0" t="inlineStr">
        <is>
          <t>Structure Market Network</t>
        </is>
      </c>
      <c r="C1626" s="0" t="inlineStr">
        <is>
          <t>Suspended Plasma</t>
        </is>
      </c>
      <c r="D1626" s="0" t="n">
        <v>432000</v>
      </c>
      <c r="E1626" s="0">
        <f>VLOOKUP(C1626,'Item Tier Lookup'!$A:$B,2,FALSE)</f>
        <v/>
      </c>
      <c r="F1626" s="0">
        <f>VLOOKUP(E1626,'Tier Params'!$A:$B,2,FALSE)</f>
        <v/>
      </c>
      <c r="G1626" s="0">
        <f>VLOOKUP(E1626,'Tier Params'!$A:$C,3,FALSE)</f>
        <v/>
      </c>
      <c r="H1626" s="0">
        <f>CEILING(D1626/G1626,1)</f>
        <v/>
      </c>
      <c r="I1626" s="0">
        <f>H1626*F1626</f>
        <v/>
      </c>
    </row>
    <row r="1627">
      <c r="A1627" s="0" t="inlineStr">
        <is>
          <t>'Reference sheet'!N1629</t>
        </is>
      </c>
      <c r="B1627" s="0" t="inlineStr">
        <is>
          <t>Structure Market Network</t>
        </is>
      </c>
      <c r="C1627" s="0" t="inlineStr">
        <is>
          <t>Self-Harmonizing Power Core</t>
        </is>
      </c>
      <c r="D1627" s="0" t="n">
        <v>18</v>
      </c>
      <c r="E1627" s="0">
        <f>VLOOKUP(C1627,'Item Tier Lookup'!$A:$B,2,FALSE)</f>
        <v/>
      </c>
      <c r="F1627" s="0">
        <f>VLOOKUP(E1627,'Tier Params'!$A:$B,2,FALSE)</f>
        <v/>
      </c>
      <c r="G1627" s="0">
        <f>VLOOKUP(E1627,'Tier Params'!$A:$C,3,FALSE)</f>
        <v/>
      </c>
      <c r="H1627" s="0">
        <f>CEILING(D1627/G1627,1)</f>
        <v/>
      </c>
      <c r="I1627" s="0">
        <f>H1627*F1627</f>
        <v/>
      </c>
    </row>
    <row r="1628">
      <c r="A1628" s="0" t="inlineStr">
        <is>
          <t>'Reference sheet'!N1630</t>
        </is>
      </c>
      <c r="B1628" s="0" t="inlineStr">
        <is>
          <t>Structure Market Network</t>
        </is>
      </c>
      <c r="C1628" s="0" t="inlineStr">
        <is>
          <t>Nuclear Reactors</t>
        </is>
      </c>
      <c r="D1628" s="0" t="n">
        <v>108</v>
      </c>
      <c r="E1628" s="0">
        <f>VLOOKUP(C1628,'Item Tier Lookup'!$A:$B,2,FALSE)</f>
        <v/>
      </c>
      <c r="F1628" s="0">
        <f>VLOOKUP(E1628,'Tier Params'!$A:$B,2,FALSE)</f>
        <v/>
      </c>
      <c r="G1628" s="0">
        <f>VLOOKUP(E1628,'Tier Params'!$A:$C,3,FALSE)</f>
        <v/>
      </c>
      <c r="H1628" s="0">
        <f>CEILING(D1628/G1628,1)</f>
        <v/>
      </c>
      <c r="I1628" s="0">
        <f>H1628*F1628</f>
        <v/>
      </c>
    </row>
    <row r="1629">
      <c r="A1629" s="0" t="inlineStr">
        <is>
          <t>'Reference sheet'!N1631</t>
        </is>
      </c>
      <c r="B1629" s="0" t="inlineStr">
        <is>
          <t>Structure Market Network</t>
        </is>
      </c>
      <c r="C1629" s="0" t="inlineStr">
        <is>
          <t>Enriched Uranium</t>
        </is>
      </c>
      <c r="D1629" s="0" t="n">
        <v>360</v>
      </c>
      <c r="E1629" s="0">
        <f>VLOOKUP(C1629,'Item Tier Lookup'!$A:$B,2,FALSE)</f>
        <v/>
      </c>
      <c r="F1629" s="0">
        <f>VLOOKUP(E1629,'Tier Params'!$A:$B,2,FALSE)</f>
        <v/>
      </c>
      <c r="G1629" s="0">
        <f>VLOOKUP(E1629,'Tier Params'!$A:$C,3,FALSE)</f>
        <v/>
      </c>
      <c r="H1629" s="0">
        <f>CEILING(D1629/G1629,1)</f>
        <v/>
      </c>
      <c r="I1629" s="0">
        <f>H1629*F1629</f>
        <v/>
      </c>
    </row>
    <row r="1630">
      <c r="A1630" s="0" t="inlineStr">
        <is>
          <t>'Reference sheet'!N1632</t>
        </is>
      </c>
      <c r="B1630" s="0" t="inlineStr">
        <is>
          <t>Structure Market Network</t>
        </is>
      </c>
      <c r="C1630" s="0" t="inlineStr">
        <is>
          <t>Toxic Metals</t>
        </is>
      </c>
      <c r="D1630" s="0" t="n">
        <v>2880</v>
      </c>
      <c r="E1630" s="0">
        <f>VLOOKUP(C1630,'Item Tier Lookup'!$A:$B,2,FALSE)</f>
        <v/>
      </c>
      <c r="F1630" s="0">
        <f>VLOOKUP(E1630,'Tier Params'!$A:$B,2,FALSE)</f>
        <v/>
      </c>
      <c r="G1630" s="0">
        <f>VLOOKUP(E1630,'Tier Params'!$A:$C,3,FALSE)</f>
        <v/>
      </c>
      <c r="H1630" s="0">
        <f>CEILING(D1630/G1630,1)</f>
        <v/>
      </c>
      <c r="I1630" s="0">
        <f>H1630*F1630</f>
        <v/>
      </c>
    </row>
    <row r="1631">
      <c r="A1631" s="0" t="inlineStr">
        <is>
          <t>'Reference sheet'!N1633</t>
        </is>
      </c>
      <c r="B1631" s="0" t="inlineStr">
        <is>
          <t>Structure Market Network</t>
        </is>
      </c>
      <c r="C1631" s="0" t="inlineStr">
        <is>
          <t>Heavy Metals</t>
        </is>
      </c>
      <c r="D1631" s="0" t="n">
        <v>432000</v>
      </c>
      <c r="E1631" s="0">
        <f>VLOOKUP(C1631,'Item Tier Lookup'!$A:$B,2,FALSE)</f>
        <v/>
      </c>
      <c r="F1631" s="0">
        <f>VLOOKUP(E1631,'Tier Params'!$A:$B,2,FALSE)</f>
        <v/>
      </c>
      <c r="G1631" s="0">
        <f>VLOOKUP(E1631,'Tier Params'!$A:$C,3,FALSE)</f>
        <v/>
      </c>
      <c r="H1631" s="0">
        <f>CEILING(D1631/G1631,1)</f>
        <v/>
      </c>
      <c r="I1631" s="0">
        <f>H1631*F1631</f>
        <v/>
      </c>
    </row>
    <row r="1632">
      <c r="A1632" s="0" t="inlineStr">
        <is>
          <t>'Reference sheet'!N1634</t>
        </is>
      </c>
      <c r="B1632" s="0" t="inlineStr">
        <is>
          <t>Structure Market Network</t>
        </is>
      </c>
      <c r="C1632" s="0" t="inlineStr">
        <is>
          <t>Precious Metals</t>
        </is>
      </c>
      <c r="D1632" s="0" t="n">
        <v>2880</v>
      </c>
      <c r="E1632" s="0">
        <f>VLOOKUP(C1632,'Item Tier Lookup'!$A:$B,2,FALSE)</f>
        <v/>
      </c>
      <c r="F1632" s="0">
        <f>VLOOKUP(E1632,'Tier Params'!$A:$B,2,FALSE)</f>
        <v/>
      </c>
      <c r="G1632" s="0">
        <f>VLOOKUP(E1632,'Tier Params'!$A:$C,3,FALSE)</f>
        <v/>
      </c>
      <c r="H1632" s="0">
        <f>CEILING(D1632/G1632,1)</f>
        <v/>
      </c>
      <c r="I1632" s="0">
        <f>H1632*F1632</f>
        <v/>
      </c>
    </row>
    <row r="1633">
      <c r="A1633" s="0" t="inlineStr">
        <is>
          <t>'Reference sheet'!N1635</t>
        </is>
      </c>
      <c r="B1633" s="0" t="inlineStr">
        <is>
          <t>Structure Market Network</t>
        </is>
      </c>
      <c r="C1633" s="0" t="inlineStr">
        <is>
          <t>Noble Metals</t>
        </is>
      </c>
      <c r="D1633" s="0" t="n">
        <v>432000</v>
      </c>
      <c r="E1633" s="0">
        <f>VLOOKUP(C1633,'Item Tier Lookup'!$A:$B,2,FALSE)</f>
        <v/>
      </c>
      <c r="F1633" s="0">
        <f>VLOOKUP(E1633,'Tier Params'!$A:$B,2,FALSE)</f>
        <v/>
      </c>
      <c r="G1633" s="0">
        <f>VLOOKUP(E1633,'Tier Params'!$A:$C,3,FALSE)</f>
        <v/>
      </c>
      <c r="H1633" s="0">
        <f>CEILING(D1633/G1633,1)</f>
        <v/>
      </c>
      <c r="I1633" s="0">
        <f>H1633*F1633</f>
        <v/>
      </c>
    </row>
    <row r="1634">
      <c r="A1634" s="0" t="inlineStr">
        <is>
          <t>'Reference sheet'!N1636</t>
        </is>
      </c>
      <c r="B1634" s="0" t="inlineStr">
        <is>
          <t>Structure Market Network</t>
        </is>
      </c>
      <c r="C1634" s="0" t="inlineStr">
        <is>
          <t>Microfiber Shielding</t>
        </is>
      </c>
      <c r="D1634" s="0" t="n">
        <v>360</v>
      </c>
      <c r="E1634" s="0">
        <f>VLOOKUP(C1634,'Item Tier Lookup'!$A:$B,2,FALSE)</f>
        <v/>
      </c>
      <c r="F1634" s="0">
        <f>VLOOKUP(E1634,'Tier Params'!$A:$B,2,FALSE)</f>
        <v/>
      </c>
      <c r="G1634" s="0">
        <f>VLOOKUP(E1634,'Tier Params'!$A:$C,3,FALSE)</f>
        <v/>
      </c>
      <c r="H1634" s="0">
        <f>CEILING(D1634/G1634,1)</f>
        <v/>
      </c>
      <c r="I1634" s="0">
        <f>H1634*F1634</f>
        <v/>
      </c>
    </row>
    <row r="1635">
      <c r="A1635" s="0" t="inlineStr">
        <is>
          <t>'Reference sheet'!N1637</t>
        </is>
      </c>
      <c r="B1635" s="0" t="inlineStr">
        <is>
          <t>Structure Market Network</t>
        </is>
      </c>
      <c r="C1635" s="0" t="inlineStr">
        <is>
          <t>Silicon</t>
        </is>
      </c>
      <c r="D1635" s="0" t="n">
        <v>2880</v>
      </c>
      <c r="E1635" s="0">
        <f>VLOOKUP(C1635,'Item Tier Lookup'!$A:$B,2,FALSE)</f>
        <v/>
      </c>
      <c r="F1635" s="0">
        <f>VLOOKUP(E1635,'Tier Params'!$A:$B,2,FALSE)</f>
        <v/>
      </c>
      <c r="G1635" s="0">
        <f>VLOOKUP(E1635,'Tier Params'!$A:$C,3,FALSE)</f>
        <v/>
      </c>
      <c r="H1635" s="0">
        <f>CEILING(D1635/G1635,1)</f>
        <v/>
      </c>
      <c r="I1635" s="0">
        <f>H1635*F1635</f>
        <v/>
      </c>
    </row>
    <row r="1636">
      <c r="A1636" s="0" t="inlineStr">
        <is>
          <t>'Reference sheet'!N1638</t>
        </is>
      </c>
      <c r="B1636" s="0" t="inlineStr">
        <is>
          <t>Structure Market Network</t>
        </is>
      </c>
      <c r="C1636" s="0" t="inlineStr">
        <is>
          <t>Felsic Magma</t>
        </is>
      </c>
      <c r="D1636" s="0" t="n">
        <v>432000</v>
      </c>
      <c r="E1636" s="0">
        <f>VLOOKUP(C1636,'Item Tier Lookup'!$A:$B,2,FALSE)</f>
        <v/>
      </c>
      <c r="F1636" s="0">
        <f>VLOOKUP(E1636,'Tier Params'!$A:$B,2,FALSE)</f>
        <v/>
      </c>
      <c r="G1636" s="0">
        <f>VLOOKUP(E1636,'Tier Params'!$A:$C,3,FALSE)</f>
        <v/>
      </c>
      <c r="H1636" s="0">
        <f>CEILING(D1636/G1636,1)</f>
        <v/>
      </c>
      <c r="I1636" s="0">
        <f>H1636*F1636</f>
        <v/>
      </c>
    </row>
    <row r="1637">
      <c r="A1637" s="0" t="inlineStr">
        <is>
          <t>'Reference sheet'!N1639</t>
        </is>
      </c>
      <c r="B1637" s="0" t="inlineStr">
        <is>
          <t>Structure Market Network</t>
        </is>
      </c>
      <c r="C1637" s="0" t="inlineStr">
        <is>
          <t>Industrial Fibers</t>
        </is>
      </c>
      <c r="D1637" s="0" t="n">
        <v>2880</v>
      </c>
      <c r="E1637" s="0">
        <f>VLOOKUP(C1637,'Item Tier Lookup'!$A:$B,2,FALSE)</f>
        <v/>
      </c>
      <c r="F1637" s="0">
        <f>VLOOKUP(E1637,'Tier Params'!$A:$B,2,FALSE)</f>
        <v/>
      </c>
      <c r="G1637" s="0">
        <f>VLOOKUP(E1637,'Tier Params'!$A:$C,3,FALSE)</f>
        <v/>
      </c>
      <c r="H1637" s="0">
        <f>CEILING(D1637/G1637,1)</f>
        <v/>
      </c>
      <c r="I1637" s="0">
        <f>H1637*F1637</f>
        <v/>
      </c>
    </row>
    <row r="1638">
      <c r="A1638" s="0" t="inlineStr">
        <is>
          <t>'Reference sheet'!N1640</t>
        </is>
      </c>
      <c r="B1638" s="0" t="inlineStr">
        <is>
          <t>Structure Market Network</t>
        </is>
      </c>
      <c r="C1638" s="0" t="inlineStr">
        <is>
          <t>Autotrophs</t>
        </is>
      </c>
      <c r="D1638" s="0" t="n">
        <v>432000</v>
      </c>
      <c r="E1638" s="0">
        <f>VLOOKUP(C1638,'Item Tier Lookup'!$A:$B,2,FALSE)</f>
        <v/>
      </c>
      <c r="F1638" s="0">
        <f>VLOOKUP(E1638,'Tier Params'!$A:$B,2,FALSE)</f>
        <v/>
      </c>
      <c r="G1638" s="0">
        <f>VLOOKUP(E1638,'Tier Params'!$A:$C,3,FALSE)</f>
        <v/>
      </c>
      <c r="H1638" s="0">
        <f>CEILING(D1638/G1638,1)</f>
        <v/>
      </c>
      <c r="I1638" s="0">
        <f>H1638*F1638</f>
        <v/>
      </c>
    </row>
    <row r="1639">
      <c r="A1639" s="0" t="inlineStr">
        <is>
          <t>'Reference sheet'!N1641</t>
        </is>
      </c>
      <c r="B1639" s="0" t="inlineStr">
        <is>
          <t>Structure Market Network</t>
        </is>
      </c>
      <c r="C1639" s="0" t="inlineStr">
        <is>
          <t>Camera Drones</t>
        </is>
      </c>
      <c r="D1639" s="0" t="n">
        <v>108</v>
      </c>
      <c r="E1639" s="0">
        <f>VLOOKUP(C1639,'Item Tier Lookup'!$A:$B,2,FALSE)</f>
        <v/>
      </c>
      <c r="F1639" s="0">
        <f>VLOOKUP(E1639,'Tier Params'!$A:$B,2,FALSE)</f>
        <v/>
      </c>
      <c r="G1639" s="0">
        <f>VLOOKUP(E1639,'Tier Params'!$A:$C,3,FALSE)</f>
        <v/>
      </c>
      <c r="H1639" s="0">
        <f>CEILING(D1639/G1639,1)</f>
        <v/>
      </c>
      <c r="I1639" s="0">
        <f>H1639*F1639</f>
        <v/>
      </c>
    </row>
    <row r="1640">
      <c r="A1640" s="0" t="inlineStr">
        <is>
          <t>'Reference sheet'!N1642</t>
        </is>
      </c>
      <c r="B1640" s="0" t="inlineStr">
        <is>
          <t>Structure Market Network</t>
        </is>
      </c>
      <c r="C1640" s="0" t="inlineStr">
        <is>
          <t>Rocket Fuel</t>
        </is>
      </c>
      <c r="D1640" s="0" t="n">
        <v>360</v>
      </c>
      <c r="E1640" s="0">
        <f>VLOOKUP(C1640,'Item Tier Lookup'!$A:$B,2,FALSE)</f>
        <v/>
      </c>
      <c r="F1640" s="0">
        <f>VLOOKUP(E1640,'Tier Params'!$A:$B,2,FALSE)</f>
        <v/>
      </c>
      <c r="G1640" s="0">
        <f>VLOOKUP(E1640,'Tier Params'!$A:$C,3,FALSE)</f>
        <v/>
      </c>
      <c r="H1640" s="0">
        <f>CEILING(D1640/G1640,1)</f>
        <v/>
      </c>
      <c r="I1640" s="0">
        <f>H1640*F1640</f>
        <v/>
      </c>
    </row>
    <row r="1641">
      <c r="A1641" s="0" t="inlineStr">
        <is>
          <t>'Reference sheet'!N1643</t>
        </is>
      </c>
      <c r="B1641" s="0" t="inlineStr">
        <is>
          <t>Structure Market Network</t>
        </is>
      </c>
      <c r="C1641" s="0" t="inlineStr">
        <is>
          <t>Electrolytes</t>
        </is>
      </c>
      <c r="D1641" s="0" t="n">
        <v>2880</v>
      </c>
      <c r="E1641" s="0">
        <f>VLOOKUP(C1641,'Item Tier Lookup'!$A:$B,2,FALSE)</f>
        <v/>
      </c>
      <c r="F1641" s="0">
        <f>VLOOKUP(E1641,'Tier Params'!$A:$B,2,FALSE)</f>
        <v/>
      </c>
      <c r="G1641" s="0">
        <f>VLOOKUP(E1641,'Tier Params'!$A:$C,3,FALSE)</f>
        <v/>
      </c>
      <c r="H1641" s="0">
        <f>CEILING(D1641/G1641,1)</f>
        <v/>
      </c>
      <c r="I1641" s="0">
        <f>H1641*F1641</f>
        <v/>
      </c>
    </row>
    <row r="1642">
      <c r="A1642" s="0" t="inlineStr">
        <is>
          <t>'Reference sheet'!N1644</t>
        </is>
      </c>
      <c r="B1642" s="0" t="inlineStr">
        <is>
          <t>Structure Market Network</t>
        </is>
      </c>
      <c r="C1642" s="0" t="inlineStr">
        <is>
          <t>Ionic Solutions</t>
        </is>
      </c>
      <c r="D1642" s="0" t="n">
        <v>432000</v>
      </c>
      <c r="E1642" s="0">
        <f>VLOOKUP(C1642,'Item Tier Lookup'!$A:$B,2,FALSE)</f>
        <v/>
      </c>
      <c r="F1642" s="0">
        <f>VLOOKUP(E1642,'Tier Params'!$A:$B,2,FALSE)</f>
        <v/>
      </c>
      <c r="G1642" s="0">
        <f>VLOOKUP(E1642,'Tier Params'!$A:$C,3,FALSE)</f>
        <v/>
      </c>
      <c r="H1642" s="0">
        <f>CEILING(D1642/G1642,1)</f>
        <v/>
      </c>
      <c r="I1642" s="0">
        <f>H1642*F1642</f>
        <v/>
      </c>
    </row>
    <row r="1643">
      <c r="A1643" s="0" t="inlineStr">
        <is>
          <t>'Reference sheet'!N1645</t>
        </is>
      </c>
      <c r="B1643" s="0" t="inlineStr">
        <is>
          <t>Structure Market Network</t>
        </is>
      </c>
      <c r="C1643" s="0" t="inlineStr">
        <is>
          <t>Plasmoids</t>
        </is>
      </c>
      <c r="D1643" s="0" t="n">
        <v>2880</v>
      </c>
      <c r="E1643" s="0">
        <f>VLOOKUP(C1643,'Item Tier Lookup'!$A:$B,2,FALSE)</f>
        <v/>
      </c>
      <c r="F1643" s="0">
        <f>VLOOKUP(E1643,'Tier Params'!$A:$B,2,FALSE)</f>
        <v/>
      </c>
      <c r="G1643" s="0">
        <f>VLOOKUP(E1643,'Tier Params'!$A:$C,3,FALSE)</f>
        <v/>
      </c>
      <c r="H1643" s="0">
        <f>CEILING(D1643/G1643,1)</f>
        <v/>
      </c>
      <c r="I1643" s="0">
        <f>H1643*F1643</f>
        <v/>
      </c>
    </row>
    <row r="1644">
      <c r="A1644" s="0" t="inlineStr">
        <is>
          <t>'Reference sheet'!N1646</t>
        </is>
      </c>
      <c r="B1644" s="0" t="inlineStr">
        <is>
          <t>Structure Market Network</t>
        </is>
      </c>
      <c r="C1644" s="0" t="inlineStr">
        <is>
          <t>Suspended Plasma</t>
        </is>
      </c>
      <c r="D1644" s="0" t="n">
        <v>432000</v>
      </c>
      <c r="E1644" s="0">
        <f>VLOOKUP(C1644,'Item Tier Lookup'!$A:$B,2,FALSE)</f>
        <v/>
      </c>
      <c r="F1644" s="0">
        <f>VLOOKUP(E1644,'Tier Params'!$A:$B,2,FALSE)</f>
        <v/>
      </c>
      <c r="G1644" s="0">
        <f>VLOOKUP(E1644,'Tier Params'!$A:$C,3,FALSE)</f>
        <v/>
      </c>
      <c r="H1644" s="0">
        <f>CEILING(D1644/G1644,1)</f>
        <v/>
      </c>
      <c r="I1644" s="0">
        <f>H1644*F1644</f>
        <v/>
      </c>
    </row>
    <row r="1645">
      <c r="A1645" s="0" t="inlineStr">
        <is>
          <t>'Reference sheet'!N1647</t>
        </is>
      </c>
      <c r="B1645" s="0" t="inlineStr">
        <is>
          <t>Structure Market Network</t>
        </is>
      </c>
      <c r="C1645" s="0" t="inlineStr">
        <is>
          <t>Silicate Glass</t>
        </is>
      </c>
      <c r="D1645" s="0" t="n">
        <v>360</v>
      </c>
      <c r="E1645" s="0">
        <f>VLOOKUP(C1645,'Item Tier Lookup'!$A:$B,2,FALSE)</f>
        <v/>
      </c>
      <c r="F1645" s="0">
        <f>VLOOKUP(E1645,'Tier Params'!$A:$B,2,FALSE)</f>
        <v/>
      </c>
      <c r="G1645" s="0">
        <f>VLOOKUP(E1645,'Tier Params'!$A:$C,3,FALSE)</f>
        <v/>
      </c>
      <c r="H1645" s="0">
        <f>CEILING(D1645/G1645,1)</f>
        <v/>
      </c>
      <c r="I1645" s="0">
        <f>H1645*F1645</f>
        <v/>
      </c>
    </row>
    <row r="1646">
      <c r="A1646" s="0" t="inlineStr">
        <is>
          <t>'Reference sheet'!N1648</t>
        </is>
      </c>
      <c r="B1646" s="0" t="inlineStr">
        <is>
          <t>Structure Market Network</t>
        </is>
      </c>
      <c r="C1646" s="0" t="inlineStr">
        <is>
          <t>Oxidizing Compound</t>
        </is>
      </c>
      <c r="D1646" s="0" t="n">
        <v>2880</v>
      </c>
      <c r="E1646" s="0">
        <f>VLOOKUP(C1646,'Item Tier Lookup'!$A:$B,2,FALSE)</f>
        <v/>
      </c>
      <c r="F1646" s="0">
        <f>VLOOKUP(E1646,'Tier Params'!$A:$B,2,FALSE)</f>
        <v/>
      </c>
      <c r="G1646" s="0">
        <f>VLOOKUP(E1646,'Tier Params'!$A:$C,3,FALSE)</f>
        <v/>
      </c>
      <c r="H1646" s="0">
        <f>CEILING(D1646/G1646,1)</f>
        <v/>
      </c>
      <c r="I1646" s="0">
        <f>H1646*F1646</f>
        <v/>
      </c>
    </row>
    <row r="1647">
      <c r="A1647" s="0" t="inlineStr">
        <is>
          <t>'Reference sheet'!N1649</t>
        </is>
      </c>
      <c r="B1647" s="0" t="inlineStr">
        <is>
          <t>Structure Market Network</t>
        </is>
      </c>
      <c r="C1647" s="0" t="inlineStr">
        <is>
          <t>Reactive Gas</t>
        </is>
      </c>
      <c r="D1647" s="0" t="n">
        <v>432000</v>
      </c>
      <c r="E1647" s="0">
        <f>VLOOKUP(C1647,'Item Tier Lookup'!$A:$B,2,FALSE)</f>
        <v/>
      </c>
      <c r="F1647" s="0">
        <f>VLOOKUP(E1647,'Tier Params'!$A:$B,2,FALSE)</f>
        <v/>
      </c>
      <c r="G1647" s="0">
        <f>VLOOKUP(E1647,'Tier Params'!$A:$C,3,FALSE)</f>
        <v/>
      </c>
      <c r="H1647" s="0">
        <f>CEILING(D1647/G1647,1)</f>
        <v/>
      </c>
      <c r="I1647" s="0">
        <f>H1647*F1647</f>
        <v/>
      </c>
    </row>
    <row r="1648">
      <c r="A1648" s="0" t="inlineStr">
        <is>
          <t>'Reference sheet'!N1650</t>
        </is>
      </c>
      <c r="B1648" s="0" t="inlineStr">
        <is>
          <t>Structure Market Network</t>
        </is>
      </c>
      <c r="C1648" s="0" t="inlineStr">
        <is>
          <t>Silicon</t>
        </is>
      </c>
      <c r="D1648" s="0" t="n">
        <v>2880</v>
      </c>
      <c r="E1648" s="0">
        <f>VLOOKUP(C1648,'Item Tier Lookup'!$A:$B,2,FALSE)</f>
        <v/>
      </c>
      <c r="F1648" s="0">
        <f>VLOOKUP(E1648,'Tier Params'!$A:$B,2,FALSE)</f>
        <v/>
      </c>
      <c r="G1648" s="0">
        <f>VLOOKUP(E1648,'Tier Params'!$A:$C,3,FALSE)</f>
        <v/>
      </c>
      <c r="H1648" s="0">
        <f>CEILING(D1648/G1648,1)</f>
        <v/>
      </c>
      <c r="I1648" s="0">
        <f>H1648*F1648</f>
        <v/>
      </c>
    </row>
    <row r="1649">
      <c r="A1649" s="0" t="inlineStr">
        <is>
          <t>'Reference sheet'!N1651</t>
        </is>
      </c>
      <c r="B1649" s="0" t="inlineStr">
        <is>
          <t>Structure Market Network</t>
        </is>
      </c>
      <c r="C1649" s="0" t="inlineStr">
        <is>
          <t>Felsic Magma</t>
        </is>
      </c>
      <c r="D1649" s="0" t="n">
        <v>432000</v>
      </c>
      <c r="E1649" s="0">
        <f>VLOOKUP(C1649,'Item Tier Lookup'!$A:$B,2,FALSE)</f>
        <v/>
      </c>
      <c r="F1649" s="0">
        <f>VLOOKUP(E1649,'Tier Params'!$A:$B,2,FALSE)</f>
        <v/>
      </c>
      <c r="G1649" s="0">
        <f>VLOOKUP(E1649,'Tier Params'!$A:$C,3,FALSE)</f>
        <v/>
      </c>
      <c r="H1649" s="0">
        <f>CEILING(D1649/G1649,1)</f>
        <v/>
      </c>
      <c r="I1649" s="0">
        <f>H1649*F1649</f>
        <v/>
      </c>
    </row>
    <row r="1650">
      <c r="A1650" s="0" t="inlineStr">
        <is>
          <t>'Reference sheet'!N1652</t>
        </is>
      </c>
      <c r="B1650" s="0" t="inlineStr">
        <is>
          <t>Structure Market Network</t>
        </is>
      </c>
      <c r="C1650" s="0" t="inlineStr">
        <is>
          <t>Hermetic Membranes</t>
        </is>
      </c>
      <c r="D1650" s="0" t="n">
        <v>108</v>
      </c>
      <c r="E1650" s="0">
        <f>VLOOKUP(C1650,'Item Tier Lookup'!$A:$B,2,FALSE)</f>
        <v/>
      </c>
      <c r="F1650" s="0">
        <f>VLOOKUP(E1650,'Tier Params'!$A:$B,2,FALSE)</f>
        <v/>
      </c>
      <c r="G1650" s="0">
        <f>VLOOKUP(E1650,'Tier Params'!$A:$C,3,FALSE)</f>
        <v/>
      </c>
      <c r="H1650" s="0">
        <f>CEILING(D1650/G1650,1)</f>
        <v/>
      </c>
      <c r="I1650" s="0">
        <f>H1650*F1650</f>
        <v/>
      </c>
    </row>
    <row r="1651">
      <c r="A1651" s="0" t="inlineStr">
        <is>
          <t>'Reference sheet'!N1653</t>
        </is>
      </c>
      <c r="B1651" s="0" t="inlineStr">
        <is>
          <t>Structure Market Network</t>
        </is>
      </c>
      <c r="C1651" s="0" t="inlineStr">
        <is>
          <t>Polyaramids</t>
        </is>
      </c>
      <c r="D1651" s="0" t="n">
        <v>360</v>
      </c>
      <c r="E1651" s="0">
        <f>VLOOKUP(C1651,'Item Tier Lookup'!$A:$B,2,FALSE)</f>
        <v/>
      </c>
      <c r="F1651" s="0">
        <f>VLOOKUP(E1651,'Tier Params'!$A:$B,2,FALSE)</f>
        <v/>
      </c>
      <c r="G1651" s="0">
        <f>VLOOKUP(E1651,'Tier Params'!$A:$C,3,FALSE)</f>
        <v/>
      </c>
      <c r="H1651" s="0">
        <f>CEILING(D1651/G1651,1)</f>
        <v/>
      </c>
      <c r="I1651" s="0">
        <f>H1651*F1651</f>
        <v/>
      </c>
    </row>
    <row r="1652">
      <c r="A1652" s="0" t="inlineStr">
        <is>
          <t>'Reference sheet'!N1654</t>
        </is>
      </c>
      <c r="B1652" s="0" t="inlineStr">
        <is>
          <t>Structure Market Network</t>
        </is>
      </c>
      <c r="C1652" s="0" t="inlineStr">
        <is>
          <t>Oxidizing Compound</t>
        </is>
      </c>
      <c r="D1652" s="0" t="n">
        <v>2880</v>
      </c>
      <c r="E1652" s="0">
        <f>VLOOKUP(C1652,'Item Tier Lookup'!$A:$B,2,FALSE)</f>
        <v/>
      </c>
      <c r="F1652" s="0">
        <f>VLOOKUP(E1652,'Tier Params'!$A:$B,2,FALSE)</f>
        <v/>
      </c>
      <c r="G1652" s="0">
        <f>VLOOKUP(E1652,'Tier Params'!$A:$C,3,FALSE)</f>
        <v/>
      </c>
      <c r="H1652" s="0">
        <f>CEILING(D1652/G1652,1)</f>
        <v/>
      </c>
      <c r="I1652" s="0">
        <f>H1652*F1652</f>
        <v/>
      </c>
    </row>
    <row r="1653">
      <c r="A1653" s="0" t="inlineStr">
        <is>
          <t>'Reference sheet'!N1655</t>
        </is>
      </c>
      <c r="B1653" s="0" t="inlineStr">
        <is>
          <t>Structure Market Network</t>
        </is>
      </c>
      <c r="C1653" s="0" t="inlineStr">
        <is>
          <t>Reactive Gas</t>
        </is>
      </c>
      <c r="D1653" s="0" t="n">
        <v>432000</v>
      </c>
      <c r="E1653" s="0">
        <f>VLOOKUP(C1653,'Item Tier Lookup'!$A:$B,2,FALSE)</f>
        <v/>
      </c>
      <c r="F1653" s="0">
        <f>VLOOKUP(E1653,'Tier Params'!$A:$B,2,FALSE)</f>
        <v/>
      </c>
      <c r="G1653" s="0">
        <f>VLOOKUP(E1653,'Tier Params'!$A:$C,3,FALSE)</f>
        <v/>
      </c>
      <c r="H1653" s="0">
        <f>CEILING(D1653/G1653,1)</f>
        <v/>
      </c>
      <c r="I1653" s="0">
        <f>H1653*F1653</f>
        <v/>
      </c>
    </row>
    <row r="1654">
      <c r="A1654" s="0" t="inlineStr">
        <is>
          <t>'Reference sheet'!N1656</t>
        </is>
      </c>
      <c r="B1654" s="0" t="inlineStr">
        <is>
          <t>Structure Market Network</t>
        </is>
      </c>
      <c r="C1654" s="0" t="inlineStr">
        <is>
          <t>Industrial Fibers</t>
        </is>
      </c>
      <c r="D1654" s="0" t="n">
        <v>2880</v>
      </c>
      <c r="E1654" s="0">
        <f>VLOOKUP(C1654,'Item Tier Lookup'!$A:$B,2,FALSE)</f>
        <v/>
      </c>
      <c r="F1654" s="0">
        <f>VLOOKUP(E1654,'Tier Params'!$A:$B,2,FALSE)</f>
        <v/>
      </c>
      <c r="G1654" s="0">
        <f>VLOOKUP(E1654,'Tier Params'!$A:$C,3,FALSE)</f>
        <v/>
      </c>
      <c r="H1654" s="0">
        <f>CEILING(D1654/G1654,1)</f>
        <v/>
      </c>
      <c r="I1654" s="0">
        <f>H1654*F1654</f>
        <v/>
      </c>
    </row>
    <row r="1655">
      <c r="A1655" s="0" t="inlineStr">
        <is>
          <t>'Reference sheet'!N1657</t>
        </is>
      </c>
      <c r="B1655" s="0" t="inlineStr">
        <is>
          <t>Structure Market Network</t>
        </is>
      </c>
      <c r="C1655" s="0" t="inlineStr">
        <is>
          <t>Autotrophs</t>
        </is>
      </c>
      <c r="D1655" s="0" t="n">
        <v>432000</v>
      </c>
      <c r="E1655" s="0">
        <f>VLOOKUP(C1655,'Item Tier Lookup'!$A:$B,2,FALSE)</f>
        <v/>
      </c>
      <c r="F1655" s="0">
        <f>VLOOKUP(E1655,'Tier Params'!$A:$B,2,FALSE)</f>
        <v/>
      </c>
      <c r="G1655" s="0">
        <f>VLOOKUP(E1655,'Tier Params'!$A:$C,3,FALSE)</f>
        <v/>
      </c>
      <c r="H1655" s="0">
        <f>CEILING(D1655/G1655,1)</f>
        <v/>
      </c>
      <c r="I1655" s="0">
        <f>H1655*F1655</f>
        <v/>
      </c>
    </row>
    <row r="1656">
      <c r="A1656" s="0" t="inlineStr">
        <is>
          <t>'Reference sheet'!N1658</t>
        </is>
      </c>
      <c r="B1656" s="0" t="inlineStr">
        <is>
          <t>Structure Market Network</t>
        </is>
      </c>
      <c r="C1656" s="0" t="inlineStr">
        <is>
          <t>Genetically Enhanced Livestock</t>
        </is>
      </c>
      <c r="D1656" s="0" t="n">
        <v>360</v>
      </c>
      <c r="E1656" s="0">
        <f>VLOOKUP(C1656,'Item Tier Lookup'!$A:$B,2,FALSE)</f>
        <v/>
      </c>
      <c r="F1656" s="0">
        <f>VLOOKUP(E1656,'Tier Params'!$A:$B,2,FALSE)</f>
        <v/>
      </c>
      <c r="G1656" s="0">
        <f>VLOOKUP(E1656,'Tier Params'!$A:$C,3,FALSE)</f>
        <v/>
      </c>
      <c r="H1656" s="0">
        <f>CEILING(D1656/G1656,1)</f>
        <v/>
      </c>
      <c r="I1656" s="0">
        <f>H1656*F1656</f>
        <v/>
      </c>
    </row>
    <row r="1657">
      <c r="A1657" s="0" t="inlineStr">
        <is>
          <t>'Reference sheet'!N1659</t>
        </is>
      </c>
      <c r="B1657" s="0" t="inlineStr">
        <is>
          <t>Structure Market Network</t>
        </is>
      </c>
      <c r="C1657" s="0" t="inlineStr">
        <is>
          <t>Proteins</t>
        </is>
      </c>
      <c r="D1657" s="0" t="n">
        <v>2880</v>
      </c>
      <c r="E1657" s="0">
        <f>VLOOKUP(C1657,'Item Tier Lookup'!$A:$B,2,FALSE)</f>
        <v/>
      </c>
      <c r="F1657" s="0">
        <f>VLOOKUP(E1657,'Tier Params'!$A:$B,2,FALSE)</f>
        <v/>
      </c>
      <c r="G1657" s="0">
        <f>VLOOKUP(E1657,'Tier Params'!$A:$C,3,FALSE)</f>
        <v/>
      </c>
      <c r="H1657" s="0">
        <f>CEILING(D1657/G1657,1)</f>
        <v/>
      </c>
      <c r="I1657" s="0">
        <f>H1657*F1657</f>
        <v/>
      </c>
    </row>
    <row r="1658">
      <c r="A1658" s="0" t="inlineStr">
        <is>
          <t>'Reference sheet'!N1660</t>
        </is>
      </c>
      <c r="B1658" s="0" t="inlineStr">
        <is>
          <t>Structure Market Network</t>
        </is>
      </c>
      <c r="C1658" s="0" t="inlineStr">
        <is>
          <t>Complex Organisms</t>
        </is>
      </c>
      <c r="D1658" s="0" t="n">
        <v>432000</v>
      </c>
      <c r="E1658" s="0">
        <f>VLOOKUP(C1658,'Item Tier Lookup'!$A:$B,2,FALSE)</f>
        <v/>
      </c>
      <c r="F1658" s="0">
        <f>VLOOKUP(E1658,'Tier Params'!$A:$B,2,FALSE)</f>
        <v/>
      </c>
      <c r="G1658" s="0">
        <f>VLOOKUP(E1658,'Tier Params'!$A:$C,3,FALSE)</f>
        <v/>
      </c>
      <c r="H1658" s="0">
        <f>CEILING(D1658/G1658,1)</f>
        <v/>
      </c>
      <c r="I1658" s="0">
        <f>H1658*F1658</f>
        <v/>
      </c>
    </row>
    <row r="1659">
      <c r="A1659" s="0" t="inlineStr">
        <is>
          <t>'Reference sheet'!N1661</t>
        </is>
      </c>
      <c r="B1659" s="0" t="inlineStr">
        <is>
          <t>Structure Market Network</t>
        </is>
      </c>
      <c r="C1659" s="0" t="inlineStr">
        <is>
          <t>Biomass</t>
        </is>
      </c>
      <c r="D1659" s="0" t="n">
        <v>2880</v>
      </c>
      <c r="E1659" s="0">
        <f>VLOOKUP(C1659,'Item Tier Lookup'!$A:$B,2,FALSE)</f>
        <v/>
      </c>
      <c r="F1659" s="0">
        <f>VLOOKUP(E1659,'Tier Params'!$A:$B,2,FALSE)</f>
        <v/>
      </c>
      <c r="G1659" s="0">
        <f>VLOOKUP(E1659,'Tier Params'!$A:$C,3,FALSE)</f>
        <v/>
      </c>
      <c r="H1659" s="0">
        <f>CEILING(D1659/G1659,1)</f>
        <v/>
      </c>
      <c r="I1659" s="0">
        <f>H1659*F1659</f>
        <v/>
      </c>
    </row>
    <row r="1660">
      <c r="A1660" s="0" t="inlineStr">
        <is>
          <t>'Reference sheet'!N1662</t>
        </is>
      </c>
      <c r="B1660" s="0" t="inlineStr">
        <is>
          <t>Structure Market Network</t>
        </is>
      </c>
      <c r="C1660" s="0" t="inlineStr">
        <is>
          <t>Planktic Colonies</t>
        </is>
      </c>
      <c r="D1660" s="0" t="n">
        <v>432000</v>
      </c>
      <c r="E1660" s="0">
        <f>VLOOKUP(C1660,'Item Tier Lookup'!$A:$B,2,FALSE)</f>
        <v/>
      </c>
      <c r="F1660" s="0">
        <f>VLOOKUP(E1660,'Tier Params'!$A:$B,2,FALSE)</f>
        <v/>
      </c>
      <c r="G1660" s="0">
        <f>VLOOKUP(E1660,'Tier Params'!$A:$C,3,FALSE)</f>
        <v/>
      </c>
      <c r="H1660" s="0">
        <f>CEILING(D1660/G1660,1)</f>
        <v/>
      </c>
      <c r="I1660" s="0">
        <f>H1660*F1660</f>
        <v/>
      </c>
    </row>
    <row r="1661">
      <c r="A1661" s="0" t="inlineStr">
        <is>
          <t>'Reference sheet'!N1663</t>
        </is>
      </c>
      <c r="B1661" s="0" t="inlineStr">
        <is>
          <t>Structure Market Network</t>
        </is>
      </c>
      <c r="C1661" s="0" t="inlineStr">
        <is>
          <t>Sterile Conduits</t>
        </is>
      </c>
      <c r="D1661" s="0" t="n">
        <v>54</v>
      </c>
      <c r="E1661" s="0">
        <f>VLOOKUP(C1661,'Item Tier Lookup'!$A:$B,2,FALSE)</f>
        <v/>
      </c>
      <c r="F1661" s="0">
        <f>VLOOKUP(E1661,'Tier Params'!$A:$B,2,FALSE)</f>
        <v/>
      </c>
      <c r="G1661" s="0">
        <f>VLOOKUP(E1661,'Tier Params'!$A:$C,3,FALSE)</f>
        <v/>
      </c>
      <c r="H1661" s="0">
        <f>CEILING(D1661/G1661,1)</f>
        <v/>
      </c>
      <c r="I1661" s="0">
        <f>H1661*F1661</f>
        <v/>
      </c>
    </row>
    <row r="1662">
      <c r="A1662" s="0" t="inlineStr">
        <is>
          <t>'Reference sheet'!N1664</t>
        </is>
      </c>
      <c r="B1662" s="0" t="inlineStr">
        <is>
          <t>Structure Market Network</t>
        </is>
      </c>
      <c r="C1662" s="0" t="inlineStr">
        <is>
          <t>Water</t>
        </is>
      </c>
      <c r="D1662" s="0" t="n">
        <v>2160</v>
      </c>
      <c r="E1662" s="0">
        <f>VLOOKUP(C1662,'Item Tier Lookup'!$A:$B,2,FALSE)</f>
        <v/>
      </c>
      <c r="F1662" s="0">
        <f>VLOOKUP(E1662,'Tier Params'!$A:$B,2,FALSE)</f>
        <v/>
      </c>
      <c r="G1662" s="0">
        <f>VLOOKUP(E1662,'Tier Params'!$A:$C,3,FALSE)</f>
        <v/>
      </c>
      <c r="H1662" s="0">
        <f>CEILING(D1662/G1662,1)</f>
        <v/>
      </c>
      <c r="I1662" s="0">
        <f>H1662*F1662</f>
        <v/>
      </c>
    </row>
    <row r="1663">
      <c r="A1663" s="0" t="inlineStr">
        <is>
          <t>'Reference sheet'!N1665</t>
        </is>
      </c>
      <c r="B1663" s="0" t="inlineStr">
        <is>
          <t>Structure Market Network</t>
        </is>
      </c>
      <c r="C1663" s="0" t="inlineStr">
        <is>
          <t>Aqueous Liquids</t>
        </is>
      </c>
      <c r="D1663" s="0" t="n">
        <v>324000</v>
      </c>
      <c r="E1663" s="0">
        <f>VLOOKUP(C1663,'Item Tier Lookup'!$A:$B,2,FALSE)</f>
        <v/>
      </c>
      <c r="F1663" s="0">
        <f>VLOOKUP(E1663,'Tier Params'!$A:$B,2,FALSE)</f>
        <v/>
      </c>
      <c r="G1663" s="0">
        <f>VLOOKUP(E1663,'Tier Params'!$A:$C,3,FALSE)</f>
        <v/>
      </c>
      <c r="H1663" s="0">
        <f>CEILING(D1663/G1663,1)</f>
        <v/>
      </c>
      <c r="I1663" s="0">
        <f>H1663*F1663</f>
        <v/>
      </c>
    </row>
    <row r="1664">
      <c r="A1664" s="0" t="inlineStr">
        <is>
          <t>'Reference sheet'!N1666</t>
        </is>
      </c>
      <c r="B1664" s="0" t="inlineStr">
        <is>
          <t>Structure Market Network</t>
        </is>
      </c>
      <c r="C1664" s="0" t="inlineStr">
        <is>
          <t>Vaccines</t>
        </is>
      </c>
      <c r="D1664" s="0" t="n">
        <v>324</v>
      </c>
      <c r="E1664" s="0">
        <f>VLOOKUP(C1664,'Item Tier Lookup'!$A:$B,2,FALSE)</f>
        <v/>
      </c>
      <c r="F1664" s="0">
        <f>VLOOKUP(E1664,'Tier Params'!$A:$B,2,FALSE)</f>
        <v/>
      </c>
      <c r="G1664" s="0">
        <f>VLOOKUP(E1664,'Tier Params'!$A:$C,3,FALSE)</f>
        <v/>
      </c>
      <c r="H1664" s="0">
        <f>CEILING(D1664/G1664,1)</f>
        <v/>
      </c>
      <c r="I1664" s="0">
        <f>H1664*F1664</f>
        <v/>
      </c>
    </row>
    <row r="1665">
      <c r="A1665" s="0" t="inlineStr">
        <is>
          <t>'Reference sheet'!N1667</t>
        </is>
      </c>
      <c r="B1665" s="0" t="inlineStr">
        <is>
          <t>Structure Market Network</t>
        </is>
      </c>
      <c r="C1665" s="0" t="inlineStr">
        <is>
          <t>Livestock</t>
        </is>
      </c>
      <c r="D1665" s="0" t="n">
        <v>1080</v>
      </c>
      <c r="E1665" s="0">
        <f>VLOOKUP(C1665,'Item Tier Lookup'!$A:$B,2,FALSE)</f>
        <v/>
      </c>
      <c r="F1665" s="0">
        <f>VLOOKUP(E1665,'Tier Params'!$A:$B,2,FALSE)</f>
        <v/>
      </c>
      <c r="G1665" s="0">
        <f>VLOOKUP(E1665,'Tier Params'!$A:$C,3,FALSE)</f>
        <v/>
      </c>
      <c r="H1665" s="0">
        <f>CEILING(D1665/G1665,1)</f>
        <v/>
      </c>
      <c r="I1665" s="0">
        <f>H1665*F1665</f>
        <v/>
      </c>
    </row>
    <row r="1666">
      <c r="A1666" s="0" t="inlineStr">
        <is>
          <t>'Reference sheet'!N1668</t>
        </is>
      </c>
      <c r="B1666" s="0" t="inlineStr">
        <is>
          <t>Structure Market Network</t>
        </is>
      </c>
      <c r="C1666" s="0" t="inlineStr">
        <is>
          <t>Proteins</t>
        </is>
      </c>
      <c r="D1666" s="0" t="n">
        <v>8640</v>
      </c>
      <c r="E1666" s="0">
        <f>VLOOKUP(C1666,'Item Tier Lookup'!$A:$B,2,FALSE)</f>
        <v/>
      </c>
      <c r="F1666" s="0">
        <f>VLOOKUP(E1666,'Tier Params'!$A:$B,2,FALSE)</f>
        <v/>
      </c>
      <c r="G1666" s="0">
        <f>VLOOKUP(E1666,'Tier Params'!$A:$C,3,FALSE)</f>
        <v/>
      </c>
      <c r="H1666" s="0">
        <f>CEILING(D1666/G1666,1)</f>
        <v/>
      </c>
      <c r="I1666" s="0">
        <f>H1666*F1666</f>
        <v/>
      </c>
    </row>
    <row r="1667">
      <c r="A1667" s="0" t="inlineStr">
        <is>
          <t>'Reference sheet'!N1669</t>
        </is>
      </c>
      <c r="B1667" s="0" t="inlineStr">
        <is>
          <t>Structure Market Network</t>
        </is>
      </c>
      <c r="C1667" s="0" t="inlineStr">
        <is>
          <t>Complex Organisms</t>
        </is>
      </c>
      <c r="D1667" s="0" t="n">
        <v>1296000</v>
      </c>
      <c r="E1667" s="0">
        <f>VLOOKUP(C1667,'Item Tier Lookup'!$A:$B,2,FALSE)</f>
        <v/>
      </c>
      <c r="F1667" s="0">
        <f>VLOOKUP(E1667,'Tier Params'!$A:$B,2,FALSE)</f>
        <v/>
      </c>
      <c r="G1667" s="0">
        <f>VLOOKUP(E1667,'Tier Params'!$A:$C,3,FALSE)</f>
        <v/>
      </c>
      <c r="H1667" s="0">
        <f>CEILING(D1667/G1667,1)</f>
        <v/>
      </c>
      <c r="I1667" s="0">
        <f>H1667*F1667</f>
        <v/>
      </c>
    </row>
    <row r="1668">
      <c r="A1668" s="0" t="inlineStr">
        <is>
          <t>'Reference sheet'!N1670</t>
        </is>
      </c>
      <c r="B1668" s="0" t="inlineStr">
        <is>
          <t>Structure Market Network</t>
        </is>
      </c>
      <c r="C1668" s="0" t="inlineStr">
        <is>
          <t>Biofuels</t>
        </is>
      </c>
      <c r="D1668" s="0" t="n">
        <v>8640</v>
      </c>
      <c r="E1668" s="0">
        <f>VLOOKUP(C1668,'Item Tier Lookup'!$A:$B,2,FALSE)</f>
        <v/>
      </c>
      <c r="F1668" s="0">
        <f>VLOOKUP(E1668,'Tier Params'!$A:$B,2,FALSE)</f>
        <v/>
      </c>
      <c r="G1668" s="0">
        <f>VLOOKUP(E1668,'Tier Params'!$A:$C,3,FALSE)</f>
        <v/>
      </c>
      <c r="H1668" s="0">
        <f>CEILING(D1668/G1668,1)</f>
        <v/>
      </c>
      <c r="I1668" s="0">
        <f>H1668*F1668</f>
        <v/>
      </c>
    </row>
    <row r="1669">
      <c r="A1669" s="0" t="inlineStr">
        <is>
          <t>'Reference sheet'!N1671</t>
        </is>
      </c>
      <c r="B1669" s="0" t="inlineStr">
        <is>
          <t>Structure Market Network</t>
        </is>
      </c>
      <c r="C1669" s="0" t="inlineStr">
        <is>
          <t>Carbon Compounds</t>
        </is>
      </c>
      <c r="D1669" s="0" t="n">
        <v>1296000</v>
      </c>
      <c r="E1669" s="0">
        <f>VLOOKUP(C1669,'Item Tier Lookup'!$A:$B,2,FALSE)</f>
        <v/>
      </c>
      <c r="F1669" s="0">
        <f>VLOOKUP(E1669,'Tier Params'!$A:$B,2,FALSE)</f>
        <v/>
      </c>
      <c r="G1669" s="0">
        <f>VLOOKUP(E1669,'Tier Params'!$A:$C,3,FALSE)</f>
        <v/>
      </c>
      <c r="H1669" s="0">
        <f>CEILING(D1669/G1669,1)</f>
        <v/>
      </c>
      <c r="I1669" s="0">
        <f>H1669*F1669</f>
        <v/>
      </c>
    </row>
    <row r="1670">
      <c r="A1670" s="0" t="inlineStr">
        <is>
          <t>'Reference sheet'!N1672</t>
        </is>
      </c>
      <c r="B1670" s="0" t="inlineStr">
        <is>
          <t>Structure Market Network</t>
        </is>
      </c>
      <c r="C1670" s="0" t="inlineStr">
        <is>
          <t>Viral Agent</t>
        </is>
      </c>
      <c r="D1670" s="0" t="n">
        <v>1080</v>
      </c>
      <c r="E1670" s="0">
        <f>VLOOKUP(C1670,'Item Tier Lookup'!$A:$B,2,FALSE)</f>
        <v/>
      </c>
      <c r="F1670" s="0">
        <f>VLOOKUP(E1670,'Tier Params'!$A:$B,2,FALSE)</f>
        <v/>
      </c>
      <c r="G1670" s="0">
        <f>VLOOKUP(E1670,'Tier Params'!$A:$C,3,FALSE)</f>
        <v/>
      </c>
      <c r="H1670" s="0">
        <f>CEILING(D1670/G1670,1)</f>
        <v/>
      </c>
      <c r="I1670" s="0">
        <f>H1670*F1670</f>
        <v/>
      </c>
    </row>
    <row r="1671">
      <c r="A1671" s="0" t="inlineStr">
        <is>
          <t>'Reference sheet'!N1673</t>
        </is>
      </c>
      <c r="B1671" s="0" t="inlineStr">
        <is>
          <t>Structure Market Network</t>
        </is>
      </c>
      <c r="C1671" s="0" t="inlineStr">
        <is>
          <t>Bacteria</t>
        </is>
      </c>
      <c r="D1671" s="0" t="n">
        <v>8640</v>
      </c>
      <c r="E1671" s="0">
        <f>VLOOKUP(C1671,'Item Tier Lookup'!$A:$B,2,FALSE)</f>
        <v/>
      </c>
      <c r="F1671" s="0">
        <f>VLOOKUP(E1671,'Tier Params'!$A:$B,2,FALSE)</f>
        <v/>
      </c>
      <c r="G1671" s="0">
        <f>VLOOKUP(E1671,'Tier Params'!$A:$C,3,FALSE)</f>
        <v/>
      </c>
      <c r="H1671" s="0">
        <f>CEILING(D1671/G1671,1)</f>
        <v/>
      </c>
      <c r="I1671" s="0">
        <f>H1671*F1671</f>
        <v/>
      </c>
    </row>
    <row r="1672">
      <c r="A1672" s="0" t="inlineStr">
        <is>
          <t>'Reference sheet'!N1674</t>
        </is>
      </c>
      <c r="B1672" s="0" t="inlineStr">
        <is>
          <t>Structure Market Network</t>
        </is>
      </c>
      <c r="C1672" s="0" t="inlineStr">
        <is>
          <t>Microorganisms</t>
        </is>
      </c>
      <c r="D1672" s="0" t="n">
        <v>1296000</v>
      </c>
      <c r="E1672" s="0">
        <f>VLOOKUP(C1672,'Item Tier Lookup'!$A:$B,2,FALSE)</f>
        <v/>
      </c>
      <c r="F1672" s="0">
        <f>VLOOKUP(E1672,'Tier Params'!$A:$B,2,FALSE)</f>
        <v/>
      </c>
      <c r="G1672" s="0">
        <f>VLOOKUP(E1672,'Tier Params'!$A:$C,3,FALSE)</f>
        <v/>
      </c>
      <c r="H1672" s="0">
        <f>CEILING(D1672/G1672,1)</f>
        <v/>
      </c>
      <c r="I1672" s="0">
        <f>H1672*F1672</f>
        <v/>
      </c>
    </row>
    <row r="1673">
      <c r="A1673" s="0" t="inlineStr">
        <is>
          <t>'Reference sheet'!N1675</t>
        </is>
      </c>
      <c r="B1673" s="0" t="inlineStr">
        <is>
          <t>Structure Market Network</t>
        </is>
      </c>
      <c r="C1673" s="0" t="inlineStr">
        <is>
          <t>Biomass</t>
        </is>
      </c>
      <c r="D1673" s="0" t="n">
        <v>8640</v>
      </c>
      <c r="E1673" s="0">
        <f>VLOOKUP(C1673,'Item Tier Lookup'!$A:$B,2,FALSE)</f>
        <v/>
      </c>
      <c r="F1673" s="0">
        <f>VLOOKUP(E1673,'Tier Params'!$A:$B,2,FALSE)</f>
        <v/>
      </c>
      <c r="G1673" s="0">
        <f>VLOOKUP(E1673,'Tier Params'!$A:$C,3,FALSE)</f>
        <v/>
      </c>
      <c r="H1673" s="0">
        <f>CEILING(D1673/G1673,1)</f>
        <v/>
      </c>
      <c r="I1673" s="0">
        <f>H1673*F1673</f>
        <v/>
      </c>
    </row>
    <row r="1674">
      <c r="A1674" s="0" t="inlineStr">
        <is>
          <t>'Reference sheet'!N1676</t>
        </is>
      </c>
      <c r="B1674" s="0" t="inlineStr">
        <is>
          <t>Structure Market Network</t>
        </is>
      </c>
      <c r="C1674" s="0" t="inlineStr">
        <is>
          <t>Planktic Colonies</t>
        </is>
      </c>
      <c r="D1674" s="0" t="n">
        <v>1296000</v>
      </c>
      <c r="E1674" s="0">
        <f>VLOOKUP(C1674,'Item Tier Lookup'!$A:$B,2,FALSE)</f>
        <v/>
      </c>
      <c r="F1674" s="0">
        <f>VLOOKUP(E1674,'Tier Params'!$A:$B,2,FALSE)</f>
        <v/>
      </c>
      <c r="G1674" s="0">
        <f>VLOOKUP(E1674,'Tier Params'!$A:$C,3,FALSE)</f>
        <v/>
      </c>
      <c r="H1674" s="0">
        <f>CEILING(D1674/G1674,1)</f>
        <v/>
      </c>
      <c r="I1674" s="0">
        <f>H1674*F1674</f>
        <v/>
      </c>
    </row>
    <row r="1675">
      <c r="A1675" s="0" t="inlineStr">
        <is>
          <t>'Reference sheet'!N1677</t>
        </is>
      </c>
      <c r="B1675" s="0" t="inlineStr">
        <is>
          <t>Structure Market Network</t>
        </is>
      </c>
      <c r="C1675" s="0" t="inlineStr">
        <is>
          <t>Smartfab Units</t>
        </is>
      </c>
      <c r="D1675" s="0" t="n">
        <v>324</v>
      </c>
      <c r="E1675" s="0">
        <f>VLOOKUP(C1675,'Item Tier Lookup'!$A:$B,2,FALSE)</f>
        <v/>
      </c>
      <c r="F1675" s="0">
        <f>VLOOKUP(E1675,'Tier Params'!$A:$B,2,FALSE)</f>
        <v/>
      </c>
      <c r="G1675" s="0">
        <f>VLOOKUP(E1675,'Tier Params'!$A:$C,3,FALSE)</f>
        <v/>
      </c>
      <c r="H1675" s="0">
        <f>CEILING(D1675/G1675,1)</f>
        <v/>
      </c>
      <c r="I1675" s="0">
        <f>H1675*F1675</f>
        <v/>
      </c>
    </row>
    <row r="1676">
      <c r="A1676" s="0" t="inlineStr">
        <is>
          <t>'Reference sheet'!N1678</t>
        </is>
      </c>
      <c r="B1676" s="0" t="inlineStr">
        <is>
          <t>Structure Market Network</t>
        </is>
      </c>
      <c r="C1676" s="0" t="inlineStr">
        <is>
          <t>Miniature Electronics</t>
        </is>
      </c>
      <c r="D1676" s="0" t="n">
        <v>1080</v>
      </c>
      <c r="E1676" s="0">
        <f>VLOOKUP(C1676,'Item Tier Lookup'!$A:$B,2,FALSE)</f>
        <v/>
      </c>
      <c r="F1676" s="0">
        <f>VLOOKUP(E1676,'Tier Params'!$A:$B,2,FALSE)</f>
        <v/>
      </c>
      <c r="G1676" s="0">
        <f>VLOOKUP(E1676,'Tier Params'!$A:$C,3,FALSE)</f>
        <v/>
      </c>
      <c r="H1676" s="0">
        <f>CEILING(D1676/G1676,1)</f>
        <v/>
      </c>
      <c r="I1676" s="0">
        <f>H1676*F1676</f>
        <v/>
      </c>
    </row>
    <row r="1677">
      <c r="A1677" s="0" t="inlineStr">
        <is>
          <t>'Reference sheet'!N1679</t>
        </is>
      </c>
      <c r="B1677" s="0" t="inlineStr">
        <is>
          <t>Structure Market Network</t>
        </is>
      </c>
      <c r="C1677" s="0" t="inlineStr">
        <is>
          <t>Chiral Structures</t>
        </is>
      </c>
      <c r="D1677" s="0" t="n">
        <v>8640</v>
      </c>
      <c r="E1677" s="0">
        <f>VLOOKUP(C1677,'Item Tier Lookup'!$A:$B,2,FALSE)</f>
        <v/>
      </c>
      <c r="F1677" s="0">
        <f>VLOOKUP(E1677,'Tier Params'!$A:$B,2,FALSE)</f>
        <v/>
      </c>
      <c r="G1677" s="0">
        <f>VLOOKUP(E1677,'Tier Params'!$A:$C,3,FALSE)</f>
        <v/>
      </c>
      <c r="H1677" s="0">
        <f>CEILING(D1677/G1677,1)</f>
        <v/>
      </c>
      <c r="I1677" s="0">
        <f>H1677*F1677</f>
        <v/>
      </c>
    </row>
    <row r="1678">
      <c r="A1678" s="0" t="inlineStr">
        <is>
          <t>'Reference sheet'!N1680</t>
        </is>
      </c>
      <c r="B1678" s="0" t="inlineStr">
        <is>
          <t>Structure Market Network</t>
        </is>
      </c>
      <c r="C1678" s="0" t="inlineStr">
        <is>
          <t>Non-CS Crystals</t>
        </is>
      </c>
      <c r="D1678" s="0" t="n">
        <v>1296000</v>
      </c>
      <c r="E1678" s="0">
        <f>VLOOKUP(C1678,'Item Tier Lookup'!$A:$B,2,FALSE)</f>
        <v/>
      </c>
      <c r="F1678" s="0">
        <f>VLOOKUP(E1678,'Tier Params'!$A:$B,2,FALSE)</f>
        <v/>
      </c>
      <c r="G1678" s="0">
        <f>VLOOKUP(E1678,'Tier Params'!$A:$C,3,FALSE)</f>
        <v/>
      </c>
      <c r="H1678" s="0">
        <f>CEILING(D1678/G1678,1)</f>
        <v/>
      </c>
      <c r="I1678" s="0">
        <f>H1678*F1678</f>
        <v/>
      </c>
    </row>
    <row r="1679">
      <c r="A1679" s="0" t="inlineStr">
        <is>
          <t>'Reference sheet'!N1681</t>
        </is>
      </c>
      <c r="B1679" s="0" t="inlineStr">
        <is>
          <t>Structure Market Network</t>
        </is>
      </c>
      <c r="C1679" s="0" t="inlineStr">
        <is>
          <t>Silicon</t>
        </is>
      </c>
      <c r="D1679" s="0" t="n">
        <v>8640</v>
      </c>
      <c r="E1679" s="0">
        <f>VLOOKUP(C1679,'Item Tier Lookup'!$A:$B,2,FALSE)</f>
        <v/>
      </c>
      <c r="F1679" s="0">
        <f>VLOOKUP(E1679,'Tier Params'!$A:$B,2,FALSE)</f>
        <v/>
      </c>
      <c r="G1679" s="0">
        <f>VLOOKUP(E1679,'Tier Params'!$A:$C,3,FALSE)</f>
        <v/>
      </c>
      <c r="H1679" s="0">
        <f>CEILING(D1679/G1679,1)</f>
        <v/>
      </c>
      <c r="I1679" s="0">
        <f>H1679*F1679</f>
        <v/>
      </c>
    </row>
    <row r="1680">
      <c r="A1680" s="0" t="inlineStr">
        <is>
          <t>'Reference sheet'!N1682</t>
        </is>
      </c>
      <c r="B1680" s="0" t="inlineStr">
        <is>
          <t>Structure Market Network</t>
        </is>
      </c>
      <c r="C1680" s="0" t="inlineStr">
        <is>
          <t>Felsic Magma</t>
        </is>
      </c>
      <c r="D1680" s="0" t="n">
        <v>1296000</v>
      </c>
      <c r="E1680" s="0">
        <f>VLOOKUP(C1680,'Item Tier Lookup'!$A:$B,2,FALSE)</f>
        <v/>
      </c>
      <c r="F1680" s="0">
        <f>VLOOKUP(E1680,'Tier Params'!$A:$B,2,FALSE)</f>
        <v/>
      </c>
      <c r="G1680" s="0">
        <f>VLOOKUP(E1680,'Tier Params'!$A:$C,3,FALSE)</f>
        <v/>
      </c>
      <c r="H1680" s="0">
        <f>CEILING(D1680/G1680,1)</f>
        <v/>
      </c>
      <c r="I1680" s="0">
        <f>H1680*F1680</f>
        <v/>
      </c>
    </row>
    <row r="1681">
      <c r="A1681" s="0" t="inlineStr">
        <is>
          <t>'Reference sheet'!N1683</t>
        </is>
      </c>
      <c r="B1681" s="0" t="inlineStr">
        <is>
          <t>Structure Market Network</t>
        </is>
      </c>
      <c r="C1681" s="0" t="inlineStr">
        <is>
          <t>Construction Blocks</t>
        </is>
      </c>
      <c r="D1681" s="0" t="n">
        <v>1080</v>
      </c>
      <c r="E1681" s="0">
        <f>VLOOKUP(C1681,'Item Tier Lookup'!$A:$B,2,FALSE)</f>
        <v/>
      </c>
      <c r="F1681" s="0">
        <f>VLOOKUP(E1681,'Tier Params'!$A:$B,2,FALSE)</f>
        <v/>
      </c>
      <c r="G1681" s="0">
        <f>VLOOKUP(E1681,'Tier Params'!$A:$C,3,FALSE)</f>
        <v/>
      </c>
      <c r="H1681" s="0">
        <f>CEILING(D1681/G1681,1)</f>
        <v/>
      </c>
      <c r="I1681" s="0">
        <f>H1681*F1681</f>
        <v/>
      </c>
    </row>
    <row r="1682">
      <c r="A1682" s="0" t="inlineStr">
        <is>
          <t>'Reference sheet'!N1684</t>
        </is>
      </c>
      <c r="B1682" s="0" t="inlineStr">
        <is>
          <t>Structure Market Network</t>
        </is>
      </c>
      <c r="C1682" s="0" t="inlineStr">
        <is>
          <t>Toxic Metals</t>
        </is>
      </c>
      <c r="D1682" s="0" t="n">
        <v>8640</v>
      </c>
      <c r="E1682" s="0">
        <f>VLOOKUP(C1682,'Item Tier Lookup'!$A:$B,2,FALSE)</f>
        <v/>
      </c>
      <c r="F1682" s="0">
        <f>VLOOKUP(E1682,'Tier Params'!$A:$B,2,FALSE)</f>
        <v/>
      </c>
      <c r="G1682" s="0">
        <f>VLOOKUP(E1682,'Tier Params'!$A:$C,3,FALSE)</f>
        <v/>
      </c>
      <c r="H1682" s="0">
        <f>CEILING(D1682/G1682,1)</f>
        <v/>
      </c>
      <c r="I1682" s="0">
        <f>H1682*F1682</f>
        <v/>
      </c>
    </row>
    <row r="1683">
      <c r="A1683" s="0" t="inlineStr">
        <is>
          <t>'Reference sheet'!N1685</t>
        </is>
      </c>
      <c r="B1683" s="0" t="inlineStr">
        <is>
          <t>Structure Market Network</t>
        </is>
      </c>
      <c r="C1683" s="0" t="inlineStr">
        <is>
          <t>Heavy Metals</t>
        </is>
      </c>
      <c r="D1683" s="0" t="n">
        <v>1296000</v>
      </c>
      <c r="E1683" s="0">
        <f>VLOOKUP(C1683,'Item Tier Lookup'!$A:$B,2,FALSE)</f>
        <v/>
      </c>
      <c r="F1683" s="0">
        <f>VLOOKUP(E1683,'Tier Params'!$A:$B,2,FALSE)</f>
        <v/>
      </c>
      <c r="G1683" s="0">
        <f>VLOOKUP(E1683,'Tier Params'!$A:$C,3,FALSE)</f>
        <v/>
      </c>
      <c r="H1683" s="0">
        <f>CEILING(D1683/G1683,1)</f>
        <v/>
      </c>
      <c r="I1683" s="0">
        <f>H1683*F1683</f>
        <v/>
      </c>
    </row>
    <row r="1684">
      <c r="A1684" s="0" t="inlineStr">
        <is>
          <t>'Reference sheet'!N1686</t>
        </is>
      </c>
      <c r="B1684" s="0" t="inlineStr">
        <is>
          <t>Structure Market Network</t>
        </is>
      </c>
      <c r="C1684" s="0" t="inlineStr">
        <is>
          <t>Reactive Metals</t>
        </is>
      </c>
      <c r="D1684" s="0" t="n">
        <v>8640</v>
      </c>
      <c r="E1684" s="0">
        <f>VLOOKUP(C1684,'Item Tier Lookup'!$A:$B,2,FALSE)</f>
        <v/>
      </c>
      <c r="F1684" s="0">
        <f>VLOOKUP(E1684,'Tier Params'!$A:$B,2,FALSE)</f>
        <v/>
      </c>
      <c r="G1684" s="0">
        <f>VLOOKUP(E1684,'Tier Params'!$A:$C,3,FALSE)</f>
        <v/>
      </c>
      <c r="H1684" s="0">
        <f>CEILING(D1684/G1684,1)</f>
        <v/>
      </c>
      <c r="I1684" s="0">
        <f>H1684*F1684</f>
        <v/>
      </c>
    </row>
    <row r="1685">
      <c r="A1685" s="0" t="inlineStr">
        <is>
          <t>'Reference sheet'!N1687</t>
        </is>
      </c>
      <c r="B1685" s="0" t="inlineStr">
        <is>
          <t>Structure Market Network</t>
        </is>
      </c>
      <c r="C1685" s="0" t="inlineStr">
        <is>
          <t>Base Metals</t>
        </is>
      </c>
      <c r="D1685" s="0" t="n">
        <v>1296000</v>
      </c>
      <c r="E1685" s="0">
        <f>VLOOKUP(C1685,'Item Tier Lookup'!$A:$B,2,FALSE)</f>
        <v/>
      </c>
      <c r="F1685" s="0">
        <f>VLOOKUP(E1685,'Tier Params'!$A:$B,2,FALSE)</f>
        <v/>
      </c>
      <c r="G1685" s="0">
        <f>VLOOKUP(E1685,'Tier Params'!$A:$C,3,FALSE)</f>
        <v/>
      </c>
      <c r="H1685" s="0">
        <f>CEILING(D1685/G1685,1)</f>
        <v/>
      </c>
      <c r="I1685" s="0">
        <f>H1685*F1685</f>
        <v/>
      </c>
    </row>
    <row r="1686">
      <c r="A1686" s="0" t="inlineStr">
        <is>
          <t>'Reference sheet'!N1688</t>
        </is>
      </c>
      <c r="B1686" s="0" t="inlineStr">
        <is>
          <t>Structure Market Network</t>
        </is>
      </c>
      <c r="C1686" s="0" t="inlineStr">
        <is>
          <t>Wetware Mainframe</t>
        </is>
      </c>
      <c r="D1686" s="0" t="n">
        <v>36</v>
      </c>
      <c r="E1686" s="0">
        <f>VLOOKUP(C1686,'Item Tier Lookup'!$A:$B,2,FALSE)</f>
        <v/>
      </c>
      <c r="F1686" s="0">
        <f>VLOOKUP(E1686,'Tier Params'!$A:$B,2,FALSE)</f>
        <v/>
      </c>
      <c r="G1686" s="0">
        <f>VLOOKUP(E1686,'Tier Params'!$A:$C,3,FALSE)</f>
        <v/>
      </c>
      <c r="H1686" s="0">
        <f>CEILING(D1686/G1686,1)</f>
        <v/>
      </c>
      <c r="I1686" s="0">
        <f>H1686*F1686</f>
        <v/>
      </c>
    </row>
    <row r="1687">
      <c r="A1687" s="0" t="inlineStr">
        <is>
          <t>'Reference sheet'!N1689</t>
        </is>
      </c>
      <c r="B1687" s="0" t="inlineStr">
        <is>
          <t>Structure Market Network</t>
        </is>
      </c>
      <c r="C1687" s="0" t="inlineStr">
        <is>
          <t>Supercomputers</t>
        </is>
      </c>
      <c r="D1687" s="0" t="n">
        <v>216</v>
      </c>
      <c r="E1687" s="0">
        <f>VLOOKUP(C1687,'Item Tier Lookup'!$A:$B,2,FALSE)</f>
        <v/>
      </c>
      <c r="F1687" s="0">
        <f>VLOOKUP(E1687,'Tier Params'!$A:$B,2,FALSE)</f>
        <v/>
      </c>
      <c r="G1687" s="0">
        <f>VLOOKUP(E1687,'Tier Params'!$A:$C,3,FALSE)</f>
        <v/>
      </c>
      <c r="H1687" s="0">
        <f>CEILING(D1687/G1687,1)</f>
        <v/>
      </c>
      <c r="I1687" s="0">
        <f>H1687*F1687</f>
        <v/>
      </c>
    </row>
    <row r="1688">
      <c r="A1688" s="0" t="inlineStr">
        <is>
          <t>'Reference sheet'!N1690</t>
        </is>
      </c>
      <c r="B1688" s="0" t="inlineStr">
        <is>
          <t>Structure Market Network</t>
        </is>
      </c>
      <c r="C1688" s="0" t="inlineStr">
        <is>
          <t>Water-Cooled CPU</t>
        </is>
      </c>
      <c r="D1688" s="0" t="n">
        <v>720</v>
      </c>
      <c r="E1688" s="0">
        <f>VLOOKUP(C1688,'Item Tier Lookup'!$A:$B,2,FALSE)</f>
        <v/>
      </c>
      <c r="F1688" s="0">
        <f>VLOOKUP(E1688,'Tier Params'!$A:$B,2,FALSE)</f>
        <v/>
      </c>
      <c r="G1688" s="0">
        <f>VLOOKUP(E1688,'Tier Params'!$A:$C,3,FALSE)</f>
        <v/>
      </c>
      <c r="H1688" s="0">
        <f>CEILING(D1688/G1688,1)</f>
        <v/>
      </c>
      <c r="I1688" s="0">
        <f>H1688*F1688</f>
        <v/>
      </c>
    </row>
    <row r="1689">
      <c r="A1689" s="0" t="inlineStr">
        <is>
          <t>'Reference sheet'!N1691</t>
        </is>
      </c>
      <c r="B1689" s="0" t="inlineStr">
        <is>
          <t>Structure Market Network</t>
        </is>
      </c>
      <c r="C1689" s="0" t="inlineStr">
        <is>
          <t>Water</t>
        </is>
      </c>
      <c r="D1689" s="0" t="n">
        <v>5760</v>
      </c>
      <c r="E1689" s="0">
        <f>VLOOKUP(C1689,'Item Tier Lookup'!$A:$B,2,FALSE)</f>
        <v/>
      </c>
      <c r="F1689" s="0">
        <f>VLOOKUP(E1689,'Tier Params'!$A:$B,2,FALSE)</f>
        <v/>
      </c>
      <c r="G1689" s="0">
        <f>VLOOKUP(E1689,'Tier Params'!$A:$C,3,FALSE)</f>
        <v/>
      </c>
      <c r="H1689" s="0">
        <f>CEILING(D1689/G1689,1)</f>
        <v/>
      </c>
      <c r="I1689" s="0">
        <f>H1689*F1689</f>
        <v/>
      </c>
    </row>
    <row r="1690">
      <c r="A1690" s="0" t="inlineStr">
        <is>
          <t>'Reference sheet'!N1692</t>
        </is>
      </c>
      <c r="B1690" s="0" t="inlineStr">
        <is>
          <t>Structure Market Network</t>
        </is>
      </c>
      <c r="C1690" s="0" t="inlineStr">
        <is>
          <t>Aqueous Liquids</t>
        </is>
      </c>
      <c r="D1690" s="0" t="n">
        <v>864000</v>
      </c>
      <c r="E1690" s="0">
        <f>VLOOKUP(C1690,'Item Tier Lookup'!$A:$B,2,FALSE)</f>
        <v/>
      </c>
      <c r="F1690" s="0">
        <f>VLOOKUP(E1690,'Tier Params'!$A:$B,2,FALSE)</f>
        <v/>
      </c>
      <c r="G1690" s="0">
        <f>VLOOKUP(E1690,'Tier Params'!$A:$C,3,FALSE)</f>
        <v/>
      </c>
      <c r="H1690" s="0">
        <f>CEILING(D1690/G1690,1)</f>
        <v/>
      </c>
      <c r="I1690" s="0">
        <f>H1690*F1690</f>
        <v/>
      </c>
    </row>
    <row r="1691">
      <c r="A1691" s="0" t="inlineStr">
        <is>
          <t>'Reference sheet'!N1693</t>
        </is>
      </c>
      <c r="B1691" s="0" t="inlineStr">
        <is>
          <t>Structure Market Network</t>
        </is>
      </c>
      <c r="C1691" s="0" t="inlineStr">
        <is>
          <t>Reactive Metals</t>
        </is>
      </c>
      <c r="D1691" s="0" t="n">
        <v>5760</v>
      </c>
      <c r="E1691" s="0">
        <f>VLOOKUP(C1691,'Item Tier Lookup'!$A:$B,2,FALSE)</f>
        <v/>
      </c>
      <c r="F1691" s="0">
        <f>VLOOKUP(E1691,'Tier Params'!$A:$B,2,FALSE)</f>
        <v/>
      </c>
      <c r="G1691" s="0">
        <f>VLOOKUP(E1691,'Tier Params'!$A:$C,3,FALSE)</f>
        <v/>
      </c>
      <c r="H1691" s="0">
        <f>CEILING(D1691/G1691,1)</f>
        <v/>
      </c>
      <c r="I1691" s="0">
        <f>H1691*F1691</f>
        <v/>
      </c>
    </row>
    <row r="1692">
      <c r="A1692" s="0" t="inlineStr">
        <is>
          <t>'Reference sheet'!N1694</t>
        </is>
      </c>
      <c r="B1692" s="0" t="inlineStr">
        <is>
          <t>Structure Market Network</t>
        </is>
      </c>
      <c r="C1692" s="0" t="inlineStr">
        <is>
          <t>Base Metals</t>
        </is>
      </c>
      <c r="D1692" s="0" t="n">
        <v>864000</v>
      </c>
      <c r="E1692" s="0">
        <f>VLOOKUP(C1692,'Item Tier Lookup'!$A:$B,2,FALSE)</f>
        <v/>
      </c>
      <c r="F1692" s="0">
        <f>VLOOKUP(E1692,'Tier Params'!$A:$B,2,FALSE)</f>
        <v/>
      </c>
      <c r="G1692" s="0">
        <f>VLOOKUP(E1692,'Tier Params'!$A:$C,3,FALSE)</f>
        <v/>
      </c>
      <c r="H1692" s="0">
        <f>CEILING(D1692/G1692,1)</f>
        <v/>
      </c>
      <c r="I1692" s="0">
        <f>H1692*F1692</f>
        <v/>
      </c>
    </row>
    <row r="1693">
      <c r="A1693" s="0" t="inlineStr">
        <is>
          <t>'Reference sheet'!N1695</t>
        </is>
      </c>
      <c r="B1693" s="0" t="inlineStr">
        <is>
          <t>Structure Market Network</t>
        </is>
      </c>
      <c r="C1693" s="0" t="inlineStr">
        <is>
          <t>Coolant</t>
        </is>
      </c>
      <c r="D1693" s="0" t="n">
        <v>720</v>
      </c>
      <c r="E1693" s="0">
        <f>VLOOKUP(C1693,'Item Tier Lookup'!$A:$B,2,FALSE)</f>
        <v/>
      </c>
      <c r="F1693" s="0">
        <f>VLOOKUP(E1693,'Tier Params'!$A:$B,2,FALSE)</f>
        <v/>
      </c>
      <c r="G1693" s="0">
        <f>VLOOKUP(E1693,'Tier Params'!$A:$C,3,FALSE)</f>
        <v/>
      </c>
      <c r="H1693" s="0">
        <f>CEILING(D1693/G1693,1)</f>
        <v/>
      </c>
      <c r="I1693" s="0">
        <f>H1693*F1693</f>
        <v/>
      </c>
    </row>
    <row r="1694">
      <c r="A1694" s="0" t="inlineStr">
        <is>
          <t>'Reference sheet'!N1696</t>
        </is>
      </c>
      <c r="B1694" s="0" t="inlineStr">
        <is>
          <t>Structure Market Network</t>
        </is>
      </c>
      <c r="C1694" s="0" t="inlineStr">
        <is>
          <t>Water</t>
        </is>
      </c>
      <c r="D1694" s="0" t="n">
        <v>5760</v>
      </c>
      <c r="E1694" s="0">
        <f>VLOOKUP(C1694,'Item Tier Lookup'!$A:$B,2,FALSE)</f>
        <v/>
      </c>
      <c r="F1694" s="0">
        <f>VLOOKUP(E1694,'Tier Params'!$A:$B,2,FALSE)</f>
        <v/>
      </c>
      <c r="G1694" s="0">
        <f>VLOOKUP(E1694,'Tier Params'!$A:$C,3,FALSE)</f>
        <v/>
      </c>
      <c r="H1694" s="0">
        <f>CEILING(D1694/G1694,1)</f>
        <v/>
      </c>
      <c r="I1694" s="0">
        <f>H1694*F1694</f>
        <v/>
      </c>
    </row>
    <row r="1695">
      <c r="A1695" s="0" t="inlineStr">
        <is>
          <t>'Reference sheet'!N1697</t>
        </is>
      </c>
      <c r="B1695" s="0" t="inlineStr">
        <is>
          <t>Structure Market Network</t>
        </is>
      </c>
      <c r="C1695" s="0" t="inlineStr">
        <is>
          <t>Aqueous Liquids</t>
        </is>
      </c>
      <c r="D1695" s="0" t="n">
        <v>864000</v>
      </c>
      <c r="E1695" s="0">
        <f>VLOOKUP(C1695,'Item Tier Lookup'!$A:$B,2,FALSE)</f>
        <v/>
      </c>
      <c r="F1695" s="0">
        <f>VLOOKUP(E1695,'Tier Params'!$A:$B,2,FALSE)</f>
        <v/>
      </c>
      <c r="G1695" s="0">
        <f>VLOOKUP(E1695,'Tier Params'!$A:$C,3,FALSE)</f>
        <v/>
      </c>
      <c r="H1695" s="0">
        <f>CEILING(D1695/G1695,1)</f>
        <v/>
      </c>
      <c r="I1695" s="0">
        <f>H1695*F1695</f>
        <v/>
      </c>
    </row>
    <row r="1696">
      <c r="A1696" s="0" t="inlineStr">
        <is>
          <t>'Reference sheet'!N1698</t>
        </is>
      </c>
      <c r="B1696" s="0" t="inlineStr">
        <is>
          <t>Structure Market Network</t>
        </is>
      </c>
      <c r="C1696" s="0" t="inlineStr">
        <is>
          <t>Electrolytes</t>
        </is>
      </c>
      <c r="D1696" s="0" t="n">
        <v>5760</v>
      </c>
      <c r="E1696" s="0">
        <f>VLOOKUP(C1696,'Item Tier Lookup'!$A:$B,2,FALSE)</f>
        <v/>
      </c>
      <c r="F1696" s="0">
        <f>VLOOKUP(E1696,'Tier Params'!$A:$B,2,FALSE)</f>
        <v/>
      </c>
      <c r="G1696" s="0">
        <f>VLOOKUP(E1696,'Tier Params'!$A:$C,3,FALSE)</f>
        <v/>
      </c>
      <c r="H1696" s="0">
        <f>CEILING(D1696/G1696,1)</f>
        <v/>
      </c>
      <c r="I1696" s="0">
        <f>H1696*F1696</f>
        <v/>
      </c>
    </row>
    <row r="1697">
      <c r="A1697" s="0" t="inlineStr">
        <is>
          <t>'Reference sheet'!N1699</t>
        </is>
      </c>
      <c r="B1697" s="0" t="inlineStr">
        <is>
          <t>Structure Market Network</t>
        </is>
      </c>
      <c r="C1697" s="0" t="inlineStr">
        <is>
          <t>Ionic Solutions</t>
        </is>
      </c>
      <c r="D1697" s="0" t="n">
        <v>864000</v>
      </c>
      <c r="E1697" s="0">
        <f>VLOOKUP(C1697,'Item Tier Lookup'!$A:$B,2,FALSE)</f>
        <v/>
      </c>
      <c r="F1697" s="0">
        <f>VLOOKUP(E1697,'Tier Params'!$A:$B,2,FALSE)</f>
        <v/>
      </c>
      <c r="G1697" s="0">
        <f>VLOOKUP(E1697,'Tier Params'!$A:$C,3,FALSE)</f>
        <v/>
      </c>
      <c r="H1697" s="0">
        <f>CEILING(D1697/G1697,1)</f>
        <v/>
      </c>
      <c r="I1697" s="0">
        <f>H1697*F1697</f>
        <v/>
      </c>
    </row>
    <row r="1698">
      <c r="A1698" s="0" t="inlineStr">
        <is>
          <t>'Reference sheet'!N1700</t>
        </is>
      </c>
      <c r="B1698" s="0" t="inlineStr">
        <is>
          <t>Structure Market Network</t>
        </is>
      </c>
      <c r="C1698" s="0" t="inlineStr">
        <is>
          <t>Consumer Electronics</t>
        </is>
      </c>
      <c r="D1698" s="0" t="n">
        <v>720</v>
      </c>
      <c r="E1698" s="0">
        <f>VLOOKUP(C1698,'Item Tier Lookup'!$A:$B,2,FALSE)</f>
        <v/>
      </c>
      <c r="F1698" s="0">
        <f>VLOOKUP(E1698,'Tier Params'!$A:$B,2,FALSE)</f>
        <v/>
      </c>
      <c r="G1698" s="0">
        <f>VLOOKUP(E1698,'Tier Params'!$A:$C,3,FALSE)</f>
        <v/>
      </c>
      <c r="H1698" s="0">
        <f>CEILING(D1698/G1698,1)</f>
        <v/>
      </c>
      <c r="I1698" s="0">
        <f>H1698*F1698</f>
        <v/>
      </c>
    </row>
    <row r="1699">
      <c r="A1699" s="0" t="inlineStr">
        <is>
          <t>'Reference sheet'!N1701</t>
        </is>
      </c>
      <c r="B1699" s="0" t="inlineStr">
        <is>
          <t>Structure Market Network</t>
        </is>
      </c>
      <c r="C1699" s="0" t="inlineStr">
        <is>
          <t>Toxic Metals</t>
        </is>
      </c>
      <c r="D1699" s="0" t="n">
        <v>5760</v>
      </c>
      <c r="E1699" s="0">
        <f>VLOOKUP(C1699,'Item Tier Lookup'!$A:$B,2,FALSE)</f>
        <v/>
      </c>
      <c r="F1699" s="0">
        <f>VLOOKUP(E1699,'Tier Params'!$A:$B,2,FALSE)</f>
        <v/>
      </c>
      <c r="G1699" s="0">
        <f>VLOOKUP(E1699,'Tier Params'!$A:$C,3,FALSE)</f>
        <v/>
      </c>
      <c r="H1699" s="0">
        <f>CEILING(D1699/G1699,1)</f>
        <v/>
      </c>
      <c r="I1699" s="0">
        <f>H1699*F1699</f>
        <v/>
      </c>
    </row>
    <row r="1700">
      <c r="A1700" s="0" t="inlineStr">
        <is>
          <t>'Reference sheet'!N1702</t>
        </is>
      </c>
      <c r="B1700" s="0" t="inlineStr">
        <is>
          <t>Structure Market Network</t>
        </is>
      </c>
      <c r="C1700" s="0" t="inlineStr">
        <is>
          <t>Heavy Metals</t>
        </is>
      </c>
      <c r="D1700" s="0" t="n">
        <v>864000</v>
      </c>
      <c r="E1700" s="0">
        <f>VLOOKUP(C1700,'Item Tier Lookup'!$A:$B,2,FALSE)</f>
        <v/>
      </c>
      <c r="F1700" s="0">
        <f>VLOOKUP(E1700,'Tier Params'!$A:$B,2,FALSE)</f>
        <v/>
      </c>
      <c r="G1700" s="0">
        <f>VLOOKUP(E1700,'Tier Params'!$A:$C,3,FALSE)</f>
        <v/>
      </c>
      <c r="H1700" s="0">
        <f>CEILING(D1700/G1700,1)</f>
        <v/>
      </c>
      <c r="I1700" s="0">
        <f>H1700*F1700</f>
        <v/>
      </c>
    </row>
    <row r="1701">
      <c r="A1701" s="0" t="inlineStr">
        <is>
          <t>'Reference sheet'!N1703</t>
        </is>
      </c>
      <c r="B1701" s="0" t="inlineStr">
        <is>
          <t>Structure Market Network</t>
        </is>
      </c>
      <c r="C1701" s="0" t="inlineStr">
        <is>
          <t>Chiral Structures</t>
        </is>
      </c>
      <c r="D1701" s="0" t="n">
        <v>5760</v>
      </c>
      <c r="E1701" s="0">
        <f>VLOOKUP(C1701,'Item Tier Lookup'!$A:$B,2,FALSE)</f>
        <v/>
      </c>
      <c r="F1701" s="0">
        <f>VLOOKUP(E1701,'Tier Params'!$A:$B,2,FALSE)</f>
        <v/>
      </c>
      <c r="G1701" s="0">
        <f>VLOOKUP(E1701,'Tier Params'!$A:$C,3,FALSE)</f>
        <v/>
      </c>
      <c r="H1701" s="0">
        <f>CEILING(D1701/G1701,1)</f>
        <v/>
      </c>
      <c r="I1701" s="0">
        <f>H1701*F1701</f>
        <v/>
      </c>
    </row>
    <row r="1702">
      <c r="A1702" s="0" t="inlineStr">
        <is>
          <t>'Reference sheet'!N1704</t>
        </is>
      </c>
      <c r="B1702" s="0" t="inlineStr">
        <is>
          <t>Structure Market Network</t>
        </is>
      </c>
      <c r="C1702" s="0" t="inlineStr">
        <is>
          <t>Non-CS Crystals</t>
        </is>
      </c>
      <c r="D1702" s="0" t="n">
        <v>864000</v>
      </c>
      <c r="E1702" s="0">
        <f>VLOOKUP(C1702,'Item Tier Lookup'!$A:$B,2,FALSE)</f>
        <v/>
      </c>
      <c r="F1702" s="0">
        <f>VLOOKUP(E1702,'Tier Params'!$A:$B,2,FALSE)</f>
        <v/>
      </c>
      <c r="G1702" s="0">
        <f>VLOOKUP(E1702,'Tier Params'!$A:$C,3,FALSE)</f>
        <v/>
      </c>
      <c r="H1702" s="0">
        <f>CEILING(D1702/G1702,1)</f>
        <v/>
      </c>
      <c r="I1702" s="0">
        <f>H1702*F1702</f>
        <v/>
      </c>
    </row>
    <row r="1703">
      <c r="A1703" s="0" t="inlineStr">
        <is>
          <t>'Reference sheet'!N1705</t>
        </is>
      </c>
      <c r="B1703" s="0" t="inlineStr">
        <is>
          <t>Structure Market Network</t>
        </is>
      </c>
      <c r="C1703" s="0" t="inlineStr">
        <is>
          <t>Biotech Research Reports</t>
        </is>
      </c>
      <c r="D1703" s="0" t="n">
        <v>216</v>
      </c>
      <c r="E1703" s="0">
        <f>VLOOKUP(C1703,'Item Tier Lookup'!$A:$B,2,FALSE)</f>
        <v/>
      </c>
      <c r="F1703" s="0">
        <f>VLOOKUP(E1703,'Tier Params'!$A:$B,2,FALSE)</f>
        <v/>
      </c>
      <c r="G1703" s="0">
        <f>VLOOKUP(E1703,'Tier Params'!$A:$C,3,FALSE)</f>
        <v/>
      </c>
      <c r="H1703" s="0">
        <f>CEILING(D1703/G1703,1)</f>
        <v/>
      </c>
      <c r="I1703" s="0">
        <f>H1703*F1703</f>
        <v/>
      </c>
    </row>
    <row r="1704">
      <c r="A1704" s="0" t="inlineStr">
        <is>
          <t>'Reference sheet'!N1706</t>
        </is>
      </c>
      <c r="B1704" s="0" t="inlineStr">
        <is>
          <t>Structure Market Network</t>
        </is>
      </c>
      <c r="C1704" s="0" t="inlineStr">
        <is>
          <t>Construction Blocks</t>
        </is>
      </c>
      <c r="D1704" s="0" t="n">
        <v>720</v>
      </c>
      <c r="E1704" s="0">
        <f>VLOOKUP(C1704,'Item Tier Lookup'!$A:$B,2,FALSE)</f>
        <v/>
      </c>
      <c r="F1704" s="0">
        <f>VLOOKUP(E1704,'Tier Params'!$A:$B,2,FALSE)</f>
        <v/>
      </c>
      <c r="G1704" s="0">
        <f>VLOOKUP(E1704,'Tier Params'!$A:$C,3,FALSE)</f>
        <v/>
      </c>
      <c r="H1704" s="0">
        <f>CEILING(D1704/G1704,1)</f>
        <v/>
      </c>
      <c r="I1704" s="0">
        <f>H1704*F1704</f>
        <v/>
      </c>
    </row>
    <row r="1705">
      <c r="A1705" s="0" t="inlineStr">
        <is>
          <t>'Reference sheet'!N1707</t>
        </is>
      </c>
      <c r="B1705" s="0" t="inlineStr">
        <is>
          <t>Structure Market Network</t>
        </is>
      </c>
      <c r="C1705" s="0" t="inlineStr">
        <is>
          <t>Toxic Metals</t>
        </is>
      </c>
      <c r="D1705" s="0" t="n">
        <v>5760</v>
      </c>
      <c r="E1705" s="0">
        <f>VLOOKUP(C1705,'Item Tier Lookup'!$A:$B,2,FALSE)</f>
        <v/>
      </c>
      <c r="F1705" s="0">
        <f>VLOOKUP(E1705,'Tier Params'!$A:$B,2,FALSE)</f>
        <v/>
      </c>
      <c r="G1705" s="0">
        <f>VLOOKUP(E1705,'Tier Params'!$A:$C,3,FALSE)</f>
        <v/>
      </c>
      <c r="H1705" s="0">
        <f>CEILING(D1705/G1705,1)</f>
        <v/>
      </c>
      <c r="I1705" s="0">
        <f>H1705*F1705</f>
        <v/>
      </c>
    </row>
    <row r="1706">
      <c r="A1706" s="0" t="inlineStr">
        <is>
          <t>'Reference sheet'!N1708</t>
        </is>
      </c>
      <c r="B1706" s="0" t="inlineStr">
        <is>
          <t>Structure Market Network</t>
        </is>
      </c>
      <c r="C1706" s="0" t="inlineStr">
        <is>
          <t>Heavy Metals</t>
        </is>
      </c>
      <c r="D1706" s="0" t="n">
        <v>864000</v>
      </c>
      <c r="E1706" s="0">
        <f>VLOOKUP(C1706,'Item Tier Lookup'!$A:$B,2,FALSE)</f>
        <v/>
      </c>
      <c r="F1706" s="0">
        <f>VLOOKUP(E1706,'Tier Params'!$A:$B,2,FALSE)</f>
        <v/>
      </c>
      <c r="G1706" s="0">
        <f>VLOOKUP(E1706,'Tier Params'!$A:$C,3,FALSE)</f>
        <v/>
      </c>
      <c r="H1706" s="0">
        <f>CEILING(D1706/G1706,1)</f>
        <v/>
      </c>
      <c r="I1706" s="0">
        <f>H1706*F1706</f>
        <v/>
      </c>
    </row>
    <row r="1707">
      <c r="A1707" s="0" t="inlineStr">
        <is>
          <t>'Reference sheet'!N1709</t>
        </is>
      </c>
      <c r="B1707" s="0" t="inlineStr">
        <is>
          <t>Structure Market Network</t>
        </is>
      </c>
      <c r="C1707" s="0" t="inlineStr">
        <is>
          <t>Reactive Metals</t>
        </is>
      </c>
      <c r="D1707" s="0" t="n">
        <v>5760</v>
      </c>
      <c r="E1707" s="0">
        <f>VLOOKUP(C1707,'Item Tier Lookup'!$A:$B,2,FALSE)</f>
        <v/>
      </c>
      <c r="F1707" s="0">
        <f>VLOOKUP(E1707,'Tier Params'!$A:$B,2,FALSE)</f>
        <v/>
      </c>
      <c r="G1707" s="0">
        <f>VLOOKUP(E1707,'Tier Params'!$A:$C,3,FALSE)</f>
        <v/>
      </c>
      <c r="H1707" s="0">
        <f>CEILING(D1707/G1707,1)</f>
        <v/>
      </c>
      <c r="I1707" s="0">
        <f>H1707*F1707</f>
        <v/>
      </c>
    </row>
    <row r="1708">
      <c r="A1708" s="0" t="inlineStr">
        <is>
          <t>'Reference sheet'!N1710</t>
        </is>
      </c>
      <c r="B1708" s="0" t="inlineStr">
        <is>
          <t>Structure Market Network</t>
        </is>
      </c>
      <c r="C1708" s="0" t="inlineStr">
        <is>
          <t>Base Metals</t>
        </is>
      </c>
      <c r="D1708" s="0" t="n">
        <v>864000</v>
      </c>
      <c r="E1708" s="0">
        <f>VLOOKUP(C1708,'Item Tier Lookup'!$A:$B,2,FALSE)</f>
        <v/>
      </c>
      <c r="F1708" s="0">
        <f>VLOOKUP(E1708,'Tier Params'!$A:$B,2,FALSE)</f>
        <v/>
      </c>
      <c r="G1708" s="0">
        <f>VLOOKUP(E1708,'Tier Params'!$A:$C,3,FALSE)</f>
        <v/>
      </c>
      <c r="H1708" s="0">
        <f>CEILING(D1708/G1708,1)</f>
        <v/>
      </c>
      <c r="I1708" s="0">
        <f>H1708*F1708</f>
        <v/>
      </c>
    </row>
    <row r="1709">
      <c r="A1709" s="0" t="inlineStr">
        <is>
          <t>'Reference sheet'!N1711</t>
        </is>
      </c>
      <c r="B1709" s="0" t="inlineStr">
        <is>
          <t>Structure Market Network</t>
        </is>
      </c>
      <c r="C1709" s="0" t="inlineStr">
        <is>
          <t>Livestock</t>
        </is>
      </c>
      <c r="D1709" s="0" t="n">
        <v>720</v>
      </c>
      <c r="E1709" s="0">
        <f>VLOOKUP(C1709,'Item Tier Lookup'!$A:$B,2,FALSE)</f>
        <v/>
      </c>
      <c r="F1709" s="0">
        <f>VLOOKUP(E1709,'Tier Params'!$A:$B,2,FALSE)</f>
        <v/>
      </c>
      <c r="G1709" s="0">
        <f>VLOOKUP(E1709,'Tier Params'!$A:$C,3,FALSE)</f>
        <v/>
      </c>
      <c r="H1709" s="0">
        <f>CEILING(D1709/G1709,1)</f>
        <v/>
      </c>
      <c r="I1709" s="0">
        <f>H1709*F1709</f>
        <v/>
      </c>
    </row>
    <row r="1710">
      <c r="A1710" s="0" t="inlineStr">
        <is>
          <t>'Reference sheet'!N1712</t>
        </is>
      </c>
      <c r="B1710" s="0" t="inlineStr">
        <is>
          <t>Structure Market Network</t>
        </is>
      </c>
      <c r="C1710" s="0" t="inlineStr">
        <is>
          <t>Proteins</t>
        </is>
      </c>
      <c r="D1710" s="0" t="n">
        <v>5760</v>
      </c>
      <c r="E1710" s="0">
        <f>VLOOKUP(C1710,'Item Tier Lookup'!$A:$B,2,FALSE)</f>
        <v/>
      </c>
      <c r="F1710" s="0">
        <f>VLOOKUP(E1710,'Tier Params'!$A:$B,2,FALSE)</f>
        <v/>
      </c>
      <c r="G1710" s="0">
        <f>VLOOKUP(E1710,'Tier Params'!$A:$C,3,FALSE)</f>
        <v/>
      </c>
      <c r="H1710" s="0">
        <f>CEILING(D1710/G1710,1)</f>
        <v/>
      </c>
      <c r="I1710" s="0">
        <f>H1710*F1710</f>
        <v/>
      </c>
    </row>
    <row r="1711">
      <c r="A1711" s="0" t="inlineStr">
        <is>
          <t>'Reference sheet'!N1713</t>
        </is>
      </c>
      <c r="B1711" s="0" t="inlineStr">
        <is>
          <t>Structure Market Network</t>
        </is>
      </c>
      <c r="C1711" s="0" t="inlineStr">
        <is>
          <t>Complex Organisms</t>
        </is>
      </c>
      <c r="D1711" s="0" t="n">
        <v>864000</v>
      </c>
      <c r="E1711" s="0">
        <f>VLOOKUP(C1711,'Item Tier Lookup'!$A:$B,2,FALSE)</f>
        <v/>
      </c>
      <c r="F1711" s="0">
        <f>VLOOKUP(E1711,'Tier Params'!$A:$B,2,FALSE)</f>
        <v/>
      </c>
      <c r="G1711" s="0">
        <f>VLOOKUP(E1711,'Tier Params'!$A:$C,3,FALSE)</f>
        <v/>
      </c>
      <c r="H1711" s="0">
        <f>CEILING(D1711/G1711,1)</f>
        <v/>
      </c>
      <c r="I1711" s="0">
        <f>H1711*F1711</f>
        <v/>
      </c>
    </row>
    <row r="1712">
      <c r="A1712" s="0" t="inlineStr">
        <is>
          <t>'Reference sheet'!N1714</t>
        </is>
      </c>
      <c r="B1712" s="0" t="inlineStr">
        <is>
          <t>Structure Market Network</t>
        </is>
      </c>
      <c r="C1712" s="0" t="inlineStr">
        <is>
          <t>Biofuels</t>
        </is>
      </c>
      <c r="D1712" s="0" t="n">
        <v>5760</v>
      </c>
      <c r="E1712" s="0">
        <f>VLOOKUP(C1712,'Item Tier Lookup'!$A:$B,2,FALSE)</f>
        <v/>
      </c>
      <c r="F1712" s="0">
        <f>VLOOKUP(E1712,'Tier Params'!$A:$B,2,FALSE)</f>
        <v/>
      </c>
      <c r="G1712" s="0">
        <f>VLOOKUP(E1712,'Tier Params'!$A:$C,3,FALSE)</f>
        <v/>
      </c>
      <c r="H1712" s="0">
        <f>CEILING(D1712/G1712,1)</f>
        <v/>
      </c>
      <c r="I1712" s="0">
        <f>H1712*F1712</f>
        <v/>
      </c>
    </row>
    <row r="1713">
      <c r="A1713" s="0" t="inlineStr">
        <is>
          <t>'Reference sheet'!N1715</t>
        </is>
      </c>
      <c r="B1713" s="0" t="inlineStr">
        <is>
          <t>Structure Market Network</t>
        </is>
      </c>
      <c r="C1713" s="0" t="inlineStr">
        <is>
          <t>Carbon Compounds</t>
        </is>
      </c>
      <c r="D1713" s="0" t="n">
        <v>864000</v>
      </c>
      <c r="E1713" s="0">
        <f>VLOOKUP(C1713,'Item Tier Lookup'!$A:$B,2,FALSE)</f>
        <v/>
      </c>
      <c r="F1713" s="0">
        <f>VLOOKUP(E1713,'Tier Params'!$A:$B,2,FALSE)</f>
        <v/>
      </c>
      <c r="G1713" s="0">
        <f>VLOOKUP(E1713,'Tier Params'!$A:$C,3,FALSE)</f>
        <v/>
      </c>
      <c r="H1713" s="0">
        <f>CEILING(D1713/G1713,1)</f>
        <v/>
      </c>
      <c r="I1713" s="0">
        <f>H1713*F1713</f>
        <v/>
      </c>
    </row>
    <row r="1714">
      <c r="A1714" s="0" t="inlineStr">
        <is>
          <t>'Reference sheet'!N1716</t>
        </is>
      </c>
      <c r="B1714" s="0" t="inlineStr">
        <is>
          <t>Structure Market Network</t>
        </is>
      </c>
      <c r="C1714" s="0" t="inlineStr">
        <is>
          <t>Nanites</t>
        </is>
      </c>
      <c r="D1714" s="0" t="n">
        <v>720</v>
      </c>
      <c r="E1714" s="0">
        <f>VLOOKUP(C1714,'Item Tier Lookup'!$A:$B,2,FALSE)</f>
        <v/>
      </c>
      <c r="F1714" s="0">
        <f>VLOOKUP(E1714,'Tier Params'!$A:$B,2,FALSE)</f>
        <v/>
      </c>
      <c r="G1714" s="0">
        <f>VLOOKUP(E1714,'Tier Params'!$A:$C,3,FALSE)</f>
        <v/>
      </c>
      <c r="H1714" s="0">
        <f>CEILING(D1714/G1714,1)</f>
        <v/>
      </c>
      <c r="I1714" s="0">
        <f>H1714*F1714</f>
        <v/>
      </c>
    </row>
    <row r="1715">
      <c r="A1715" s="0" t="inlineStr">
        <is>
          <t>'Reference sheet'!N1717</t>
        </is>
      </c>
      <c r="B1715" s="0" t="inlineStr">
        <is>
          <t>Structure Market Network</t>
        </is>
      </c>
      <c r="C1715" s="0" t="inlineStr">
        <is>
          <t>Bacteria</t>
        </is>
      </c>
      <c r="D1715" s="0" t="n">
        <v>5760</v>
      </c>
      <c r="E1715" s="0">
        <f>VLOOKUP(C1715,'Item Tier Lookup'!$A:$B,2,FALSE)</f>
        <v/>
      </c>
      <c r="F1715" s="0">
        <f>VLOOKUP(E1715,'Tier Params'!$A:$B,2,FALSE)</f>
        <v/>
      </c>
      <c r="G1715" s="0">
        <f>VLOOKUP(E1715,'Tier Params'!$A:$C,3,FALSE)</f>
        <v/>
      </c>
      <c r="H1715" s="0">
        <f>CEILING(D1715/G1715,1)</f>
        <v/>
      </c>
      <c r="I1715" s="0">
        <f>H1715*F1715</f>
        <v/>
      </c>
    </row>
    <row r="1716">
      <c r="A1716" s="0" t="inlineStr">
        <is>
          <t>'Reference sheet'!N1718</t>
        </is>
      </c>
      <c r="B1716" s="0" t="inlineStr">
        <is>
          <t>Structure Market Network</t>
        </is>
      </c>
      <c r="C1716" s="0" t="inlineStr">
        <is>
          <t>Microorganisms</t>
        </is>
      </c>
      <c r="D1716" s="0" t="n">
        <v>864000</v>
      </c>
      <c r="E1716" s="0">
        <f>VLOOKUP(C1716,'Item Tier Lookup'!$A:$B,2,FALSE)</f>
        <v/>
      </c>
      <c r="F1716" s="0">
        <f>VLOOKUP(E1716,'Tier Params'!$A:$B,2,FALSE)</f>
        <v/>
      </c>
      <c r="G1716" s="0">
        <f>VLOOKUP(E1716,'Tier Params'!$A:$C,3,FALSE)</f>
        <v/>
      </c>
      <c r="H1716" s="0">
        <f>CEILING(D1716/G1716,1)</f>
        <v/>
      </c>
      <c r="I1716" s="0">
        <f>H1716*F1716</f>
        <v/>
      </c>
    </row>
    <row r="1717">
      <c r="A1717" s="0" t="inlineStr">
        <is>
          <t>'Reference sheet'!N1719</t>
        </is>
      </c>
      <c r="B1717" s="0" t="inlineStr">
        <is>
          <t>Structure Market Network</t>
        </is>
      </c>
      <c r="C1717" s="0" t="inlineStr">
        <is>
          <t>Reactive Metals</t>
        </is>
      </c>
      <c r="D1717" s="0" t="n">
        <v>5760</v>
      </c>
      <c r="E1717" s="0">
        <f>VLOOKUP(C1717,'Item Tier Lookup'!$A:$B,2,FALSE)</f>
        <v/>
      </c>
      <c r="F1717" s="0">
        <f>VLOOKUP(E1717,'Tier Params'!$A:$B,2,FALSE)</f>
        <v/>
      </c>
      <c r="G1717" s="0">
        <f>VLOOKUP(E1717,'Tier Params'!$A:$C,3,FALSE)</f>
        <v/>
      </c>
      <c r="H1717" s="0">
        <f>CEILING(D1717/G1717,1)</f>
        <v/>
      </c>
      <c r="I1717" s="0">
        <f>H1717*F1717</f>
        <v/>
      </c>
    </row>
    <row r="1718">
      <c r="A1718" s="0" t="inlineStr">
        <is>
          <t>'Reference sheet'!N1720</t>
        </is>
      </c>
      <c r="B1718" s="0" t="inlineStr">
        <is>
          <t>Structure Market Network</t>
        </is>
      </c>
      <c r="C1718" s="0" t="inlineStr">
        <is>
          <t>Base Metals</t>
        </is>
      </c>
      <c r="D1718" s="0" t="n">
        <v>864000</v>
      </c>
      <c r="E1718" s="0">
        <f>VLOOKUP(C1718,'Item Tier Lookup'!$A:$B,2,FALSE)</f>
        <v/>
      </c>
      <c r="F1718" s="0">
        <f>VLOOKUP(E1718,'Tier Params'!$A:$B,2,FALSE)</f>
        <v/>
      </c>
      <c r="G1718" s="0">
        <f>VLOOKUP(E1718,'Tier Params'!$A:$C,3,FALSE)</f>
        <v/>
      </c>
      <c r="H1718" s="0">
        <f>CEILING(D1718/G1718,1)</f>
        <v/>
      </c>
      <c r="I1718" s="0">
        <f>H1718*F1718</f>
        <v/>
      </c>
    </row>
    <row r="1719">
      <c r="A1719" s="0" t="inlineStr">
        <is>
          <t>'Reference sheet'!N1721</t>
        </is>
      </c>
      <c r="B1719" s="0" t="inlineStr">
        <is>
          <t>Structure Market Network</t>
        </is>
      </c>
      <c r="C1719" s="0" t="inlineStr">
        <is>
          <t>Cryoprotectant Solution</t>
        </is>
      </c>
      <c r="D1719" s="0" t="n">
        <v>216</v>
      </c>
      <c r="E1719" s="0">
        <f>VLOOKUP(C1719,'Item Tier Lookup'!$A:$B,2,FALSE)</f>
        <v/>
      </c>
      <c r="F1719" s="0">
        <f>VLOOKUP(E1719,'Tier Params'!$A:$B,2,FALSE)</f>
        <v/>
      </c>
      <c r="G1719" s="0">
        <f>VLOOKUP(E1719,'Tier Params'!$A:$C,3,FALSE)</f>
        <v/>
      </c>
      <c r="H1719" s="0">
        <f>CEILING(D1719/G1719,1)</f>
        <v/>
      </c>
      <c r="I1719" s="0">
        <f>H1719*F1719</f>
        <v/>
      </c>
    </row>
    <row r="1720">
      <c r="A1720" s="0" t="inlineStr">
        <is>
          <t>'Reference sheet'!N1722</t>
        </is>
      </c>
      <c r="B1720" s="0" t="inlineStr">
        <is>
          <t>Structure Market Network</t>
        </is>
      </c>
      <c r="C1720" s="0" t="inlineStr">
        <is>
          <t>Test Cultures</t>
        </is>
      </c>
      <c r="D1720" s="0" t="n">
        <v>720</v>
      </c>
      <c r="E1720" s="0">
        <f>VLOOKUP(C1720,'Item Tier Lookup'!$A:$B,2,FALSE)</f>
        <v/>
      </c>
      <c r="F1720" s="0">
        <f>VLOOKUP(E1720,'Tier Params'!$A:$B,2,FALSE)</f>
        <v/>
      </c>
      <c r="G1720" s="0">
        <f>VLOOKUP(E1720,'Tier Params'!$A:$C,3,FALSE)</f>
        <v/>
      </c>
      <c r="H1720" s="0">
        <f>CEILING(D1720/G1720,1)</f>
        <v/>
      </c>
      <c r="I1720" s="0">
        <f>H1720*F1720</f>
        <v/>
      </c>
    </row>
    <row r="1721">
      <c r="A1721" s="0" t="inlineStr">
        <is>
          <t>'Reference sheet'!N1723</t>
        </is>
      </c>
      <c r="B1721" s="0" t="inlineStr">
        <is>
          <t>Structure Market Network</t>
        </is>
      </c>
      <c r="C1721" s="0" t="inlineStr">
        <is>
          <t>Bacteria</t>
        </is>
      </c>
      <c r="D1721" s="0" t="n">
        <v>5760</v>
      </c>
      <c r="E1721" s="0">
        <f>VLOOKUP(C1721,'Item Tier Lookup'!$A:$B,2,FALSE)</f>
        <v/>
      </c>
      <c r="F1721" s="0">
        <f>VLOOKUP(E1721,'Tier Params'!$A:$B,2,FALSE)</f>
        <v/>
      </c>
      <c r="G1721" s="0">
        <f>VLOOKUP(E1721,'Tier Params'!$A:$C,3,FALSE)</f>
        <v/>
      </c>
      <c r="H1721" s="0">
        <f>CEILING(D1721/G1721,1)</f>
        <v/>
      </c>
      <c r="I1721" s="0">
        <f>H1721*F1721</f>
        <v/>
      </c>
    </row>
    <row r="1722">
      <c r="A1722" s="0" t="inlineStr">
        <is>
          <t>'Reference sheet'!N1724</t>
        </is>
      </c>
      <c r="B1722" s="0" t="inlineStr">
        <is>
          <t>Structure Market Network</t>
        </is>
      </c>
      <c r="C1722" s="0" t="inlineStr">
        <is>
          <t>Microorganisms</t>
        </is>
      </c>
      <c r="D1722" s="0" t="n">
        <v>864000</v>
      </c>
      <c r="E1722" s="0">
        <f>VLOOKUP(C1722,'Item Tier Lookup'!$A:$B,2,FALSE)</f>
        <v/>
      </c>
      <c r="F1722" s="0">
        <f>VLOOKUP(E1722,'Tier Params'!$A:$B,2,FALSE)</f>
        <v/>
      </c>
      <c r="G1722" s="0">
        <f>VLOOKUP(E1722,'Tier Params'!$A:$C,3,FALSE)</f>
        <v/>
      </c>
      <c r="H1722" s="0">
        <f>CEILING(D1722/G1722,1)</f>
        <v/>
      </c>
      <c r="I1722" s="0">
        <f>H1722*F1722</f>
        <v/>
      </c>
    </row>
    <row r="1723">
      <c r="A1723" s="0" t="inlineStr">
        <is>
          <t>'Reference sheet'!N1725</t>
        </is>
      </c>
      <c r="B1723" s="0" t="inlineStr">
        <is>
          <t>Structure Market Network</t>
        </is>
      </c>
      <c r="C1723" s="0" t="inlineStr">
        <is>
          <t>Water</t>
        </is>
      </c>
      <c r="D1723" s="0" t="n">
        <v>5760</v>
      </c>
      <c r="E1723" s="0">
        <f>VLOOKUP(C1723,'Item Tier Lookup'!$A:$B,2,FALSE)</f>
        <v/>
      </c>
      <c r="F1723" s="0">
        <f>VLOOKUP(E1723,'Tier Params'!$A:$B,2,FALSE)</f>
        <v/>
      </c>
      <c r="G1723" s="0">
        <f>VLOOKUP(E1723,'Tier Params'!$A:$C,3,FALSE)</f>
        <v/>
      </c>
      <c r="H1723" s="0">
        <f>CEILING(D1723/G1723,1)</f>
        <v/>
      </c>
      <c r="I1723" s="0">
        <f>H1723*F1723</f>
        <v/>
      </c>
    </row>
    <row r="1724">
      <c r="A1724" s="0" t="inlineStr">
        <is>
          <t>'Reference sheet'!N1726</t>
        </is>
      </c>
      <c r="B1724" s="0" t="inlineStr">
        <is>
          <t>Structure Market Network</t>
        </is>
      </c>
      <c r="C1724" s="0" t="inlineStr">
        <is>
          <t>Aqueous Liquids</t>
        </is>
      </c>
      <c r="D1724" s="0" t="n">
        <v>864000</v>
      </c>
      <c r="E1724" s="0">
        <f>VLOOKUP(C1724,'Item Tier Lookup'!$A:$B,2,FALSE)</f>
        <v/>
      </c>
      <c r="F1724" s="0">
        <f>VLOOKUP(E1724,'Tier Params'!$A:$B,2,FALSE)</f>
        <v/>
      </c>
      <c r="G1724" s="0">
        <f>VLOOKUP(E1724,'Tier Params'!$A:$C,3,FALSE)</f>
        <v/>
      </c>
      <c r="H1724" s="0">
        <f>CEILING(D1724/G1724,1)</f>
        <v/>
      </c>
      <c r="I1724" s="0">
        <f>H1724*F1724</f>
        <v/>
      </c>
    </row>
    <row r="1725">
      <c r="A1725" s="0" t="inlineStr">
        <is>
          <t>'Reference sheet'!N1727</t>
        </is>
      </c>
      <c r="B1725" s="0" t="inlineStr">
        <is>
          <t>Structure Market Network</t>
        </is>
      </c>
      <c r="C1725" s="0" t="inlineStr">
        <is>
          <t>Synthetic Oil</t>
        </is>
      </c>
      <c r="D1725" s="0" t="n">
        <v>720</v>
      </c>
      <c r="E1725" s="0">
        <f>VLOOKUP(C1725,'Item Tier Lookup'!$A:$B,2,FALSE)</f>
        <v/>
      </c>
      <c r="F1725" s="0">
        <f>VLOOKUP(E1725,'Tier Params'!$A:$B,2,FALSE)</f>
        <v/>
      </c>
      <c r="G1725" s="0">
        <f>VLOOKUP(E1725,'Tier Params'!$A:$C,3,FALSE)</f>
        <v/>
      </c>
      <c r="H1725" s="0">
        <f>CEILING(D1725/G1725,1)</f>
        <v/>
      </c>
      <c r="I1725" s="0">
        <f>H1725*F1725</f>
        <v/>
      </c>
    </row>
    <row r="1726">
      <c r="A1726" s="0" t="inlineStr">
        <is>
          <t>'Reference sheet'!N1728</t>
        </is>
      </c>
      <c r="B1726" s="0" t="inlineStr">
        <is>
          <t>Structure Market Network</t>
        </is>
      </c>
      <c r="C1726" s="0" t="inlineStr">
        <is>
          <t>Oxygen</t>
        </is>
      </c>
      <c r="D1726" s="0" t="n">
        <v>5760</v>
      </c>
      <c r="E1726" s="0">
        <f>VLOOKUP(C1726,'Item Tier Lookup'!$A:$B,2,FALSE)</f>
        <v/>
      </c>
      <c r="F1726" s="0">
        <f>VLOOKUP(E1726,'Tier Params'!$A:$B,2,FALSE)</f>
        <v/>
      </c>
      <c r="G1726" s="0">
        <f>VLOOKUP(E1726,'Tier Params'!$A:$C,3,FALSE)</f>
        <v/>
      </c>
      <c r="H1726" s="0">
        <f>CEILING(D1726/G1726,1)</f>
        <v/>
      </c>
      <c r="I1726" s="0">
        <f>H1726*F1726</f>
        <v/>
      </c>
    </row>
    <row r="1727">
      <c r="A1727" s="0" t="inlineStr">
        <is>
          <t>'Reference sheet'!N1729</t>
        </is>
      </c>
      <c r="B1727" s="0" t="inlineStr">
        <is>
          <t>Structure Market Network</t>
        </is>
      </c>
      <c r="C1727" s="0" t="inlineStr">
        <is>
          <t>Noble Gas</t>
        </is>
      </c>
      <c r="D1727" s="0" t="n">
        <v>864000</v>
      </c>
      <c r="E1727" s="0">
        <f>VLOOKUP(C1727,'Item Tier Lookup'!$A:$B,2,FALSE)</f>
        <v/>
      </c>
      <c r="F1727" s="0">
        <f>VLOOKUP(E1727,'Tier Params'!$A:$B,2,FALSE)</f>
        <v/>
      </c>
      <c r="G1727" s="0">
        <f>VLOOKUP(E1727,'Tier Params'!$A:$C,3,FALSE)</f>
        <v/>
      </c>
      <c r="H1727" s="0">
        <f>CEILING(D1727/G1727,1)</f>
        <v/>
      </c>
      <c r="I1727" s="0">
        <f>H1727*F1727</f>
        <v/>
      </c>
    </row>
    <row r="1728">
      <c r="A1728" s="0" t="inlineStr">
        <is>
          <t>'Reference sheet'!N1730</t>
        </is>
      </c>
      <c r="B1728" s="0" t="inlineStr">
        <is>
          <t>Structure Market Network</t>
        </is>
      </c>
      <c r="C1728" s="0" t="inlineStr">
        <is>
          <t>Electrolytes</t>
        </is>
      </c>
      <c r="D1728" s="0" t="n">
        <v>5760</v>
      </c>
      <c r="E1728" s="0">
        <f>VLOOKUP(C1728,'Item Tier Lookup'!$A:$B,2,FALSE)</f>
        <v/>
      </c>
      <c r="F1728" s="0">
        <f>VLOOKUP(E1728,'Tier Params'!$A:$B,2,FALSE)</f>
        <v/>
      </c>
      <c r="G1728" s="0">
        <f>VLOOKUP(E1728,'Tier Params'!$A:$C,3,FALSE)</f>
        <v/>
      </c>
      <c r="H1728" s="0">
        <f>CEILING(D1728/G1728,1)</f>
        <v/>
      </c>
      <c r="I1728" s="0">
        <f>H1728*F1728</f>
        <v/>
      </c>
    </row>
    <row r="1729">
      <c r="A1729" s="0" t="inlineStr">
        <is>
          <t>'Reference sheet'!N1731</t>
        </is>
      </c>
      <c r="B1729" s="0" t="inlineStr">
        <is>
          <t>Structure Market Network</t>
        </is>
      </c>
      <c r="C1729" s="0" t="inlineStr">
        <is>
          <t>Ionic Solutions</t>
        </is>
      </c>
      <c r="D1729" s="0" t="n">
        <v>864000</v>
      </c>
      <c r="E1729" s="0">
        <f>VLOOKUP(C1729,'Item Tier Lookup'!$A:$B,2,FALSE)</f>
        <v/>
      </c>
      <c r="F1729" s="0">
        <f>VLOOKUP(E1729,'Tier Params'!$A:$B,2,FALSE)</f>
        <v/>
      </c>
      <c r="G1729" s="0">
        <f>VLOOKUP(E1729,'Tier Params'!$A:$C,3,FALSE)</f>
        <v/>
      </c>
      <c r="H1729" s="0">
        <f>CEILING(D1729/G1729,1)</f>
        <v/>
      </c>
      <c r="I1729" s="0">
        <f>H1729*F1729</f>
        <v/>
      </c>
    </row>
    <row r="1730">
      <c r="A1730" s="0" t="inlineStr">
        <is>
          <t>'Reference sheet'!N1732</t>
        </is>
      </c>
      <c r="B1730" s="0" t="inlineStr">
        <is>
          <t>Structure Market Network</t>
        </is>
      </c>
      <c r="C1730" s="0" t="inlineStr">
        <is>
          <t>Fertilizer</t>
        </is>
      </c>
      <c r="D1730" s="0" t="n">
        <v>720</v>
      </c>
      <c r="E1730" s="0">
        <f>VLOOKUP(C1730,'Item Tier Lookup'!$A:$B,2,FALSE)</f>
        <v/>
      </c>
      <c r="F1730" s="0">
        <f>VLOOKUP(E1730,'Tier Params'!$A:$B,2,FALSE)</f>
        <v/>
      </c>
      <c r="G1730" s="0">
        <f>VLOOKUP(E1730,'Tier Params'!$A:$C,3,FALSE)</f>
        <v/>
      </c>
      <c r="H1730" s="0">
        <f>CEILING(D1730/G1730,1)</f>
        <v/>
      </c>
      <c r="I1730" s="0">
        <f>H1730*F1730</f>
        <v/>
      </c>
    </row>
    <row r="1731">
      <c r="A1731" s="0" t="inlineStr">
        <is>
          <t>'Reference sheet'!N1733</t>
        </is>
      </c>
      <c r="B1731" s="0" t="inlineStr">
        <is>
          <t>Structure Market Network</t>
        </is>
      </c>
      <c r="C1731" s="0" t="inlineStr">
        <is>
          <t>Bacteria</t>
        </is>
      </c>
      <c r="D1731" s="0" t="n">
        <v>5760</v>
      </c>
      <c r="E1731" s="0">
        <f>VLOOKUP(C1731,'Item Tier Lookup'!$A:$B,2,FALSE)</f>
        <v/>
      </c>
      <c r="F1731" s="0">
        <f>VLOOKUP(E1731,'Tier Params'!$A:$B,2,FALSE)</f>
        <v/>
      </c>
      <c r="G1731" s="0">
        <f>VLOOKUP(E1731,'Tier Params'!$A:$C,3,FALSE)</f>
        <v/>
      </c>
      <c r="H1731" s="0">
        <f>CEILING(D1731/G1731,1)</f>
        <v/>
      </c>
      <c r="I1731" s="0">
        <f>H1731*F1731</f>
        <v/>
      </c>
    </row>
    <row r="1732">
      <c r="A1732" s="0" t="inlineStr">
        <is>
          <t>'Reference sheet'!N1734</t>
        </is>
      </c>
      <c r="B1732" s="0" t="inlineStr">
        <is>
          <t>Structure Market Network</t>
        </is>
      </c>
      <c r="C1732" s="0" t="inlineStr">
        <is>
          <t>Microorganisms</t>
        </is>
      </c>
      <c r="D1732" s="0" t="n">
        <v>864000</v>
      </c>
      <c r="E1732" s="0">
        <f>VLOOKUP(C1732,'Item Tier Lookup'!$A:$B,2,FALSE)</f>
        <v/>
      </c>
      <c r="F1732" s="0">
        <f>VLOOKUP(E1732,'Tier Params'!$A:$B,2,FALSE)</f>
        <v/>
      </c>
      <c r="G1732" s="0">
        <f>VLOOKUP(E1732,'Tier Params'!$A:$C,3,FALSE)</f>
        <v/>
      </c>
      <c r="H1732" s="0">
        <f>CEILING(D1732/G1732,1)</f>
        <v/>
      </c>
      <c r="I1732" s="0">
        <f>H1732*F1732</f>
        <v/>
      </c>
    </row>
    <row r="1733">
      <c r="A1733" s="0" t="inlineStr">
        <is>
          <t>'Reference sheet'!N1735</t>
        </is>
      </c>
      <c r="B1733" s="0" t="inlineStr">
        <is>
          <t>Structure Market Network</t>
        </is>
      </c>
      <c r="C1733" s="0" t="inlineStr">
        <is>
          <t>Proteins</t>
        </is>
      </c>
      <c r="D1733" s="0" t="n">
        <v>5760</v>
      </c>
      <c r="E1733" s="0">
        <f>VLOOKUP(C1733,'Item Tier Lookup'!$A:$B,2,FALSE)</f>
        <v/>
      </c>
      <c r="F1733" s="0">
        <f>VLOOKUP(E1733,'Tier Params'!$A:$B,2,FALSE)</f>
        <v/>
      </c>
      <c r="G1733" s="0">
        <f>VLOOKUP(E1733,'Tier Params'!$A:$C,3,FALSE)</f>
        <v/>
      </c>
      <c r="H1733" s="0">
        <f>CEILING(D1733/G1733,1)</f>
        <v/>
      </c>
      <c r="I1733" s="0">
        <f>H1733*F1733</f>
        <v/>
      </c>
    </row>
    <row r="1734">
      <c r="A1734" s="0" t="inlineStr">
        <is>
          <t>'Reference sheet'!N1736</t>
        </is>
      </c>
      <c r="B1734" s="0" t="inlineStr">
        <is>
          <t>Structure Market Network</t>
        </is>
      </c>
      <c r="C1734" s="0" t="inlineStr">
        <is>
          <t>Complex Organisms</t>
        </is>
      </c>
      <c r="D1734" s="0" t="n">
        <v>864000</v>
      </c>
      <c r="E1734" s="0">
        <f>VLOOKUP(C1734,'Item Tier Lookup'!$A:$B,2,FALSE)</f>
        <v/>
      </c>
      <c r="F1734" s="0">
        <f>VLOOKUP(E1734,'Tier Params'!$A:$B,2,FALSE)</f>
        <v/>
      </c>
      <c r="G1734" s="0">
        <f>VLOOKUP(E1734,'Tier Params'!$A:$C,3,FALSE)</f>
        <v/>
      </c>
      <c r="H1734" s="0">
        <f>CEILING(D1734/G1734,1)</f>
        <v/>
      </c>
      <c r="I1734" s="0">
        <f>H1734*F1734</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0" customWidth="1" style="24" min="1" max="1"/>
    <col width="14" customWidth="1" style="24" min="2" max="2"/>
    <col width="14" customWidth="1" style="24" min="3" max="3"/>
    <col width="20" customWidth="1" style="24" min="4" max="4"/>
    <col width="46" customWidth="1" style="24" min="5" max="5"/>
    <col width="18" customWidth="1" style="24" min="6" max="6"/>
    <col width="14" customWidth="1" style="24" min="7" max="7"/>
  </cols>
  <sheetData>
    <row r="1">
      <c r="A1" s="26" t="inlineStr">
        <is>
          <t>1. Total processing hours required per tier (fully serial, single factory doing every job)</t>
        </is>
      </c>
    </row>
    <row r="2">
      <c r="A2" s="25" t="inlineStr">
        <is>
          <t>Tier</t>
        </is>
      </c>
      <c r="B2" s="25" t="inlineStr">
        <is>
          <t>Total Hours (SUMIF)</t>
        </is>
      </c>
      <c r="C2" s="25" t="inlineStr">
        <is>
          <t>Total Cycles</t>
        </is>
      </c>
      <c r="D2" s="25" t="inlineStr">
        <is>
          <t>Share of Total</t>
        </is>
      </c>
    </row>
    <row r="3">
      <c r="A3" s="0" t="inlineStr">
        <is>
          <t>Mineral</t>
        </is>
      </c>
      <c r="B3" s="0">
        <f>SUMIF('Consolidated Item Demand'!$D:$D,A3,'Consolidated Item Demand'!$H:$H)</f>
        <v/>
      </c>
      <c r="C3" s="0">
        <f>SUMIF('Consolidated Item Demand'!$D:$D,A3,'Consolidated Item Demand'!$G:$G)</f>
        <v/>
      </c>
      <c r="D3" s="0">
        <f>B3/$B$10</f>
        <v/>
      </c>
    </row>
    <row r="4">
      <c r="A4" s="0" t="inlineStr">
        <is>
          <t>Raw material</t>
        </is>
      </c>
      <c r="B4" s="0">
        <f>SUMIF('Consolidated Item Demand'!$D:$D,A4,'Consolidated Item Demand'!$H:$H)</f>
        <v/>
      </c>
      <c r="C4" s="0">
        <f>SUMIF('Consolidated Item Demand'!$D:$D,A4,'Consolidated Item Demand'!$G:$G)</f>
        <v/>
      </c>
      <c r="D4" s="0">
        <f>B4/$B$10</f>
        <v/>
      </c>
    </row>
    <row r="5">
      <c r="A5" s="0" t="inlineStr">
        <is>
          <t>P1</t>
        </is>
      </c>
      <c r="B5" s="0">
        <f>SUMIF('Consolidated Item Demand'!$D:$D,A5,'Consolidated Item Demand'!$H:$H)</f>
        <v/>
      </c>
      <c r="C5" s="0">
        <f>SUMIF('Consolidated Item Demand'!$D:$D,A5,'Consolidated Item Demand'!$G:$G)</f>
        <v/>
      </c>
      <c r="D5" s="0">
        <f>B5/$B$10</f>
        <v/>
      </c>
    </row>
    <row r="6">
      <c r="A6" s="0" t="inlineStr">
        <is>
          <t>P2</t>
        </is>
      </c>
      <c r="B6" s="0">
        <f>SUMIF('Consolidated Item Demand'!$D:$D,A6,'Consolidated Item Demand'!$H:$H)</f>
        <v/>
      </c>
      <c r="C6" s="0">
        <f>SUMIF('Consolidated Item Demand'!$D:$D,A6,'Consolidated Item Demand'!$G:$G)</f>
        <v/>
      </c>
      <c r="D6" s="0">
        <f>B6/$B$10</f>
        <v/>
      </c>
    </row>
    <row r="7">
      <c r="A7" s="0" t="inlineStr">
        <is>
          <t>P3</t>
        </is>
      </c>
      <c r="B7" s="0">
        <f>SUMIF('Consolidated Item Demand'!$D:$D,A7,'Consolidated Item Demand'!$H:$H)</f>
        <v/>
      </c>
      <c r="C7" s="0">
        <f>SUMIF('Consolidated Item Demand'!$D:$D,A7,'Consolidated Item Demand'!$G:$G)</f>
        <v/>
      </c>
      <c r="D7" s="0">
        <f>B7/$B$10</f>
        <v/>
      </c>
    </row>
    <row r="8">
      <c r="A8" s="0" t="inlineStr">
        <is>
          <t>P4</t>
        </is>
      </c>
      <c r="B8" s="0">
        <f>SUMIF('Consolidated Item Demand'!$D:$D,A8,'Consolidated Item Demand'!$H:$H)</f>
        <v/>
      </c>
      <c r="C8" s="0">
        <f>SUMIF('Consolidated Item Demand'!$D:$D,A8,'Consolidated Item Demand'!$G:$G)</f>
        <v/>
      </c>
      <c r="D8" s="0">
        <f>B8/$B$10</f>
        <v/>
      </c>
    </row>
    <row r="9">
      <c r="A9" s="0" t="inlineStr">
        <is>
          <t>Space station structure</t>
        </is>
      </c>
      <c r="B9" s="0">
        <f>SUMIF('Consolidated Item Demand'!$D:$D,A9,'Consolidated Item Demand'!$H:$H)+8*13</f>
        <v/>
      </c>
      <c r="C9" s="0">
        <f>SUMIF('Consolidated Item Demand'!$D:$D,A9,'Consolidated Item Demand'!$G:$G)+8</f>
        <v/>
      </c>
      <c r="D9" s="0">
        <f>B9/$B$10</f>
        <v/>
      </c>
    </row>
    <row r="10">
      <c r="A10" s="26" t="inlineStr">
        <is>
          <t>TOTAL (fully serial build time, 1 factory)</t>
        </is>
      </c>
      <c r="B10" s="0">
        <f>SUM(B3:B9)</f>
        <v/>
      </c>
      <c r="C10" s="0">
        <f>SUM(C3:C9)</f>
        <v/>
      </c>
    </row>
    <row r="11">
      <c r="A11" s="0" t="inlineStr">
        <is>
          <t>In days:</t>
        </is>
      </c>
      <c r="B11" s="0">
        <f>B10/24</f>
        <v/>
      </c>
    </row>
    <row r="12">
      <c r="A12" s="0" t="inlineStr">
        <is>
          <t>In weeks:</t>
        </is>
      </c>
      <c r="B12" s="0">
        <f>B10/168</f>
        <v/>
      </c>
    </row>
    <row r="14" ht="45" customHeight="1" s="24">
      <c r="A14" s="27" t="inlineStr">
        <is>
          <t>Note: 'Space station structure' hours include the 13-hr final assembly job for each of the 8 blueprint components (8 x 13 = 104 hrs) added to any sub-component 'Space station structure'-tier ingredient rows (none exist in this BOM). 'Astrahus Component' quantities for Structure Market Network (blueprint qty=4) are taken as already reflected in the source Bill of Materials sheet's row quantities (its raw-material figures scale ~12x vs the qty-1 components), so no further multiplication is applied.</t>
        </is>
      </c>
    </row>
    <row r="16">
      <c r="A16" s="26" t="inlineStr">
        <is>
          <t>2. Cost-minimising factory allocation to bring total build time to &lt;= 1 week (168 hrs)</t>
        </is>
      </c>
    </row>
    <row r="17">
      <c r="A17" s="27" t="inlineStr">
        <is>
          <t>Method: Lagrangian optimisation - minimise total factory cost sum(F[t]*Price[t]) subject to sum(Hours[t]/F[t]) &lt;= 168. Optimum: F[t] = sqrt(Hours[t]/Price[t]) * (S/168), where S = sum of sqrt(Hours[t]*Price[t]) across all tiers.</t>
        </is>
      </c>
    </row>
    <row r="19">
      <c r="A19" s="25" t="inlineStr">
        <is>
          <t>Tier</t>
        </is>
      </c>
      <c r="B19" s="25" t="inlineStr">
        <is>
          <t>Hours</t>
        </is>
      </c>
      <c r="C19" s="25" t="inlineStr">
        <is>
          <t>Price/factory</t>
        </is>
      </c>
      <c r="D19" s="25" t="inlineStr">
        <is>
          <t>sqrt(Hours x Price)</t>
        </is>
      </c>
      <c r="E19" s="25" t="inlineStr">
        <is>
          <t>Factories needed F[t]=CEILING(SQRT(Hours/Price)*(S/168),1)</t>
        </is>
      </c>
      <c r="F19" s="25" t="inlineStr">
        <is>
          <t>Resulting time (Hours/F)</t>
        </is>
      </c>
      <c r="G19" s="25" t="inlineStr">
        <is>
          <t>Cost = F x Price</t>
        </is>
      </c>
    </row>
    <row r="20">
      <c r="A20" s="0">
        <f>A3</f>
        <v/>
      </c>
      <c r="B20" s="0">
        <f>B3</f>
        <v/>
      </c>
      <c r="C20" s="0">
        <f>VLOOKUP(A20,'Tier Params'!$A$11:$B$17,2,FALSE)</f>
        <v/>
      </c>
      <c r="D20" s="0">
        <f>SQRT(B20*C20)</f>
        <v/>
      </c>
      <c r="E20" s="0">
        <f>MAX(1,CEILING(SQRT(B20/C20)*($D$27/168),1))</f>
        <v/>
      </c>
      <c r="F20" s="0">
        <f>B20/E20</f>
        <v/>
      </c>
      <c r="G20" s="0">
        <f>E20*C20</f>
        <v/>
      </c>
    </row>
    <row r="21">
      <c r="A21" s="0">
        <f>A4</f>
        <v/>
      </c>
      <c r="B21" s="0">
        <f>B4</f>
        <v/>
      </c>
      <c r="C21" s="0">
        <f>VLOOKUP(A21,'Tier Params'!$A$11:$B$17,2,FALSE)</f>
        <v/>
      </c>
      <c r="D21" s="0">
        <f>SQRT(B21*C21)</f>
        <v/>
      </c>
      <c r="E21" s="0">
        <f>MAX(1,CEILING(SQRT(B21/C21)*($D$27/168),1))</f>
        <v/>
      </c>
      <c r="F21" s="0">
        <f>B21/E21</f>
        <v/>
      </c>
      <c r="G21" s="0">
        <f>E21*C21</f>
        <v/>
      </c>
    </row>
    <row r="22">
      <c r="A22" s="0">
        <f>A5</f>
        <v/>
      </c>
      <c r="B22" s="0">
        <f>B5</f>
        <v/>
      </c>
      <c r="C22" s="0">
        <f>VLOOKUP(A22,'Tier Params'!$A$11:$B$17,2,FALSE)</f>
        <v/>
      </c>
      <c r="D22" s="0">
        <f>SQRT(B22*C22)</f>
        <v/>
      </c>
      <c r="E22" s="0">
        <f>MAX(1,CEILING(SQRT(B22/C22)*($D$27/168),1))</f>
        <v/>
      </c>
      <c r="F22" s="0">
        <f>B22/E22</f>
        <v/>
      </c>
      <c r="G22" s="0">
        <f>E22*C22</f>
        <v/>
      </c>
    </row>
    <row r="23">
      <c r="A23" s="0">
        <f>A6</f>
        <v/>
      </c>
      <c r="B23" s="0">
        <f>B6</f>
        <v/>
      </c>
      <c r="C23" s="0">
        <f>VLOOKUP(A23,'Tier Params'!$A$11:$B$17,2,FALSE)</f>
        <v/>
      </c>
      <c r="D23" s="0">
        <f>SQRT(B23*C23)</f>
        <v/>
      </c>
      <c r="E23" s="0">
        <f>MAX(1,CEILING(SQRT(B23/C23)*($D$27/168),1))</f>
        <v/>
      </c>
      <c r="F23" s="0">
        <f>B23/E23</f>
        <v/>
      </c>
      <c r="G23" s="0">
        <f>E23*C23</f>
        <v/>
      </c>
    </row>
    <row r="24">
      <c r="A24" s="0">
        <f>A7</f>
        <v/>
      </c>
      <c r="B24" s="0">
        <f>B7</f>
        <v/>
      </c>
      <c r="C24" s="0">
        <f>VLOOKUP(A24,'Tier Params'!$A$11:$B$17,2,FALSE)</f>
        <v/>
      </c>
      <c r="D24" s="0">
        <f>SQRT(B24*C24)</f>
        <v/>
      </c>
      <c r="E24" s="0">
        <f>MAX(1,CEILING(SQRT(B24/C24)*($D$27/168),1))</f>
        <v/>
      </c>
      <c r="F24" s="0">
        <f>B24/E24</f>
        <v/>
      </c>
      <c r="G24" s="0">
        <f>E24*C24</f>
        <v/>
      </c>
    </row>
    <row r="25">
      <c r="A25" s="0">
        <f>A8</f>
        <v/>
      </c>
      <c r="B25" s="0">
        <f>B8</f>
        <v/>
      </c>
      <c r="C25" s="0">
        <f>VLOOKUP(A25,'Tier Params'!$A$11:$B$17,2,FALSE)</f>
        <v/>
      </c>
      <c r="D25" s="0">
        <f>SQRT(B25*C25)</f>
        <v/>
      </c>
      <c r="E25" s="0">
        <f>MAX(1,CEILING(SQRT(B25/C25)*($D$27/168),1))</f>
        <v/>
      </c>
      <c r="F25" s="0">
        <f>B25/E25</f>
        <v/>
      </c>
      <c r="G25" s="0">
        <f>E25*C25</f>
        <v/>
      </c>
    </row>
    <row r="26">
      <c r="A26" s="0">
        <f>A9</f>
        <v/>
      </c>
      <c r="B26" s="0">
        <f>B9</f>
        <v/>
      </c>
      <c r="C26" s="0">
        <f>VLOOKUP(A26,'Tier Params'!$A$11:$B$17,2,FALSE)</f>
        <v/>
      </c>
      <c r="D26" s="0">
        <f>SQRT(B26*C26)</f>
        <v/>
      </c>
      <c r="E26" s="0">
        <f>MAX(1,CEILING(SQRT(B26/C26)*($D$27/168),1))</f>
        <v/>
      </c>
      <c r="F26" s="0">
        <f>B26/E26</f>
        <v/>
      </c>
      <c r="G26" s="0">
        <f>E26*C26</f>
        <v/>
      </c>
    </row>
    <row r="27">
      <c r="A27" s="0" t="inlineStr">
        <is>
          <t>S = SUM(sqrt(Hours*Price))</t>
        </is>
      </c>
      <c r="D27" s="0">
        <f>SUM(D20:D26)</f>
        <v/>
      </c>
    </row>
    <row r="28">
      <c r="A28" s="26" t="inlineStr">
        <is>
          <t>TOTAL</t>
        </is>
      </c>
      <c r="E28" s="0">
        <f>SUM(E20:E26)</f>
        <v/>
      </c>
      <c r="F28" s="0">
        <f>SUM(F20:F26)</f>
        <v/>
      </c>
      <c r="G28" s="0">
        <f>SUM(G20:G26)</f>
        <v/>
      </c>
    </row>
    <row r="29">
      <c r="A29" s="0" t="inlineStr">
        <is>
          <t>Additional factories beyond 1-per-tier baseline (7):</t>
        </is>
      </c>
      <c r="E29" s="0">
        <f>E28-7</f>
        <v/>
      </c>
    </row>
  </sheetData>
  <mergeCells count="2">
    <mergeCell ref="A14:F14"/>
    <mergeCell ref="A17:F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61"/>
  <sheetViews>
    <sheetView workbookViewId="0">
      <selection activeCell="A1" sqref="A1"/>
    </sheetView>
  </sheetViews>
  <sheetFormatPr baseColWidth="8" defaultRowHeight="15"/>
  <cols>
    <col width="26" customWidth="1" style="24" min="1" max="1"/>
    <col width="30" customWidth="1" style="24" min="2" max="2"/>
    <col width="30" customWidth="1" style="24" min="3" max="3"/>
    <col width="14" customWidth="1" style="24" min="4" max="4"/>
    <col width="14" customWidth="1" style="24" min="5" max="5"/>
    <col width="14" customWidth="1" style="24" min="6" max="6"/>
    <col width="12" customWidth="1" style="24" min="7" max="7"/>
    <col width="12" customWidth="1" style="24" min="8" max="8"/>
  </cols>
  <sheetData>
    <row r="1" ht="30" customHeight="1" s="24">
      <c r="A1" s="27" t="inlineStr">
        <is>
          <t>Each Astrahus component's ingredient tree contains the same item on multiple branches (e.g. Plasmoids feeding two different sub-parts). Production runs batch by item, so quantities must be summed per (Component, Item) pair BEFORE computing manufacturing cycles - not per raw BOM line - otherwise cycle counts are overstated.</t>
        </is>
      </c>
    </row>
    <row r="2">
      <c r="A2" s="25" t="inlineStr">
        <is>
          <t>Astrahus Component</t>
        </is>
      </c>
      <c r="B2" s="25" t="inlineStr">
        <is>
          <t>Item Name</t>
        </is>
      </c>
      <c r="C2" s="25" t="inlineStr">
        <is>
          <t>Quantity Required (SUMIFS of raw BOM rows)</t>
        </is>
      </c>
      <c r="D2" s="25" t="inlineStr">
        <is>
          <t>Tier (VLOOKUP)</t>
        </is>
      </c>
      <c r="E2" s="25" t="inlineStr">
        <is>
          <t>Time/cycle (VLOOKUP)</t>
        </is>
      </c>
      <c r="F2" s="25" t="inlineStr">
        <is>
          <t>Output/cycle (VLOOKUP)</t>
        </is>
      </c>
      <c r="G2" s="25" t="inlineStr">
        <is>
          <t>Cycles (CEILING)</t>
        </is>
      </c>
      <c r="H2" s="25" t="inlineStr">
        <is>
          <t>Total Hours</t>
        </is>
      </c>
    </row>
    <row r="3">
      <c r="A3" s="0" t="inlineStr">
        <is>
          <t>Structure Construction Parts</t>
        </is>
      </c>
      <c r="B3" s="0" t="inlineStr">
        <is>
          <t>Tritanium</t>
        </is>
      </c>
      <c r="C3" s="0">
        <f>SUMIFS('BOM Cycle Calc'!$D:$D,'BOM Cycle Calc'!$B:$B,A3,'BOM Cycle Calc'!$C:$C,B3)</f>
        <v/>
      </c>
      <c r="D3" s="0">
        <f>VLOOKUP(B3,'Item Tier Lookup'!$A:$B,2,FALSE)</f>
        <v/>
      </c>
      <c r="E3" s="0">
        <f>VLOOKUP(D3,'Tier Params'!$A:$B,2,FALSE)</f>
        <v/>
      </c>
      <c r="F3" s="0">
        <f>VLOOKUP(D3,'Tier Params'!$A:$C,3,FALSE)</f>
        <v/>
      </c>
      <c r="G3" s="0">
        <f>CEILING(C3/F3,1)</f>
        <v/>
      </c>
      <c r="H3" s="0">
        <f>G3*E3</f>
        <v/>
      </c>
    </row>
    <row r="4">
      <c r="A4" s="0" t="inlineStr">
        <is>
          <t>Structure Construction Parts</t>
        </is>
      </c>
      <c r="B4" s="0" t="inlineStr">
        <is>
          <t>Pyerite</t>
        </is>
      </c>
      <c r="C4" s="0">
        <f>SUMIFS('BOM Cycle Calc'!$D:$D,'BOM Cycle Calc'!$B:$B,A4,'BOM Cycle Calc'!$C:$C,B4)</f>
        <v/>
      </c>
      <c r="D4" s="0">
        <f>VLOOKUP(B4,'Item Tier Lookup'!$A:$B,2,FALSE)</f>
        <v/>
      </c>
      <c r="E4" s="0">
        <f>VLOOKUP(D4,'Tier Params'!$A:$B,2,FALSE)</f>
        <v/>
      </c>
      <c r="F4" s="0">
        <f>VLOOKUP(D4,'Tier Params'!$A:$C,3,FALSE)</f>
        <v/>
      </c>
      <c r="G4" s="0">
        <f>CEILING(C4/F4,1)</f>
        <v/>
      </c>
      <c r="H4" s="0">
        <f>G4*E4</f>
        <v/>
      </c>
    </row>
    <row r="5">
      <c r="A5" s="0" t="inlineStr">
        <is>
          <t>Structure Construction Parts</t>
        </is>
      </c>
      <c r="B5" s="0" t="inlineStr">
        <is>
          <t>Mexallon</t>
        </is>
      </c>
      <c r="C5" s="0">
        <f>SUMIFS('BOM Cycle Calc'!$D:$D,'BOM Cycle Calc'!$B:$B,A5,'BOM Cycle Calc'!$C:$C,B5)</f>
        <v/>
      </c>
      <c r="D5" s="0">
        <f>VLOOKUP(B5,'Item Tier Lookup'!$A:$B,2,FALSE)</f>
        <v/>
      </c>
      <c r="E5" s="0">
        <f>VLOOKUP(D5,'Tier Params'!$A:$B,2,FALSE)</f>
        <v/>
      </c>
      <c r="F5" s="0">
        <f>VLOOKUP(D5,'Tier Params'!$A:$C,3,FALSE)</f>
        <v/>
      </c>
      <c r="G5" s="0">
        <f>CEILING(C5/F5,1)</f>
        <v/>
      </c>
      <c r="H5" s="0">
        <f>G5*E5</f>
        <v/>
      </c>
    </row>
    <row r="6">
      <c r="A6" s="0" t="inlineStr">
        <is>
          <t>Structure Construction Parts</t>
        </is>
      </c>
      <c r="B6" s="0" t="inlineStr">
        <is>
          <t>Isogen</t>
        </is>
      </c>
      <c r="C6" s="0">
        <f>SUMIFS('BOM Cycle Calc'!$D:$D,'BOM Cycle Calc'!$B:$B,A6,'BOM Cycle Calc'!$C:$C,B6)</f>
        <v/>
      </c>
      <c r="D6" s="0">
        <f>VLOOKUP(B6,'Item Tier Lookup'!$A:$B,2,FALSE)</f>
        <v/>
      </c>
      <c r="E6" s="0">
        <f>VLOOKUP(D6,'Tier Params'!$A:$B,2,FALSE)</f>
        <v/>
      </c>
      <c r="F6" s="0">
        <f>VLOOKUP(D6,'Tier Params'!$A:$C,3,FALSE)</f>
        <v/>
      </c>
      <c r="G6" s="0">
        <f>CEILING(C6/F6,1)</f>
        <v/>
      </c>
      <c r="H6" s="0">
        <f>G6*E6</f>
        <v/>
      </c>
    </row>
    <row r="7">
      <c r="A7" s="0" t="inlineStr">
        <is>
          <t>Structure Construction Parts</t>
        </is>
      </c>
      <c r="B7" s="0" t="inlineStr">
        <is>
          <t>Nocxium</t>
        </is>
      </c>
      <c r="C7" s="0">
        <f>SUMIFS('BOM Cycle Calc'!$D:$D,'BOM Cycle Calc'!$B:$B,A7,'BOM Cycle Calc'!$C:$C,B7)</f>
        <v/>
      </c>
      <c r="D7" s="0">
        <f>VLOOKUP(B7,'Item Tier Lookup'!$A:$B,2,FALSE)</f>
        <v/>
      </c>
      <c r="E7" s="0">
        <f>VLOOKUP(D7,'Tier Params'!$A:$B,2,FALSE)</f>
        <v/>
      </c>
      <c r="F7" s="0">
        <f>VLOOKUP(D7,'Tier Params'!$A:$C,3,FALSE)</f>
        <v/>
      </c>
      <c r="G7" s="0">
        <f>CEILING(C7/F7,1)</f>
        <v/>
      </c>
      <c r="H7" s="0">
        <f>G7*E7</f>
        <v/>
      </c>
    </row>
    <row r="8">
      <c r="A8" s="0" t="inlineStr">
        <is>
          <t>Structure Construction Parts</t>
        </is>
      </c>
      <c r="B8" s="0" t="inlineStr">
        <is>
          <t>Zydrine</t>
        </is>
      </c>
      <c r="C8" s="0">
        <f>SUMIFS('BOM Cycle Calc'!$D:$D,'BOM Cycle Calc'!$B:$B,A8,'BOM Cycle Calc'!$C:$C,B8)</f>
        <v/>
      </c>
      <c r="D8" s="0">
        <f>VLOOKUP(B8,'Item Tier Lookup'!$A:$B,2,FALSE)</f>
        <v/>
      </c>
      <c r="E8" s="0">
        <f>VLOOKUP(D8,'Tier Params'!$A:$B,2,FALSE)</f>
        <v/>
      </c>
      <c r="F8" s="0">
        <f>VLOOKUP(D8,'Tier Params'!$A:$C,3,FALSE)</f>
        <v/>
      </c>
      <c r="G8" s="0">
        <f>CEILING(C8/F8,1)</f>
        <v/>
      </c>
      <c r="H8" s="0">
        <f>G8*E8</f>
        <v/>
      </c>
    </row>
    <row r="9">
      <c r="A9" s="0" t="inlineStr">
        <is>
          <t>Structure Construction Parts</t>
        </is>
      </c>
      <c r="B9" s="0" t="inlineStr">
        <is>
          <t>Megacyte</t>
        </is>
      </c>
      <c r="C9" s="0">
        <f>SUMIFS('BOM Cycle Calc'!$D:$D,'BOM Cycle Calc'!$B:$B,A9,'BOM Cycle Calc'!$C:$C,B9)</f>
        <v/>
      </c>
      <c r="D9" s="0">
        <f>VLOOKUP(B9,'Item Tier Lookup'!$A:$B,2,FALSE)</f>
        <v/>
      </c>
      <c r="E9" s="0">
        <f>VLOOKUP(D9,'Tier Params'!$A:$B,2,FALSE)</f>
        <v/>
      </c>
      <c r="F9" s="0">
        <f>VLOOKUP(D9,'Tier Params'!$A:$C,3,FALSE)</f>
        <v/>
      </c>
      <c r="G9" s="0">
        <f>CEILING(C9/F9,1)</f>
        <v/>
      </c>
      <c r="H9" s="0">
        <f>G9*E9</f>
        <v/>
      </c>
    </row>
    <row r="10">
      <c r="A10" s="0" t="inlineStr">
        <is>
          <t>Structure Construction Parts</t>
        </is>
      </c>
      <c r="B10" s="0" t="inlineStr">
        <is>
          <t>Integrity Response Drones</t>
        </is>
      </c>
      <c r="C10" s="0">
        <f>SUMIFS('BOM Cycle Calc'!$D:$D,'BOM Cycle Calc'!$B:$B,A10,'BOM Cycle Calc'!$C:$C,B10)</f>
        <v/>
      </c>
      <c r="D10" s="0">
        <f>VLOOKUP(B10,'Item Tier Lookup'!$A:$B,2,FALSE)</f>
        <v/>
      </c>
      <c r="E10" s="0">
        <f>VLOOKUP(D10,'Tier Params'!$A:$B,2,FALSE)</f>
        <v/>
      </c>
      <c r="F10" s="0">
        <f>VLOOKUP(D10,'Tier Params'!$A:$C,3,FALSE)</f>
        <v/>
      </c>
      <c r="G10" s="0">
        <f>CEILING(C10/F10,1)</f>
        <v/>
      </c>
      <c r="H10" s="0">
        <f>G10*E10</f>
        <v/>
      </c>
    </row>
    <row r="11">
      <c r="A11" s="0" t="inlineStr">
        <is>
          <t>Structure Construction Parts</t>
        </is>
      </c>
      <c r="B11" s="0" t="inlineStr">
        <is>
          <t>Gel-Matrix Biopaste</t>
        </is>
      </c>
      <c r="C11" s="0">
        <f>SUMIFS('BOM Cycle Calc'!$D:$D,'BOM Cycle Calc'!$B:$B,A11,'BOM Cycle Calc'!$C:$C,B11)</f>
        <v/>
      </c>
      <c r="D11" s="0">
        <f>VLOOKUP(B11,'Item Tier Lookup'!$A:$B,2,FALSE)</f>
        <v/>
      </c>
      <c r="E11" s="0">
        <f>VLOOKUP(D11,'Tier Params'!$A:$B,2,FALSE)</f>
        <v/>
      </c>
      <c r="F11" s="0">
        <f>VLOOKUP(D11,'Tier Params'!$A:$C,3,FALSE)</f>
        <v/>
      </c>
      <c r="G11" s="0">
        <f>CEILING(C11/F11,1)</f>
        <v/>
      </c>
      <c r="H11" s="0">
        <f>G11*E11</f>
        <v/>
      </c>
    </row>
    <row r="12">
      <c r="A12" s="0" t="inlineStr">
        <is>
          <t>Structure Construction Parts</t>
        </is>
      </c>
      <c r="B12" s="0" t="inlineStr">
        <is>
          <t>Biocells</t>
        </is>
      </c>
      <c r="C12" s="0">
        <f>SUMIFS('BOM Cycle Calc'!$D:$D,'BOM Cycle Calc'!$B:$B,A12,'BOM Cycle Calc'!$C:$C,B12)</f>
        <v/>
      </c>
      <c r="D12" s="0">
        <f>VLOOKUP(B12,'Item Tier Lookup'!$A:$B,2,FALSE)</f>
        <v/>
      </c>
      <c r="E12" s="0">
        <f>VLOOKUP(D12,'Tier Params'!$A:$B,2,FALSE)</f>
        <v/>
      </c>
      <c r="F12" s="0">
        <f>VLOOKUP(D12,'Tier Params'!$A:$C,3,FALSE)</f>
        <v/>
      </c>
      <c r="G12" s="0">
        <f>CEILING(C12/F12,1)</f>
        <v/>
      </c>
      <c r="H12" s="0">
        <f>G12*E12</f>
        <v/>
      </c>
    </row>
    <row r="13">
      <c r="A13" s="0" t="inlineStr">
        <is>
          <t>Structure Construction Parts</t>
        </is>
      </c>
      <c r="B13" s="0" t="inlineStr">
        <is>
          <t>Biofuels</t>
        </is>
      </c>
      <c r="C13" s="0">
        <f>SUMIFS('BOM Cycle Calc'!$D:$D,'BOM Cycle Calc'!$B:$B,A13,'BOM Cycle Calc'!$C:$C,B13)</f>
        <v/>
      </c>
      <c r="D13" s="0">
        <f>VLOOKUP(B13,'Item Tier Lookup'!$A:$B,2,FALSE)</f>
        <v/>
      </c>
      <c r="E13" s="0">
        <f>VLOOKUP(D13,'Tier Params'!$A:$B,2,FALSE)</f>
        <v/>
      </c>
      <c r="F13" s="0">
        <f>VLOOKUP(D13,'Tier Params'!$A:$C,3,FALSE)</f>
        <v/>
      </c>
      <c r="G13" s="0">
        <f>CEILING(C13/F13,1)</f>
        <v/>
      </c>
      <c r="H13" s="0">
        <f>G13*E13</f>
        <v/>
      </c>
    </row>
    <row r="14">
      <c r="A14" s="0" t="inlineStr">
        <is>
          <t>Structure Construction Parts</t>
        </is>
      </c>
      <c r="B14" s="0" t="inlineStr">
        <is>
          <t>Carbon Compounds</t>
        </is>
      </c>
      <c r="C14" s="0">
        <f>SUMIFS('BOM Cycle Calc'!$D:$D,'BOM Cycle Calc'!$B:$B,A14,'BOM Cycle Calc'!$C:$C,B14)</f>
        <v/>
      </c>
      <c r="D14" s="0">
        <f>VLOOKUP(B14,'Item Tier Lookup'!$A:$B,2,FALSE)</f>
        <v/>
      </c>
      <c r="E14" s="0">
        <f>VLOOKUP(D14,'Tier Params'!$A:$B,2,FALSE)</f>
        <v/>
      </c>
      <c r="F14" s="0">
        <f>VLOOKUP(D14,'Tier Params'!$A:$C,3,FALSE)</f>
        <v/>
      </c>
      <c r="G14" s="0">
        <f>CEILING(C14/F14,1)</f>
        <v/>
      </c>
      <c r="H14" s="0">
        <f>G14*E14</f>
        <v/>
      </c>
    </row>
    <row r="15">
      <c r="A15" s="0" t="inlineStr">
        <is>
          <t>Structure Construction Parts</t>
        </is>
      </c>
      <c r="B15" s="0" t="inlineStr">
        <is>
          <t>Precious Metals</t>
        </is>
      </c>
      <c r="C15" s="0">
        <f>SUMIFS('BOM Cycle Calc'!$D:$D,'BOM Cycle Calc'!$B:$B,A15,'BOM Cycle Calc'!$C:$C,B15)</f>
        <v/>
      </c>
      <c r="D15" s="0">
        <f>VLOOKUP(B15,'Item Tier Lookup'!$A:$B,2,FALSE)</f>
        <v/>
      </c>
      <c r="E15" s="0">
        <f>VLOOKUP(D15,'Tier Params'!$A:$B,2,FALSE)</f>
        <v/>
      </c>
      <c r="F15" s="0">
        <f>VLOOKUP(D15,'Tier Params'!$A:$C,3,FALSE)</f>
        <v/>
      </c>
      <c r="G15" s="0">
        <f>CEILING(C15/F15,1)</f>
        <v/>
      </c>
      <c r="H15" s="0">
        <f>G15*E15</f>
        <v/>
      </c>
    </row>
    <row r="16">
      <c r="A16" s="0" t="inlineStr">
        <is>
          <t>Structure Construction Parts</t>
        </is>
      </c>
      <c r="B16" s="0" t="inlineStr">
        <is>
          <t>Noble Metals</t>
        </is>
      </c>
      <c r="C16" s="0">
        <f>SUMIFS('BOM Cycle Calc'!$D:$D,'BOM Cycle Calc'!$B:$B,A16,'BOM Cycle Calc'!$C:$C,B16)</f>
        <v/>
      </c>
      <c r="D16" s="0">
        <f>VLOOKUP(B16,'Item Tier Lookup'!$A:$B,2,FALSE)</f>
        <v/>
      </c>
      <c r="E16" s="0">
        <f>VLOOKUP(D16,'Tier Params'!$A:$B,2,FALSE)</f>
        <v/>
      </c>
      <c r="F16" s="0">
        <f>VLOOKUP(D16,'Tier Params'!$A:$C,3,FALSE)</f>
        <v/>
      </c>
      <c r="G16" s="0">
        <f>CEILING(C16/F16,1)</f>
        <v/>
      </c>
      <c r="H16" s="0">
        <f>G16*E16</f>
        <v/>
      </c>
    </row>
    <row r="17">
      <c r="A17" s="0" t="inlineStr">
        <is>
          <t>Structure Construction Parts</t>
        </is>
      </c>
      <c r="B17" s="0" t="inlineStr">
        <is>
          <t>Oxides</t>
        </is>
      </c>
      <c r="C17" s="0">
        <f>SUMIFS('BOM Cycle Calc'!$D:$D,'BOM Cycle Calc'!$B:$B,A17,'BOM Cycle Calc'!$C:$C,B17)</f>
        <v/>
      </c>
      <c r="D17" s="0">
        <f>VLOOKUP(B17,'Item Tier Lookup'!$A:$B,2,FALSE)</f>
        <v/>
      </c>
      <c r="E17" s="0">
        <f>VLOOKUP(D17,'Tier Params'!$A:$B,2,FALSE)</f>
        <v/>
      </c>
      <c r="F17" s="0">
        <f>VLOOKUP(D17,'Tier Params'!$A:$C,3,FALSE)</f>
        <v/>
      </c>
      <c r="G17" s="0">
        <f>CEILING(C17/F17,1)</f>
        <v/>
      </c>
      <c r="H17" s="0">
        <f>G17*E17</f>
        <v/>
      </c>
    </row>
    <row r="18">
      <c r="A18" s="0" t="inlineStr">
        <is>
          <t>Structure Construction Parts</t>
        </is>
      </c>
      <c r="B18" s="0" t="inlineStr">
        <is>
          <t>Oxidizing Compound</t>
        </is>
      </c>
      <c r="C18" s="0">
        <f>SUMIFS('BOM Cycle Calc'!$D:$D,'BOM Cycle Calc'!$B:$B,A18,'BOM Cycle Calc'!$C:$C,B18)</f>
        <v/>
      </c>
      <c r="D18" s="0">
        <f>VLOOKUP(B18,'Item Tier Lookup'!$A:$B,2,FALSE)</f>
        <v/>
      </c>
      <c r="E18" s="0">
        <f>VLOOKUP(D18,'Tier Params'!$A:$B,2,FALSE)</f>
        <v/>
      </c>
      <c r="F18" s="0">
        <f>VLOOKUP(D18,'Tier Params'!$A:$C,3,FALSE)</f>
        <v/>
      </c>
      <c r="G18" s="0">
        <f>CEILING(C18/F18,1)</f>
        <v/>
      </c>
      <c r="H18" s="0">
        <f>G18*E18</f>
        <v/>
      </c>
    </row>
    <row r="19">
      <c r="A19" s="0" t="inlineStr">
        <is>
          <t>Structure Construction Parts</t>
        </is>
      </c>
      <c r="B19" s="0" t="inlineStr">
        <is>
          <t>Reactive Gas</t>
        </is>
      </c>
      <c r="C19" s="0">
        <f>SUMIFS('BOM Cycle Calc'!$D:$D,'BOM Cycle Calc'!$B:$B,A19,'BOM Cycle Calc'!$C:$C,B19)</f>
        <v/>
      </c>
      <c r="D19" s="0">
        <f>VLOOKUP(B19,'Item Tier Lookup'!$A:$B,2,FALSE)</f>
        <v/>
      </c>
      <c r="E19" s="0">
        <f>VLOOKUP(D19,'Tier Params'!$A:$B,2,FALSE)</f>
        <v/>
      </c>
      <c r="F19" s="0">
        <f>VLOOKUP(D19,'Tier Params'!$A:$C,3,FALSE)</f>
        <v/>
      </c>
      <c r="G19" s="0">
        <f>CEILING(C19/F19,1)</f>
        <v/>
      </c>
      <c r="H19" s="0">
        <f>G19*E19</f>
        <v/>
      </c>
    </row>
    <row r="20">
      <c r="A20" s="0" t="inlineStr">
        <is>
          <t>Structure Construction Parts</t>
        </is>
      </c>
      <c r="B20" s="0" t="inlineStr">
        <is>
          <t>Oxygen</t>
        </is>
      </c>
      <c r="C20" s="0">
        <f>SUMIFS('BOM Cycle Calc'!$D:$D,'BOM Cycle Calc'!$B:$B,A20,'BOM Cycle Calc'!$C:$C,B20)</f>
        <v/>
      </c>
      <c r="D20" s="0">
        <f>VLOOKUP(B20,'Item Tier Lookup'!$A:$B,2,FALSE)</f>
        <v/>
      </c>
      <c r="E20" s="0">
        <f>VLOOKUP(D20,'Tier Params'!$A:$B,2,FALSE)</f>
        <v/>
      </c>
      <c r="F20" s="0">
        <f>VLOOKUP(D20,'Tier Params'!$A:$C,3,FALSE)</f>
        <v/>
      </c>
      <c r="G20" s="0">
        <f>CEILING(C20/F20,1)</f>
        <v/>
      </c>
      <c r="H20" s="0">
        <f>G20*E20</f>
        <v/>
      </c>
    </row>
    <row r="21">
      <c r="A21" s="0" t="inlineStr">
        <is>
          <t>Structure Construction Parts</t>
        </is>
      </c>
      <c r="B21" s="0" t="inlineStr">
        <is>
          <t>Noble Gas</t>
        </is>
      </c>
      <c r="C21" s="0">
        <f>SUMIFS('BOM Cycle Calc'!$D:$D,'BOM Cycle Calc'!$B:$B,A21,'BOM Cycle Calc'!$C:$C,B21)</f>
        <v/>
      </c>
      <c r="D21" s="0">
        <f>VLOOKUP(B21,'Item Tier Lookup'!$A:$B,2,FALSE)</f>
        <v/>
      </c>
      <c r="E21" s="0">
        <f>VLOOKUP(D21,'Tier Params'!$A:$B,2,FALSE)</f>
        <v/>
      </c>
      <c r="F21" s="0">
        <f>VLOOKUP(D21,'Tier Params'!$A:$C,3,FALSE)</f>
        <v/>
      </c>
      <c r="G21" s="0">
        <f>CEILING(C21/F21,1)</f>
        <v/>
      </c>
      <c r="H21" s="0">
        <f>G21*E21</f>
        <v/>
      </c>
    </row>
    <row r="22">
      <c r="A22" s="0" t="inlineStr">
        <is>
          <t>Structure Construction Parts</t>
        </is>
      </c>
      <c r="B22" s="0" t="inlineStr">
        <is>
          <t>Superconductors</t>
        </is>
      </c>
      <c r="C22" s="0">
        <f>SUMIFS('BOM Cycle Calc'!$D:$D,'BOM Cycle Calc'!$B:$B,A22,'BOM Cycle Calc'!$C:$C,B22)</f>
        <v/>
      </c>
      <c r="D22" s="0">
        <f>VLOOKUP(B22,'Item Tier Lookup'!$A:$B,2,FALSE)</f>
        <v/>
      </c>
      <c r="E22" s="0">
        <f>VLOOKUP(D22,'Tier Params'!$A:$B,2,FALSE)</f>
        <v/>
      </c>
      <c r="F22" s="0">
        <f>VLOOKUP(D22,'Tier Params'!$A:$C,3,FALSE)</f>
        <v/>
      </c>
      <c r="G22" s="0">
        <f>CEILING(C22/F22,1)</f>
        <v/>
      </c>
      <c r="H22" s="0">
        <f>G22*E22</f>
        <v/>
      </c>
    </row>
    <row r="23">
      <c r="A23" s="0" t="inlineStr">
        <is>
          <t>Structure Construction Parts</t>
        </is>
      </c>
      <c r="B23" s="0" t="inlineStr">
        <is>
          <t>Plasmoids</t>
        </is>
      </c>
      <c r="C23" s="0">
        <f>SUMIFS('BOM Cycle Calc'!$D:$D,'BOM Cycle Calc'!$B:$B,A23,'BOM Cycle Calc'!$C:$C,B23)</f>
        <v/>
      </c>
      <c r="D23" s="0">
        <f>VLOOKUP(B23,'Item Tier Lookup'!$A:$B,2,FALSE)</f>
        <v/>
      </c>
      <c r="E23" s="0">
        <f>VLOOKUP(D23,'Tier Params'!$A:$B,2,FALSE)</f>
        <v/>
      </c>
      <c r="F23" s="0">
        <f>VLOOKUP(D23,'Tier Params'!$A:$C,3,FALSE)</f>
        <v/>
      </c>
      <c r="G23" s="0">
        <f>CEILING(C23/F23,1)</f>
        <v/>
      </c>
      <c r="H23" s="0">
        <f>G23*E23</f>
        <v/>
      </c>
    </row>
    <row r="24">
      <c r="A24" s="0" t="inlineStr">
        <is>
          <t>Structure Construction Parts</t>
        </is>
      </c>
      <c r="B24" s="0" t="inlineStr">
        <is>
          <t>Suspended Plasma</t>
        </is>
      </c>
      <c r="C24" s="0">
        <f>SUMIFS('BOM Cycle Calc'!$D:$D,'BOM Cycle Calc'!$B:$B,A24,'BOM Cycle Calc'!$C:$C,B24)</f>
        <v/>
      </c>
      <c r="D24" s="0">
        <f>VLOOKUP(B24,'Item Tier Lookup'!$A:$B,2,FALSE)</f>
        <v/>
      </c>
      <c r="E24" s="0">
        <f>VLOOKUP(D24,'Tier Params'!$A:$B,2,FALSE)</f>
        <v/>
      </c>
      <c r="F24" s="0">
        <f>VLOOKUP(D24,'Tier Params'!$A:$C,3,FALSE)</f>
        <v/>
      </c>
      <c r="G24" s="0">
        <f>CEILING(C24/F24,1)</f>
        <v/>
      </c>
      <c r="H24" s="0">
        <f>G24*E24</f>
        <v/>
      </c>
    </row>
    <row r="25">
      <c r="A25" s="0" t="inlineStr">
        <is>
          <t>Structure Construction Parts</t>
        </is>
      </c>
      <c r="B25" s="0" t="inlineStr">
        <is>
          <t>Water</t>
        </is>
      </c>
      <c r="C25" s="0">
        <f>SUMIFS('BOM Cycle Calc'!$D:$D,'BOM Cycle Calc'!$B:$B,A25,'BOM Cycle Calc'!$C:$C,B25)</f>
        <v/>
      </c>
      <c r="D25" s="0">
        <f>VLOOKUP(B25,'Item Tier Lookup'!$A:$B,2,FALSE)</f>
        <v/>
      </c>
      <c r="E25" s="0">
        <f>VLOOKUP(D25,'Tier Params'!$A:$B,2,FALSE)</f>
        <v/>
      </c>
      <c r="F25" s="0">
        <f>VLOOKUP(D25,'Tier Params'!$A:$C,3,FALSE)</f>
        <v/>
      </c>
      <c r="G25" s="0">
        <f>CEILING(C25/F25,1)</f>
        <v/>
      </c>
      <c r="H25" s="0">
        <f>G25*E25</f>
        <v/>
      </c>
    </row>
    <row r="26">
      <c r="A26" s="0" t="inlineStr">
        <is>
          <t>Structure Construction Parts</t>
        </is>
      </c>
      <c r="B26" s="0" t="inlineStr">
        <is>
          <t>Aqueous Liquids</t>
        </is>
      </c>
      <c r="C26" s="0">
        <f>SUMIFS('BOM Cycle Calc'!$D:$D,'BOM Cycle Calc'!$B:$B,A26,'BOM Cycle Calc'!$C:$C,B26)</f>
        <v/>
      </c>
      <c r="D26" s="0">
        <f>VLOOKUP(B26,'Item Tier Lookup'!$A:$B,2,FALSE)</f>
        <v/>
      </c>
      <c r="E26" s="0">
        <f>VLOOKUP(D26,'Tier Params'!$A:$B,2,FALSE)</f>
        <v/>
      </c>
      <c r="F26" s="0">
        <f>VLOOKUP(D26,'Tier Params'!$A:$C,3,FALSE)</f>
        <v/>
      </c>
      <c r="G26" s="0">
        <f>CEILING(C26/F26,1)</f>
        <v/>
      </c>
      <c r="H26" s="0">
        <f>G26*E26</f>
        <v/>
      </c>
    </row>
    <row r="27">
      <c r="A27" s="0" t="inlineStr">
        <is>
          <t>Structure Construction Parts</t>
        </is>
      </c>
      <c r="B27" s="0" t="inlineStr">
        <is>
          <t>Hazmat Detection Systems</t>
        </is>
      </c>
      <c r="C27" s="0">
        <f>SUMIFS('BOM Cycle Calc'!$D:$D,'BOM Cycle Calc'!$B:$B,A27,'BOM Cycle Calc'!$C:$C,B27)</f>
        <v/>
      </c>
      <c r="D27" s="0">
        <f>VLOOKUP(B27,'Item Tier Lookup'!$A:$B,2,FALSE)</f>
        <v/>
      </c>
      <c r="E27" s="0">
        <f>VLOOKUP(D27,'Tier Params'!$A:$B,2,FALSE)</f>
        <v/>
      </c>
      <c r="F27" s="0">
        <f>VLOOKUP(D27,'Tier Params'!$A:$C,3,FALSE)</f>
        <v/>
      </c>
      <c r="G27" s="0">
        <f>CEILING(C27/F27,1)</f>
        <v/>
      </c>
      <c r="H27" s="0">
        <f>G27*E27</f>
        <v/>
      </c>
    </row>
    <row r="28">
      <c r="A28" s="0" t="inlineStr">
        <is>
          <t>Structure Construction Parts</t>
        </is>
      </c>
      <c r="B28" s="0" t="inlineStr">
        <is>
          <t>Transmitter</t>
        </is>
      </c>
      <c r="C28" s="0">
        <f>SUMIFS('BOM Cycle Calc'!$D:$D,'BOM Cycle Calc'!$B:$B,A28,'BOM Cycle Calc'!$C:$C,B28)</f>
        <v/>
      </c>
      <c r="D28" s="0">
        <f>VLOOKUP(B28,'Item Tier Lookup'!$A:$B,2,FALSE)</f>
        <v/>
      </c>
      <c r="E28" s="0">
        <f>VLOOKUP(D28,'Tier Params'!$A:$B,2,FALSE)</f>
        <v/>
      </c>
      <c r="F28" s="0">
        <f>VLOOKUP(D28,'Tier Params'!$A:$C,3,FALSE)</f>
        <v/>
      </c>
      <c r="G28" s="0">
        <f>CEILING(C28/F28,1)</f>
        <v/>
      </c>
      <c r="H28" s="0">
        <f>G28*E28</f>
        <v/>
      </c>
    </row>
    <row r="29">
      <c r="A29" s="0" t="inlineStr">
        <is>
          <t>Structure Construction Parts</t>
        </is>
      </c>
      <c r="B29" s="0" t="inlineStr">
        <is>
          <t>Chiral Structures</t>
        </is>
      </c>
      <c r="C29" s="0">
        <f>SUMIFS('BOM Cycle Calc'!$D:$D,'BOM Cycle Calc'!$B:$B,A29,'BOM Cycle Calc'!$C:$C,B29)</f>
        <v/>
      </c>
      <c r="D29" s="0">
        <f>VLOOKUP(B29,'Item Tier Lookup'!$A:$B,2,FALSE)</f>
        <v/>
      </c>
      <c r="E29" s="0">
        <f>VLOOKUP(D29,'Tier Params'!$A:$B,2,FALSE)</f>
        <v/>
      </c>
      <c r="F29" s="0">
        <f>VLOOKUP(D29,'Tier Params'!$A:$C,3,FALSE)</f>
        <v/>
      </c>
      <c r="G29" s="0">
        <f>CEILING(C29/F29,1)</f>
        <v/>
      </c>
      <c r="H29" s="0">
        <f>G29*E29</f>
        <v/>
      </c>
    </row>
    <row r="30">
      <c r="A30" s="0" t="inlineStr">
        <is>
          <t>Structure Construction Parts</t>
        </is>
      </c>
      <c r="B30" s="0" t="inlineStr">
        <is>
          <t>Non-CS Crystals</t>
        </is>
      </c>
      <c r="C30" s="0">
        <f>SUMIFS('BOM Cycle Calc'!$D:$D,'BOM Cycle Calc'!$B:$B,A30,'BOM Cycle Calc'!$C:$C,B30)</f>
        <v/>
      </c>
      <c r="D30" s="0">
        <f>VLOOKUP(B30,'Item Tier Lookup'!$A:$B,2,FALSE)</f>
        <v/>
      </c>
      <c r="E30" s="0">
        <f>VLOOKUP(D30,'Tier Params'!$A:$B,2,FALSE)</f>
        <v/>
      </c>
      <c r="F30" s="0">
        <f>VLOOKUP(D30,'Tier Params'!$A:$C,3,FALSE)</f>
        <v/>
      </c>
      <c r="G30" s="0">
        <f>CEILING(C30/F30,1)</f>
        <v/>
      </c>
      <c r="H30" s="0">
        <f>G30*E30</f>
        <v/>
      </c>
    </row>
    <row r="31">
      <c r="A31" s="0" t="inlineStr">
        <is>
          <t>Structure Construction Parts</t>
        </is>
      </c>
      <c r="B31" s="0" t="inlineStr">
        <is>
          <t>Polytextiles</t>
        </is>
      </c>
      <c r="C31" s="0">
        <f>SUMIFS('BOM Cycle Calc'!$D:$D,'BOM Cycle Calc'!$B:$B,A31,'BOM Cycle Calc'!$C:$C,B31)</f>
        <v/>
      </c>
      <c r="D31" s="0">
        <f>VLOOKUP(B31,'Item Tier Lookup'!$A:$B,2,FALSE)</f>
        <v/>
      </c>
      <c r="E31" s="0">
        <f>VLOOKUP(D31,'Tier Params'!$A:$B,2,FALSE)</f>
        <v/>
      </c>
      <c r="F31" s="0">
        <f>VLOOKUP(D31,'Tier Params'!$A:$C,3,FALSE)</f>
        <v/>
      </c>
      <c r="G31" s="0">
        <f>CEILING(C31/F31,1)</f>
        <v/>
      </c>
      <c r="H31" s="0">
        <f>G31*E31</f>
        <v/>
      </c>
    </row>
    <row r="32">
      <c r="A32" s="0" t="inlineStr">
        <is>
          <t>Structure Construction Parts</t>
        </is>
      </c>
      <c r="B32" s="0" t="inlineStr">
        <is>
          <t>Industrial Fibers</t>
        </is>
      </c>
      <c r="C32" s="0">
        <f>SUMIFS('BOM Cycle Calc'!$D:$D,'BOM Cycle Calc'!$B:$B,A32,'BOM Cycle Calc'!$C:$C,B32)</f>
        <v/>
      </c>
      <c r="D32" s="0">
        <f>VLOOKUP(B32,'Item Tier Lookup'!$A:$B,2,FALSE)</f>
        <v/>
      </c>
      <c r="E32" s="0">
        <f>VLOOKUP(D32,'Tier Params'!$A:$B,2,FALSE)</f>
        <v/>
      </c>
      <c r="F32" s="0">
        <f>VLOOKUP(D32,'Tier Params'!$A:$C,3,FALSE)</f>
        <v/>
      </c>
      <c r="G32" s="0">
        <f>CEILING(C32/F32,1)</f>
        <v/>
      </c>
      <c r="H32" s="0">
        <f>G32*E32</f>
        <v/>
      </c>
    </row>
    <row r="33">
      <c r="A33" s="0" t="inlineStr">
        <is>
          <t>Structure Construction Parts</t>
        </is>
      </c>
      <c r="B33" s="0" t="inlineStr">
        <is>
          <t>Autotrophs</t>
        </is>
      </c>
      <c r="C33" s="0">
        <f>SUMIFS('BOM Cycle Calc'!$D:$D,'BOM Cycle Calc'!$B:$B,A33,'BOM Cycle Calc'!$C:$C,B33)</f>
        <v/>
      </c>
      <c r="D33" s="0">
        <f>VLOOKUP(B33,'Item Tier Lookup'!$A:$B,2,FALSE)</f>
        <v/>
      </c>
      <c r="E33" s="0">
        <f>VLOOKUP(D33,'Tier Params'!$A:$B,2,FALSE)</f>
        <v/>
      </c>
      <c r="F33" s="0">
        <f>VLOOKUP(D33,'Tier Params'!$A:$C,3,FALSE)</f>
        <v/>
      </c>
      <c r="G33" s="0">
        <f>CEILING(C33/F33,1)</f>
        <v/>
      </c>
      <c r="H33" s="0">
        <f>G33*E33</f>
        <v/>
      </c>
    </row>
    <row r="34">
      <c r="A34" s="0" t="inlineStr">
        <is>
          <t>Structure Construction Parts</t>
        </is>
      </c>
      <c r="B34" s="0" t="inlineStr">
        <is>
          <t>Viral Agent</t>
        </is>
      </c>
      <c r="C34" s="0">
        <f>SUMIFS('BOM Cycle Calc'!$D:$D,'BOM Cycle Calc'!$B:$B,A34,'BOM Cycle Calc'!$C:$C,B34)</f>
        <v/>
      </c>
      <c r="D34" s="0">
        <f>VLOOKUP(B34,'Item Tier Lookup'!$A:$B,2,FALSE)</f>
        <v/>
      </c>
      <c r="E34" s="0">
        <f>VLOOKUP(D34,'Tier Params'!$A:$B,2,FALSE)</f>
        <v/>
      </c>
      <c r="F34" s="0">
        <f>VLOOKUP(D34,'Tier Params'!$A:$C,3,FALSE)</f>
        <v/>
      </c>
      <c r="G34" s="0">
        <f>CEILING(C34/F34,1)</f>
        <v/>
      </c>
      <c r="H34" s="0">
        <f>G34*E34</f>
        <v/>
      </c>
    </row>
    <row r="35">
      <c r="A35" s="0" t="inlineStr">
        <is>
          <t>Structure Construction Parts</t>
        </is>
      </c>
      <c r="B35" s="0" t="inlineStr">
        <is>
          <t>Bacteria</t>
        </is>
      </c>
      <c r="C35" s="0">
        <f>SUMIFS('BOM Cycle Calc'!$D:$D,'BOM Cycle Calc'!$B:$B,A35,'BOM Cycle Calc'!$C:$C,B35)</f>
        <v/>
      </c>
      <c r="D35" s="0">
        <f>VLOOKUP(B35,'Item Tier Lookup'!$A:$B,2,FALSE)</f>
        <v/>
      </c>
      <c r="E35" s="0">
        <f>VLOOKUP(D35,'Tier Params'!$A:$B,2,FALSE)</f>
        <v/>
      </c>
      <c r="F35" s="0">
        <f>VLOOKUP(D35,'Tier Params'!$A:$C,3,FALSE)</f>
        <v/>
      </c>
      <c r="G35" s="0">
        <f>CEILING(C35/F35,1)</f>
        <v/>
      </c>
      <c r="H35" s="0">
        <f>G35*E35</f>
        <v/>
      </c>
    </row>
    <row r="36">
      <c r="A36" s="0" t="inlineStr">
        <is>
          <t>Structure Construction Parts</t>
        </is>
      </c>
      <c r="B36" s="0" t="inlineStr">
        <is>
          <t>Microorganisms</t>
        </is>
      </c>
      <c r="C36" s="0">
        <f>SUMIFS('BOM Cycle Calc'!$D:$D,'BOM Cycle Calc'!$B:$B,A36,'BOM Cycle Calc'!$C:$C,B36)</f>
        <v/>
      </c>
      <c r="D36" s="0">
        <f>VLOOKUP(B36,'Item Tier Lookup'!$A:$B,2,FALSE)</f>
        <v/>
      </c>
      <c r="E36" s="0">
        <f>VLOOKUP(D36,'Tier Params'!$A:$B,2,FALSE)</f>
        <v/>
      </c>
      <c r="F36" s="0">
        <f>VLOOKUP(D36,'Tier Params'!$A:$C,3,FALSE)</f>
        <v/>
      </c>
      <c r="G36" s="0">
        <f>CEILING(C36/F36,1)</f>
        <v/>
      </c>
      <c r="H36" s="0">
        <f>G36*E36</f>
        <v/>
      </c>
    </row>
    <row r="37">
      <c r="A37" s="0" t="inlineStr">
        <is>
          <t>Structure Construction Parts</t>
        </is>
      </c>
      <c r="B37" s="0" t="inlineStr">
        <is>
          <t>Biomass</t>
        </is>
      </c>
      <c r="C37" s="0">
        <f>SUMIFS('BOM Cycle Calc'!$D:$D,'BOM Cycle Calc'!$B:$B,A37,'BOM Cycle Calc'!$C:$C,B37)</f>
        <v/>
      </c>
      <c r="D37" s="0">
        <f>VLOOKUP(B37,'Item Tier Lookup'!$A:$B,2,FALSE)</f>
        <v/>
      </c>
      <c r="E37" s="0">
        <f>VLOOKUP(D37,'Tier Params'!$A:$B,2,FALSE)</f>
        <v/>
      </c>
      <c r="F37" s="0">
        <f>VLOOKUP(D37,'Tier Params'!$A:$C,3,FALSE)</f>
        <v/>
      </c>
      <c r="G37" s="0">
        <f>CEILING(C37/F37,1)</f>
        <v/>
      </c>
      <c r="H37" s="0">
        <f>G37*E37</f>
        <v/>
      </c>
    </row>
    <row r="38">
      <c r="A38" s="0" t="inlineStr">
        <is>
          <t>Structure Construction Parts</t>
        </is>
      </c>
      <c r="B38" s="0" t="inlineStr">
        <is>
          <t>Planktic Colonies</t>
        </is>
      </c>
      <c r="C38" s="0">
        <f>SUMIFS('BOM Cycle Calc'!$D:$D,'BOM Cycle Calc'!$B:$B,A38,'BOM Cycle Calc'!$C:$C,B38)</f>
        <v/>
      </c>
      <c r="D38" s="0">
        <f>VLOOKUP(B38,'Item Tier Lookup'!$A:$B,2,FALSE)</f>
        <v/>
      </c>
      <c r="E38" s="0">
        <f>VLOOKUP(D38,'Tier Params'!$A:$B,2,FALSE)</f>
        <v/>
      </c>
      <c r="F38" s="0">
        <f>VLOOKUP(D38,'Tier Params'!$A:$C,3,FALSE)</f>
        <v/>
      </c>
      <c r="G38" s="0">
        <f>CEILING(C38/F38,1)</f>
        <v/>
      </c>
      <c r="H38" s="0">
        <f>G38*E38</f>
        <v/>
      </c>
    </row>
    <row r="39">
      <c r="A39" s="0" t="inlineStr">
        <is>
          <t>Structure Construction Parts</t>
        </is>
      </c>
      <c r="B39" s="0" t="inlineStr">
        <is>
          <t>Planetary Vehicles</t>
        </is>
      </c>
      <c r="C39" s="0">
        <f>SUMIFS('BOM Cycle Calc'!$D:$D,'BOM Cycle Calc'!$B:$B,A39,'BOM Cycle Calc'!$C:$C,B39)</f>
        <v/>
      </c>
      <c r="D39" s="0">
        <f>VLOOKUP(B39,'Item Tier Lookup'!$A:$B,2,FALSE)</f>
        <v/>
      </c>
      <c r="E39" s="0">
        <f>VLOOKUP(D39,'Tier Params'!$A:$B,2,FALSE)</f>
        <v/>
      </c>
      <c r="F39" s="0">
        <f>VLOOKUP(D39,'Tier Params'!$A:$C,3,FALSE)</f>
        <v/>
      </c>
      <c r="G39" s="0">
        <f>CEILING(C39/F39,1)</f>
        <v/>
      </c>
      <c r="H39" s="0">
        <f>G39*E39</f>
        <v/>
      </c>
    </row>
    <row r="40">
      <c r="A40" s="0" t="inlineStr">
        <is>
          <t>Structure Construction Parts</t>
        </is>
      </c>
      <c r="B40" s="0" t="inlineStr">
        <is>
          <t>Supertensile Plastics</t>
        </is>
      </c>
      <c r="C40" s="0">
        <f>SUMIFS('BOM Cycle Calc'!$D:$D,'BOM Cycle Calc'!$B:$B,A40,'BOM Cycle Calc'!$C:$C,B40)</f>
        <v/>
      </c>
      <c r="D40" s="0">
        <f>VLOOKUP(B40,'Item Tier Lookup'!$A:$B,2,FALSE)</f>
        <v/>
      </c>
      <c r="E40" s="0">
        <f>VLOOKUP(D40,'Tier Params'!$A:$B,2,FALSE)</f>
        <v/>
      </c>
      <c r="F40" s="0">
        <f>VLOOKUP(D40,'Tier Params'!$A:$C,3,FALSE)</f>
        <v/>
      </c>
      <c r="G40" s="0">
        <f>CEILING(C40/F40,1)</f>
        <v/>
      </c>
      <c r="H40" s="0">
        <f>G40*E40</f>
        <v/>
      </c>
    </row>
    <row r="41">
      <c r="A41" s="0" t="inlineStr">
        <is>
          <t>Structure Construction Parts</t>
        </is>
      </c>
      <c r="B41" s="0" t="inlineStr">
        <is>
          <t>Mechanical Parts</t>
        </is>
      </c>
      <c r="C41" s="0">
        <f>SUMIFS('BOM Cycle Calc'!$D:$D,'BOM Cycle Calc'!$B:$B,A41,'BOM Cycle Calc'!$C:$C,B41)</f>
        <v/>
      </c>
      <c r="D41" s="0">
        <f>VLOOKUP(B41,'Item Tier Lookup'!$A:$B,2,FALSE)</f>
        <v/>
      </c>
      <c r="E41" s="0">
        <f>VLOOKUP(D41,'Tier Params'!$A:$B,2,FALSE)</f>
        <v/>
      </c>
      <c r="F41" s="0">
        <f>VLOOKUP(D41,'Tier Params'!$A:$C,3,FALSE)</f>
        <v/>
      </c>
      <c r="G41" s="0">
        <f>CEILING(C41/F41,1)</f>
        <v/>
      </c>
      <c r="H41" s="0">
        <f>G41*E41</f>
        <v/>
      </c>
    </row>
    <row r="42">
      <c r="A42" s="0" t="inlineStr">
        <is>
          <t>Structure Construction Parts</t>
        </is>
      </c>
      <c r="B42" s="0" t="inlineStr">
        <is>
          <t>Reactive Metals</t>
        </is>
      </c>
      <c r="C42" s="0">
        <f>SUMIFS('BOM Cycle Calc'!$D:$D,'BOM Cycle Calc'!$B:$B,A42,'BOM Cycle Calc'!$C:$C,B42)</f>
        <v/>
      </c>
      <c r="D42" s="0">
        <f>VLOOKUP(B42,'Item Tier Lookup'!$A:$B,2,FALSE)</f>
        <v/>
      </c>
      <c r="E42" s="0">
        <f>VLOOKUP(D42,'Tier Params'!$A:$B,2,FALSE)</f>
        <v/>
      </c>
      <c r="F42" s="0">
        <f>VLOOKUP(D42,'Tier Params'!$A:$C,3,FALSE)</f>
        <v/>
      </c>
      <c r="G42" s="0">
        <f>CEILING(C42/F42,1)</f>
        <v/>
      </c>
      <c r="H42" s="0">
        <f>G42*E42</f>
        <v/>
      </c>
    </row>
    <row r="43">
      <c r="A43" s="0" t="inlineStr">
        <is>
          <t>Structure Construction Parts</t>
        </is>
      </c>
      <c r="B43" s="0" t="inlineStr">
        <is>
          <t>Base Metals</t>
        </is>
      </c>
      <c r="C43" s="0">
        <f>SUMIFS('BOM Cycle Calc'!$D:$D,'BOM Cycle Calc'!$B:$B,A43,'BOM Cycle Calc'!$C:$C,B43)</f>
        <v/>
      </c>
      <c r="D43" s="0">
        <f>VLOOKUP(B43,'Item Tier Lookup'!$A:$B,2,FALSE)</f>
        <v/>
      </c>
      <c r="E43" s="0">
        <f>VLOOKUP(D43,'Tier Params'!$A:$B,2,FALSE)</f>
        <v/>
      </c>
      <c r="F43" s="0">
        <f>VLOOKUP(D43,'Tier Params'!$A:$C,3,FALSE)</f>
        <v/>
      </c>
      <c r="G43" s="0">
        <f>CEILING(C43/F43,1)</f>
        <v/>
      </c>
      <c r="H43" s="0">
        <f>G43*E43</f>
        <v/>
      </c>
    </row>
    <row r="44">
      <c r="A44" s="0" t="inlineStr">
        <is>
          <t>Structure Construction Parts</t>
        </is>
      </c>
      <c r="B44" s="0" t="inlineStr">
        <is>
          <t>Miniature Electronics</t>
        </is>
      </c>
      <c r="C44" s="0">
        <f>SUMIFS('BOM Cycle Calc'!$D:$D,'BOM Cycle Calc'!$B:$B,A44,'BOM Cycle Calc'!$C:$C,B44)</f>
        <v/>
      </c>
      <c r="D44" s="0">
        <f>VLOOKUP(B44,'Item Tier Lookup'!$A:$B,2,FALSE)</f>
        <v/>
      </c>
      <c r="E44" s="0">
        <f>VLOOKUP(D44,'Tier Params'!$A:$B,2,FALSE)</f>
        <v/>
      </c>
      <c r="F44" s="0">
        <f>VLOOKUP(D44,'Tier Params'!$A:$C,3,FALSE)</f>
        <v/>
      </c>
      <c r="G44" s="0">
        <f>CEILING(C44/F44,1)</f>
        <v/>
      </c>
      <c r="H44" s="0">
        <f>G44*E44</f>
        <v/>
      </c>
    </row>
    <row r="45">
      <c r="A45" s="0" t="inlineStr">
        <is>
          <t>Structure Construction Parts</t>
        </is>
      </c>
      <c r="B45" s="0" t="inlineStr">
        <is>
          <t>Silicon</t>
        </is>
      </c>
      <c r="C45" s="0">
        <f>SUMIFS('BOM Cycle Calc'!$D:$D,'BOM Cycle Calc'!$B:$B,A45,'BOM Cycle Calc'!$C:$C,B45)</f>
        <v/>
      </c>
      <c r="D45" s="0">
        <f>VLOOKUP(B45,'Item Tier Lookup'!$A:$B,2,FALSE)</f>
        <v/>
      </c>
      <c r="E45" s="0">
        <f>VLOOKUP(D45,'Tier Params'!$A:$B,2,FALSE)</f>
        <v/>
      </c>
      <c r="F45" s="0">
        <f>VLOOKUP(D45,'Tier Params'!$A:$C,3,FALSE)</f>
        <v/>
      </c>
      <c r="G45" s="0">
        <f>CEILING(C45/F45,1)</f>
        <v/>
      </c>
      <c r="H45" s="0">
        <f>G45*E45</f>
        <v/>
      </c>
    </row>
    <row r="46">
      <c r="A46" s="0" t="inlineStr">
        <is>
          <t>Structure Construction Parts</t>
        </is>
      </c>
      <c r="B46" s="0" t="inlineStr">
        <is>
          <t>Felsic Magma</t>
        </is>
      </c>
      <c r="C46" s="0">
        <f>SUMIFS('BOM Cycle Calc'!$D:$D,'BOM Cycle Calc'!$B:$B,A46,'BOM Cycle Calc'!$C:$C,B46)</f>
        <v/>
      </c>
      <c r="D46" s="0">
        <f>VLOOKUP(B46,'Item Tier Lookup'!$A:$B,2,FALSE)</f>
        <v/>
      </c>
      <c r="E46" s="0">
        <f>VLOOKUP(D46,'Tier Params'!$A:$B,2,FALSE)</f>
        <v/>
      </c>
      <c r="F46" s="0">
        <f>VLOOKUP(D46,'Tier Params'!$A:$C,3,FALSE)</f>
        <v/>
      </c>
      <c r="G46" s="0">
        <f>CEILING(C46/F46,1)</f>
        <v/>
      </c>
      <c r="H46" s="0">
        <f>G46*E46</f>
        <v/>
      </c>
    </row>
    <row r="47">
      <c r="A47" s="0" t="inlineStr">
        <is>
          <t>Structure Construction Parts</t>
        </is>
      </c>
      <c r="B47" s="0" t="inlineStr">
        <is>
          <t>Nano-Factory</t>
        </is>
      </c>
      <c r="C47" s="0">
        <f>SUMIFS('BOM Cycle Calc'!$D:$D,'BOM Cycle Calc'!$B:$B,A47,'BOM Cycle Calc'!$C:$C,B47)</f>
        <v/>
      </c>
      <c r="D47" s="0">
        <f>VLOOKUP(B47,'Item Tier Lookup'!$A:$B,2,FALSE)</f>
        <v/>
      </c>
      <c r="E47" s="0">
        <f>VLOOKUP(D47,'Tier Params'!$A:$B,2,FALSE)</f>
        <v/>
      </c>
      <c r="F47" s="0">
        <f>VLOOKUP(D47,'Tier Params'!$A:$C,3,FALSE)</f>
        <v/>
      </c>
      <c r="G47" s="0">
        <f>CEILING(C47/F47,1)</f>
        <v/>
      </c>
      <c r="H47" s="0">
        <f>G47*E47</f>
        <v/>
      </c>
    </row>
    <row r="48">
      <c r="A48" s="0" t="inlineStr">
        <is>
          <t>Structure Construction Parts</t>
        </is>
      </c>
      <c r="B48" s="0" t="inlineStr">
        <is>
          <t>Industrial Explosives</t>
        </is>
      </c>
      <c r="C48" s="0">
        <f>SUMIFS('BOM Cycle Calc'!$D:$D,'BOM Cycle Calc'!$B:$B,A48,'BOM Cycle Calc'!$C:$C,B48)</f>
        <v/>
      </c>
      <c r="D48" s="0">
        <f>VLOOKUP(B48,'Item Tier Lookup'!$A:$B,2,FALSE)</f>
        <v/>
      </c>
      <c r="E48" s="0">
        <f>VLOOKUP(D48,'Tier Params'!$A:$B,2,FALSE)</f>
        <v/>
      </c>
      <c r="F48" s="0">
        <f>VLOOKUP(D48,'Tier Params'!$A:$C,3,FALSE)</f>
        <v/>
      </c>
      <c r="G48" s="0">
        <f>CEILING(C48/F48,1)</f>
        <v/>
      </c>
      <c r="H48" s="0">
        <f>G48*E48</f>
        <v/>
      </c>
    </row>
    <row r="49">
      <c r="A49" s="0" t="inlineStr">
        <is>
          <t>Structure Construction Parts</t>
        </is>
      </c>
      <c r="B49" s="0" t="inlineStr">
        <is>
          <t>Fertilizer</t>
        </is>
      </c>
      <c r="C49" s="0">
        <f>SUMIFS('BOM Cycle Calc'!$D:$D,'BOM Cycle Calc'!$B:$B,A49,'BOM Cycle Calc'!$C:$C,B49)</f>
        <v/>
      </c>
      <c r="D49" s="0">
        <f>VLOOKUP(B49,'Item Tier Lookup'!$A:$B,2,FALSE)</f>
        <v/>
      </c>
      <c r="E49" s="0">
        <f>VLOOKUP(D49,'Tier Params'!$A:$B,2,FALSE)</f>
        <v/>
      </c>
      <c r="F49" s="0">
        <f>VLOOKUP(D49,'Tier Params'!$A:$C,3,FALSE)</f>
        <v/>
      </c>
      <c r="G49" s="0">
        <f>CEILING(C49/F49,1)</f>
        <v/>
      </c>
      <c r="H49" s="0">
        <f>G49*E49</f>
        <v/>
      </c>
    </row>
    <row r="50">
      <c r="A50" s="0" t="inlineStr">
        <is>
          <t>Structure Construction Parts</t>
        </is>
      </c>
      <c r="B50" s="0" t="inlineStr">
        <is>
          <t>Proteins</t>
        </is>
      </c>
      <c r="C50" s="0">
        <f>SUMIFS('BOM Cycle Calc'!$D:$D,'BOM Cycle Calc'!$B:$B,A50,'BOM Cycle Calc'!$C:$C,B50)</f>
        <v/>
      </c>
      <c r="D50" s="0">
        <f>VLOOKUP(B50,'Item Tier Lookup'!$A:$B,2,FALSE)</f>
        <v/>
      </c>
      <c r="E50" s="0">
        <f>VLOOKUP(D50,'Tier Params'!$A:$B,2,FALSE)</f>
        <v/>
      </c>
      <c r="F50" s="0">
        <f>VLOOKUP(D50,'Tier Params'!$A:$C,3,FALSE)</f>
        <v/>
      </c>
      <c r="G50" s="0">
        <f>CEILING(C50/F50,1)</f>
        <v/>
      </c>
      <c r="H50" s="0">
        <f>G50*E50</f>
        <v/>
      </c>
    </row>
    <row r="51">
      <c r="A51" s="0" t="inlineStr">
        <is>
          <t>Structure Construction Parts</t>
        </is>
      </c>
      <c r="B51" s="0" t="inlineStr">
        <is>
          <t>Complex Organisms</t>
        </is>
      </c>
      <c r="C51" s="0">
        <f>SUMIFS('BOM Cycle Calc'!$D:$D,'BOM Cycle Calc'!$B:$B,A51,'BOM Cycle Calc'!$C:$C,B51)</f>
        <v/>
      </c>
      <c r="D51" s="0">
        <f>VLOOKUP(B51,'Item Tier Lookup'!$A:$B,2,FALSE)</f>
        <v/>
      </c>
      <c r="E51" s="0">
        <f>VLOOKUP(D51,'Tier Params'!$A:$B,2,FALSE)</f>
        <v/>
      </c>
      <c r="F51" s="0">
        <f>VLOOKUP(D51,'Tier Params'!$A:$C,3,FALSE)</f>
        <v/>
      </c>
      <c r="G51" s="0">
        <f>CEILING(C51/F51,1)</f>
        <v/>
      </c>
      <c r="H51" s="0">
        <f>G51*E51</f>
        <v/>
      </c>
    </row>
    <row r="52">
      <c r="A52" s="0" t="inlineStr">
        <is>
          <t>Structure Construction Parts</t>
        </is>
      </c>
      <c r="B52" s="0" t="inlineStr">
        <is>
          <t>Ukomi Superconductors</t>
        </is>
      </c>
      <c r="C52" s="0">
        <f>SUMIFS('BOM Cycle Calc'!$D:$D,'BOM Cycle Calc'!$B:$B,A52,'BOM Cycle Calc'!$C:$C,B52)</f>
        <v/>
      </c>
      <c r="D52" s="0">
        <f>VLOOKUP(B52,'Item Tier Lookup'!$A:$B,2,FALSE)</f>
        <v/>
      </c>
      <c r="E52" s="0">
        <f>VLOOKUP(D52,'Tier Params'!$A:$B,2,FALSE)</f>
        <v/>
      </c>
      <c r="F52" s="0">
        <f>VLOOKUP(D52,'Tier Params'!$A:$C,3,FALSE)</f>
        <v/>
      </c>
      <c r="G52" s="0">
        <f>CEILING(C52/F52,1)</f>
        <v/>
      </c>
      <c r="H52" s="0">
        <f>G52*E52</f>
        <v/>
      </c>
    </row>
    <row r="53">
      <c r="A53" s="0" t="inlineStr">
        <is>
          <t>Structure Construction Parts</t>
        </is>
      </c>
      <c r="B53" s="0" t="inlineStr">
        <is>
          <t>Synthetic Oil</t>
        </is>
      </c>
      <c r="C53" s="0">
        <f>SUMIFS('BOM Cycle Calc'!$D:$D,'BOM Cycle Calc'!$B:$B,A53,'BOM Cycle Calc'!$C:$C,B53)</f>
        <v/>
      </c>
      <c r="D53" s="0">
        <f>VLOOKUP(B53,'Item Tier Lookup'!$A:$B,2,FALSE)</f>
        <v/>
      </c>
      <c r="E53" s="0">
        <f>VLOOKUP(D53,'Tier Params'!$A:$B,2,FALSE)</f>
        <v/>
      </c>
      <c r="F53" s="0">
        <f>VLOOKUP(D53,'Tier Params'!$A:$C,3,FALSE)</f>
        <v/>
      </c>
      <c r="G53" s="0">
        <f>CEILING(C53/F53,1)</f>
        <v/>
      </c>
      <c r="H53" s="0">
        <f>G53*E53</f>
        <v/>
      </c>
    </row>
    <row r="54">
      <c r="A54" s="0" t="inlineStr">
        <is>
          <t>Structure Construction Parts</t>
        </is>
      </c>
      <c r="B54" s="0" t="inlineStr">
        <is>
          <t>Electrolytes</t>
        </is>
      </c>
      <c r="C54" s="0">
        <f>SUMIFS('BOM Cycle Calc'!$D:$D,'BOM Cycle Calc'!$B:$B,A54,'BOM Cycle Calc'!$C:$C,B54)</f>
        <v/>
      </c>
      <c r="D54" s="0">
        <f>VLOOKUP(B54,'Item Tier Lookup'!$A:$B,2,FALSE)</f>
        <v/>
      </c>
      <c r="E54" s="0">
        <f>VLOOKUP(D54,'Tier Params'!$A:$B,2,FALSE)</f>
        <v/>
      </c>
      <c r="F54" s="0">
        <f>VLOOKUP(D54,'Tier Params'!$A:$C,3,FALSE)</f>
        <v/>
      </c>
      <c r="G54" s="0">
        <f>CEILING(C54/F54,1)</f>
        <v/>
      </c>
      <c r="H54" s="0">
        <f>G54*E54</f>
        <v/>
      </c>
    </row>
    <row r="55">
      <c r="A55" s="0" t="inlineStr">
        <is>
          <t>Structure Construction Parts</t>
        </is>
      </c>
      <c r="B55" s="0" t="inlineStr">
        <is>
          <t>Ionic Solutions</t>
        </is>
      </c>
      <c r="C55" s="0">
        <f>SUMIFS('BOM Cycle Calc'!$D:$D,'BOM Cycle Calc'!$B:$B,A55,'BOM Cycle Calc'!$C:$C,B55)</f>
        <v/>
      </c>
      <c r="D55" s="0">
        <f>VLOOKUP(B55,'Item Tier Lookup'!$A:$B,2,FALSE)</f>
        <v/>
      </c>
      <c r="E55" s="0">
        <f>VLOOKUP(D55,'Tier Params'!$A:$B,2,FALSE)</f>
        <v/>
      </c>
      <c r="F55" s="0">
        <f>VLOOKUP(D55,'Tier Params'!$A:$C,3,FALSE)</f>
        <v/>
      </c>
      <c r="G55" s="0">
        <f>CEILING(C55/F55,1)</f>
        <v/>
      </c>
      <c r="H55" s="0">
        <f>G55*E55</f>
        <v/>
      </c>
    </row>
    <row r="56">
      <c r="A56" s="0" t="inlineStr">
        <is>
          <t>Structure Construction Parts</t>
        </is>
      </c>
      <c r="B56" s="0" t="inlineStr">
        <is>
          <t>Organic Mortar Applicators</t>
        </is>
      </c>
      <c r="C56" s="0">
        <f>SUMIFS('BOM Cycle Calc'!$D:$D,'BOM Cycle Calc'!$B:$B,A56,'BOM Cycle Calc'!$C:$C,B56)</f>
        <v/>
      </c>
      <c r="D56" s="0">
        <f>VLOOKUP(B56,'Item Tier Lookup'!$A:$B,2,FALSE)</f>
        <v/>
      </c>
      <c r="E56" s="0">
        <f>VLOOKUP(D56,'Tier Params'!$A:$B,2,FALSE)</f>
        <v/>
      </c>
      <c r="F56" s="0">
        <f>VLOOKUP(D56,'Tier Params'!$A:$C,3,FALSE)</f>
        <v/>
      </c>
      <c r="G56" s="0">
        <f>CEILING(C56/F56,1)</f>
        <v/>
      </c>
      <c r="H56" s="0">
        <f>G56*E56</f>
        <v/>
      </c>
    </row>
    <row r="57">
      <c r="A57" s="0" t="inlineStr">
        <is>
          <t>Structure Construction Parts</t>
        </is>
      </c>
      <c r="B57" s="0" t="inlineStr">
        <is>
          <t>Condensates</t>
        </is>
      </c>
      <c r="C57" s="0">
        <f>SUMIFS('BOM Cycle Calc'!$D:$D,'BOM Cycle Calc'!$B:$B,A57,'BOM Cycle Calc'!$C:$C,B57)</f>
        <v/>
      </c>
      <c r="D57" s="0">
        <f>VLOOKUP(B57,'Item Tier Lookup'!$A:$B,2,FALSE)</f>
        <v/>
      </c>
      <c r="E57" s="0">
        <f>VLOOKUP(D57,'Tier Params'!$A:$B,2,FALSE)</f>
        <v/>
      </c>
      <c r="F57" s="0">
        <f>VLOOKUP(D57,'Tier Params'!$A:$C,3,FALSE)</f>
        <v/>
      </c>
      <c r="G57" s="0">
        <f>CEILING(C57/F57,1)</f>
        <v/>
      </c>
      <c r="H57" s="0">
        <f>G57*E57</f>
        <v/>
      </c>
    </row>
    <row r="58">
      <c r="A58" s="0" t="inlineStr">
        <is>
          <t>Structure Construction Parts</t>
        </is>
      </c>
      <c r="B58" s="0" t="inlineStr">
        <is>
          <t>Coolant</t>
        </is>
      </c>
      <c r="C58" s="0">
        <f>SUMIFS('BOM Cycle Calc'!$D:$D,'BOM Cycle Calc'!$B:$B,A58,'BOM Cycle Calc'!$C:$C,B58)</f>
        <v/>
      </c>
      <c r="D58" s="0">
        <f>VLOOKUP(B58,'Item Tier Lookup'!$A:$B,2,FALSE)</f>
        <v/>
      </c>
      <c r="E58" s="0">
        <f>VLOOKUP(D58,'Tier Params'!$A:$B,2,FALSE)</f>
        <v/>
      </c>
      <c r="F58" s="0">
        <f>VLOOKUP(D58,'Tier Params'!$A:$C,3,FALSE)</f>
        <v/>
      </c>
      <c r="G58" s="0">
        <f>CEILING(C58/F58,1)</f>
        <v/>
      </c>
      <c r="H58" s="0">
        <f>G58*E58</f>
        <v/>
      </c>
    </row>
    <row r="59">
      <c r="A59" s="0" t="inlineStr">
        <is>
          <t>Structure Construction Parts</t>
        </is>
      </c>
      <c r="B59" s="0" t="inlineStr">
        <is>
          <t>Robotics</t>
        </is>
      </c>
      <c r="C59" s="0">
        <f>SUMIFS('BOM Cycle Calc'!$D:$D,'BOM Cycle Calc'!$B:$B,A59,'BOM Cycle Calc'!$C:$C,B59)</f>
        <v/>
      </c>
      <c r="D59" s="0">
        <f>VLOOKUP(B59,'Item Tier Lookup'!$A:$B,2,FALSE)</f>
        <v/>
      </c>
      <c r="E59" s="0">
        <f>VLOOKUP(D59,'Tier Params'!$A:$B,2,FALSE)</f>
        <v/>
      </c>
      <c r="F59" s="0">
        <f>VLOOKUP(D59,'Tier Params'!$A:$C,3,FALSE)</f>
        <v/>
      </c>
      <c r="G59" s="0">
        <f>CEILING(C59/F59,1)</f>
        <v/>
      </c>
      <c r="H59" s="0">
        <f>G59*E59</f>
        <v/>
      </c>
    </row>
    <row r="60">
      <c r="A60" s="0" t="inlineStr">
        <is>
          <t>Structure Construction Parts</t>
        </is>
      </c>
      <c r="B60" s="0" t="inlineStr">
        <is>
          <t>Consumer Electronics</t>
        </is>
      </c>
      <c r="C60" s="0">
        <f>SUMIFS('BOM Cycle Calc'!$D:$D,'BOM Cycle Calc'!$B:$B,A60,'BOM Cycle Calc'!$C:$C,B60)</f>
        <v/>
      </c>
      <c r="D60" s="0">
        <f>VLOOKUP(B60,'Item Tier Lookup'!$A:$B,2,FALSE)</f>
        <v/>
      </c>
      <c r="E60" s="0">
        <f>VLOOKUP(D60,'Tier Params'!$A:$B,2,FALSE)</f>
        <v/>
      </c>
      <c r="F60" s="0">
        <f>VLOOKUP(D60,'Tier Params'!$A:$C,3,FALSE)</f>
        <v/>
      </c>
      <c r="G60" s="0">
        <f>CEILING(C60/F60,1)</f>
        <v/>
      </c>
      <c r="H60" s="0">
        <f>G60*E60</f>
        <v/>
      </c>
    </row>
    <row r="61">
      <c r="A61" s="0" t="inlineStr">
        <is>
          <t>Structure Construction Parts</t>
        </is>
      </c>
      <c r="B61" s="0" t="inlineStr">
        <is>
          <t>Toxic Metals</t>
        </is>
      </c>
      <c r="C61" s="0">
        <f>SUMIFS('BOM Cycle Calc'!$D:$D,'BOM Cycle Calc'!$B:$B,A61,'BOM Cycle Calc'!$C:$C,B61)</f>
        <v/>
      </c>
      <c r="D61" s="0">
        <f>VLOOKUP(B61,'Item Tier Lookup'!$A:$B,2,FALSE)</f>
        <v/>
      </c>
      <c r="E61" s="0">
        <f>VLOOKUP(D61,'Tier Params'!$A:$B,2,FALSE)</f>
        <v/>
      </c>
      <c r="F61" s="0">
        <f>VLOOKUP(D61,'Tier Params'!$A:$C,3,FALSE)</f>
        <v/>
      </c>
      <c r="G61" s="0">
        <f>CEILING(C61/F61,1)</f>
        <v/>
      </c>
      <c r="H61" s="0">
        <f>G61*E61</f>
        <v/>
      </c>
    </row>
    <row r="62">
      <c r="A62" s="0" t="inlineStr">
        <is>
          <t>Structure Construction Parts</t>
        </is>
      </c>
      <c r="B62" s="0" t="inlineStr">
        <is>
          <t>Heavy Metals</t>
        </is>
      </c>
      <c r="C62" s="0">
        <f>SUMIFS('BOM Cycle Calc'!$D:$D,'BOM Cycle Calc'!$B:$B,A62,'BOM Cycle Calc'!$C:$C,B62)</f>
        <v/>
      </c>
      <c r="D62" s="0">
        <f>VLOOKUP(B62,'Item Tier Lookup'!$A:$B,2,FALSE)</f>
        <v/>
      </c>
      <c r="E62" s="0">
        <f>VLOOKUP(D62,'Tier Params'!$A:$B,2,FALSE)</f>
        <v/>
      </c>
      <c r="F62" s="0">
        <f>VLOOKUP(D62,'Tier Params'!$A:$C,3,FALSE)</f>
        <v/>
      </c>
      <c r="G62" s="0">
        <f>CEILING(C62/F62,1)</f>
        <v/>
      </c>
      <c r="H62" s="0">
        <f>G62*E62</f>
        <v/>
      </c>
    </row>
    <row r="63">
      <c r="A63" s="0" t="inlineStr">
        <is>
          <t>Structure Construction Parts</t>
        </is>
      </c>
      <c r="B63" s="0" t="inlineStr">
        <is>
          <t>Recursive Computing Module</t>
        </is>
      </c>
      <c r="C63" s="0">
        <f>SUMIFS('BOM Cycle Calc'!$D:$D,'BOM Cycle Calc'!$B:$B,A63,'BOM Cycle Calc'!$C:$C,B63)</f>
        <v/>
      </c>
      <c r="D63" s="0">
        <f>VLOOKUP(B63,'Item Tier Lookup'!$A:$B,2,FALSE)</f>
        <v/>
      </c>
      <c r="E63" s="0">
        <f>VLOOKUP(D63,'Tier Params'!$A:$B,2,FALSE)</f>
        <v/>
      </c>
      <c r="F63" s="0">
        <f>VLOOKUP(D63,'Tier Params'!$A:$C,3,FALSE)</f>
        <v/>
      </c>
      <c r="G63" s="0">
        <f>CEILING(C63/F63,1)</f>
        <v/>
      </c>
      <c r="H63" s="0">
        <f>G63*E63</f>
        <v/>
      </c>
    </row>
    <row r="64">
      <c r="A64" s="0" t="inlineStr">
        <is>
          <t>Structure Construction Parts</t>
        </is>
      </c>
      <c r="B64" s="0" t="inlineStr">
        <is>
          <t>Synthetic Synapses</t>
        </is>
      </c>
      <c r="C64" s="0">
        <f>SUMIFS('BOM Cycle Calc'!$D:$D,'BOM Cycle Calc'!$B:$B,A64,'BOM Cycle Calc'!$C:$C,B64)</f>
        <v/>
      </c>
      <c r="D64" s="0">
        <f>VLOOKUP(B64,'Item Tier Lookup'!$A:$B,2,FALSE)</f>
        <v/>
      </c>
      <c r="E64" s="0">
        <f>VLOOKUP(D64,'Tier Params'!$A:$B,2,FALSE)</f>
        <v/>
      </c>
      <c r="F64" s="0">
        <f>VLOOKUP(D64,'Tier Params'!$A:$C,3,FALSE)</f>
        <v/>
      </c>
      <c r="G64" s="0">
        <f>CEILING(C64/F64,1)</f>
        <v/>
      </c>
      <c r="H64" s="0">
        <f>G64*E64</f>
        <v/>
      </c>
    </row>
    <row r="65">
      <c r="A65" s="0" t="inlineStr">
        <is>
          <t>Structure Construction Parts</t>
        </is>
      </c>
      <c r="B65" s="0" t="inlineStr">
        <is>
          <t>Test Cultures</t>
        </is>
      </c>
      <c r="C65" s="0">
        <f>SUMIFS('BOM Cycle Calc'!$D:$D,'BOM Cycle Calc'!$B:$B,A65,'BOM Cycle Calc'!$C:$C,B65)</f>
        <v/>
      </c>
      <c r="D65" s="0">
        <f>VLOOKUP(B65,'Item Tier Lookup'!$A:$B,2,FALSE)</f>
        <v/>
      </c>
      <c r="E65" s="0">
        <f>VLOOKUP(D65,'Tier Params'!$A:$B,2,FALSE)</f>
        <v/>
      </c>
      <c r="F65" s="0">
        <f>VLOOKUP(D65,'Tier Params'!$A:$C,3,FALSE)</f>
        <v/>
      </c>
      <c r="G65" s="0">
        <f>CEILING(C65/F65,1)</f>
        <v/>
      </c>
      <c r="H65" s="0">
        <f>G65*E65</f>
        <v/>
      </c>
    </row>
    <row r="66">
      <c r="A66" s="0" t="inlineStr">
        <is>
          <t>Structure Construction Parts</t>
        </is>
      </c>
      <c r="B66" s="0" t="inlineStr">
        <is>
          <t>Transcranial Microcontrollers</t>
        </is>
      </c>
      <c r="C66" s="0">
        <f>SUMIFS('BOM Cycle Calc'!$D:$D,'BOM Cycle Calc'!$B:$B,A66,'BOM Cycle Calc'!$C:$C,B66)</f>
        <v/>
      </c>
      <c r="D66" s="0">
        <f>VLOOKUP(B66,'Item Tier Lookup'!$A:$B,2,FALSE)</f>
        <v/>
      </c>
      <c r="E66" s="0">
        <f>VLOOKUP(D66,'Tier Params'!$A:$B,2,FALSE)</f>
        <v/>
      </c>
      <c r="F66" s="0">
        <f>VLOOKUP(D66,'Tier Params'!$A:$C,3,FALSE)</f>
        <v/>
      </c>
      <c r="G66" s="0">
        <f>CEILING(C66/F66,1)</f>
        <v/>
      </c>
      <c r="H66" s="0">
        <f>G66*E66</f>
        <v/>
      </c>
    </row>
    <row r="67">
      <c r="A67" s="0" t="inlineStr">
        <is>
          <t>Structure Construction Parts</t>
        </is>
      </c>
      <c r="B67" s="0" t="inlineStr">
        <is>
          <t>Nanites</t>
        </is>
      </c>
      <c r="C67" s="0">
        <f>SUMIFS('BOM Cycle Calc'!$D:$D,'BOM Cycle Calc'!$B:$B,A67,'BOM Cycle Calc'!$C:$C,B67)</f>
        <v/>
      </c>
      <c r="D67" s="0">
        <f>VLOOKUP(B67,'Item Tier Lookup'!$A:$B,2,FALSE)</f>
        <v/>
      </c>
      <c r="E67" s="0">
        <f>VLOOKUP(D67,'Tier Params'!$A:$B,2,FALSE)</f>
        <v/>
      </c>
      <c r="F67" s="0">
        <f>VLOOKUP(D67,'Tier Params'!$A:$C,3,FALSE)</f>
        <v/>
      </c>
      <c r="G67" s="0">
        <f>CEILING(C67/F67,1)</f>
        <v/>
      </c>
      <c r="H67" s="0">
        <f>G67*E67</f>
        <v/>
      </c>
    </row>
    <row r="68">
      <c r="A68" s="0" t="inlineStr">
        <is>
          <t>Structure Construction Parts</t>
        </is>
      </c>
      <c r="B68" s="0" t="inlineStr">
        <is>
          <t>Guidance Systems</t>
        </is>
      </c>
      <c r="C68" s="0">
        <f>SUMIFS('BOM Cycle Calc'!$D:$D,'BOM Cycle Calc'!$B:$B,A68,'BOM Cycle Calc'!$C:$C,B68)</f>
        <v/>
      </c>
      <c r="D68" s="0">
        <f>VLOOKUP(B68,'Item Tier Lookup'!$A:$B,2,FALSE)</f>
        <v/>
      </c>
      <c r="E68" s="0">
        <f>VLOOKUP(D68,'Tier Params'!$A:$B,2,FALSE)</f>
        <v/>
      </c>
      <c r="F68" s="0">
        <f>VLOOKUP(D68,'Tier Params'!$A:$C,3,FALSE)</f>
        <v/>
      </c>
      <c r="G68" s="0">
        <f>CEILING(C68/F68,1)</f>
        <v/>
      </c>
      <c r="H68" s="0">
        <f>G68*E68</f>
        <v/>
      </c>
    </row>
    <row r="69">
      <c r="A69" s="0" t="inlineStr">
        <is>
          <t>Structure Construction Parts</t>
        </is>
      </c>
      <c r="B69" s="0" t="inlineStr">
        <is>
          <t>Water-Cooled CPU</t>
        </is>
      </c>
      <c r="C69" s="0">
        <f>SUMIFS('BOM Cycle Calc'!$D:$D,'BOM Cycle Calc'!$B:$B,A69,'BOM Cycle Calc'!$C:$C,B69)</f>
        <v/>
      </c>
      <c r="D69" s="0">
        <f>VLOOKUP(B69,'Item Tier Lookup'!$A:$B,2,FALSE)</f>
        <v/>
      </c>
      <c r="E69" s="0">
        <f>VLOOKUP(D69,'Tier Params'!$A:$B,2,FALSE)</f>
        <v/>
      </c>
      <c r="F69" s="0">
        <f>VLOOKUP(D69,'Tier Params'!$A:$C,3,FALSE)</f>
        <v/>
      </c>
      <c r="G69" s="0">
        <f>CEILING(C69/F69,1)</f>
        <v/>
      </c>
      <c r="H69" s="0">
        <f>G69*E69</f>
        <v/>
      </c>
    </row>
    <row r="70">
      <c r="A70" s="0" t="inlineStr">
        <is>
          <t>Structure Construction Parts</t>
        </is>
      </c>
      <c r="B70" s="0" t="inlineStr">
        <is>
          <t>Self-Harmonizing Power Core</t>
        </is>
      </c>
      <c r="C70" s="0">
        <f>SUMIFS('BOM Cycle Calc'!$D:$D,'BOM Cycle Calc'!$B:$B,A70,'BOM Cycle Calc'!$C:$C,B70)</f>
        <v/>
      </c>
      <c r="D70" s="0">
        <f>VLOOKUP(B70,'Item Tier Lookup'!$A:$B,2,FALSE)</f>
        <v/>
      </c>
      <c r="E70" s="0">
        <f>VLOOKUP(D70,'Tier Params'!$A:$B,2,FALSE)</f>
        <v/>
      </c>
      <c r="F70" s="0">
        <f>VLOOKUP(D70,'Tier Params'!$A:$C,3,FALSE)</f>
        <v/>
      </c>
      <c r="G70" s="0">
        <f>CEILING(C70/F70,1)</f>
        <v/>
      </c>
      <c r="H70" s="0">
        <f>G70*E70</f>
        <v/>
      </c>
    </row>
    <row r="71">
      <c r="A71" s="0" t="inlineStr">
        <is>
          <t>Structure Construction Parts</t>
        </is>
      </c>
      <c r="B71" s="0" t="inlineStr">
        <is>
          <t>Nuclear Reactors</t>
        </is>
      </c>
      <c r="C71" s="0">
        <f>SUMIFS('BOM Cycle Calc'!$D:$D,'BOM Cycle Calc'!$B:$B,A71,'BOM Cycle Calc'!$C:$C,B71)</f>
        <v/>
      </c>
      <c r="D71" s="0">
        <f>VLOOKUP(B71,'Item Tier Lookup'!$A:$B,2,FALSE)</f>
        <v/>
      </c>
      <c r="E71" s="0">
        <f>VLOOKUP(D71,'Tier Params'!$A:$B,2,FALSE)</f>
        <v/>
      </c>
      <c r="F71" s="0">
        <f>VLOOKUP(D71,'Tier Params'!$A:$C,3,FALSE)</f>
        <v/>
      </c>
      <c r="G71" s="0">
        <f>CEILING(C71/F71,1)</f>
        <v/>
      </c>
      <c r="H71" s="0">
        <f>G71*E71</f>
        <v/>
      </c>
    </row>
    <row r="72">
      <c r="A72" s="0" t="inlineStr">
        <is>
          <t>Structure Construction Parts</t>
        </is>
      </c>
      <c r="B72" s="0" t="inlineStr">
        <is>
          <t>Enriched Uranium</t>
        </is>
      </c>
      <c r="C72" s="0">
        <f>SUMIFS('BOM Cycle Calc'!$D:$D,'BOM Cycle Calc'!$B:$B,A72,'BOM Cycle Calc'!$C:$C,B72)</f>
        <v/>
      </c>
      <c r="D72" s="0">
        <f>VLOOKUP(B72,'Item Tier Lookup'!$A:$B,2,FALSE)</f>
        <v/>
      </c>
      <c r="E72" s="0">
        <f>VLOOKUP(D72,'Tier Params'!$A:$B,2,FALSE)</f>
        <v/>
      </c>
      <c r="F72" s="0">
        <f>VLOOKUP(D72,'Tier Params'!$A:$C,3,FALSE)</f>
        <v/>
      </c>
      <c r="G72" s="0">
        <f>CEILING(C72/F72,1)</f>
        <v/>
      </c>
      <c r="H72" s="0">
        <f>G72*E72</f>
        <v/>
      </c>
    </row>
    <row r="73">
      <c r="A73" s="0" t="inlineStr">
        <is>
          <t>Structure Construction Parts</t>
        </is>
      </c>
      <c r="B73" s="0" t="inlineStr">
        <is>
          <t>Microfiber Shielding</t>
        </is>
      </c>
      <c r="C73" s="0">
        <f>SUMIFS('BOM Cycle Calc'!$D:$D,'BOM Cycle Calc'!$B:$B,A73,'BOM Cycle Calc'!$C:$C,B73)</f>
        <v/>
      </c>
      <c r="D73" s="0">
        <f>VLOOKUP(B73,'Item Tier Lookup'!$A:$B,2,FALSE)</f>
        <v/>
      </c>
      <c r="E73" s="0">
        <f>VLOOKUP(D73,'Tier Params'!$A:$B,2,FALSE)</f>
        <v/>
      </c>
      <c r="F73" s="0">
        <f>VLOOKUP(D73,'Tier Params'!$A:$C,3,FALSE)</f>
        <v/>
      </c>
      <c r="G73" s="0">
        <f>CEILING(C73/F73,1)</f>
        <v/>
      </c>
      <c r="H73" s="0">
        <f>G73*E73</f>
        <v/>
      </c>
    </row>
    <row r="74">
      <c r="A74" s="0" t="inlineStr">
        <is>
          <t>Structure Construction Parts</t>
        </is>
      </c>
      <c r="B74" s="0" t="inlineStr">
        <is>
          <t>Camera Drones</t>
        </is>
      </c>
      <c r="C74" s="0">
        <f>SUMIFS('BOM Cycle Calc'!$D:$D,'BOM Cycle Calc'!$B:$B,A74,'BOM Cycle Calc'!$C:$C,B74)</f>
        <v/>
      </c>
      <c r="D74" s="0">
        <f>VLOOKUP(B74,'Item Tier Lookup'!$A:$B,2,FALSE)</f>
        <v/>
      </c>
      <c r="E74" s="0">
        <f>VLOOKUP(D74,'Tier Params'!$A:$B,2,FALSE)</f>
        <v/>
      </c>
      <c r="F74" s="0">
        <f>VLOOKUP(D74,'Tier Params'!$A:$C,3,FALSE)</f>
        <v/>
      </c>
      <c r="G74" s="0">
        <f>CEILING(C74/F74,1)</f>
        <v/>
      </c>
      <c r="H74" s="0">
        <f>G74*E74</f>
        <v/>
      </c>
    </row>
    <row r="75">
      <c r="A75" s="0" t="inlineStr">
        <is>
          <t>Structure Construction Parts</t>
        </is>
      </c>
      <c r="B75" s="0" t="inlineStr">
        <is>
          <t>Rocket Fuel</t>
        </is>
      </c>
      <c r="C75" s="0">
        <f>SUMIFS('BOM Cycle Calc'!$D:$D,'BOM Cycle Calc'!$B:$B,A75,'BOM Cycle Calc'!$C:$C,B75)</f>
        <v/>
      </c>
      <c r="D75" s="0">
        <f>VLOOKUP(B75,'Item Tier Lookup'!$A:$B,2,FALSE)</f>
        <v/>
      </c>
      <c r="E75" s="0">
        <f>VLOOKUP(D75,'Tier Params'!$A:$B,2,FALSE)</f>
        <v/>
      </c>
      <c r="F75" s="0">
        <f>VLOOKUP(D75,'Tier Params'!$A:$C,3,FALSE)</f>
        <v/>
      </c>
      <c r="G75" s="0">
        <f>CEILING(C75/F75,1)</f>
        <v/>
      </c>
      <c r="H75" s="0">
        <f>G75*E75</f>
        <v/>
      </c>
    </row>
    <row r="76">
      <c r="A76" s="0" t="inlineStr">
        <is>
          <t>Structure Construction Parts</t>
        </is>
      </c>
      <c r="B76" s="0" t="inlineStr">
        <is>
          <t>Silicate Glass</t>
        </is>
      </c>
      <c r="C76" s="0">
        <f>SUMIFS('BOM Cycle Calc'!$D:$D,'BOM Cycle Calc'!$B:$B,A76,'BOM Cycle Calc'!$C:$C,B76)</f>
        <v/>
      </c>
      <c r="D76" s="0">
        <f>VLOOKUP(B76,'Item Tier Lookup'!$A:$B,2,FALSE)</f>
        <v/>
      </c>
      <c r="E76" s="0">
        <f>VLOOKUP(D76,'Tier Params'!$A:$B,2,FALSE)</f>
        <v/>
      </c>
      <c r="F76" s="0">
        <f>VLOOKUP(D76,'Tier Params'!$A:$C,3,FALSE)</f>
        <v/>
      </c>
      <c r="G76" s="0">
        <f>CEILING(C76/F76,1)</f>
        <v/>
      </c>
      <c r="H76" s="0">
        <f>G76*E76</f>
        <v/>
      </c>
    </row>
    <row r="77">
      <c r="A77" s="0" t="inlineStr">
        <is>
          <t>Structure Construction Parts</t>
        </is>
      </c>
      <c r="B77" s="0" t="inlineStr">
        <is>
          <t>Hermetic Membranes</t>
        </is>
      </c>
      <c r="C77" s="0">
        <f>SUMIFS('BOM Cycle Calc'!$D:$D,'BOM Cycle Calc'!$B:$B,A77,'BOM Cycle Calc'!$C:$C,B77)</f>
        <v/>
      </c>
      <c r="D77" s="0">
        <f>VLOOKUP(B77,'Item Tier Lookup'!$A:$B,2,FALSE)</f>
        <v/>
      </c>
      <c r="E77" s="0">
        <f>VLOOKUP(D77,'Tier Params'!$A:$B,2,FALSE)</f>
        <v/>
      </c>
      <c r="F77" s="0">
        <f>VLOOKUP(D77,'Tier Params'!$A:$C,3,FALSE)</f>
        <v/>
      </c>
      <c r="G77" s="0">
        <f>CEILING(C77/F77,1)</f>
        <v/>
      </c>
      <c r="H77" s="0">
        <f>G77*E77</f>
        <v/>
      </c>
    </row>
    <row r="78">
      <c r="A78" s="0" t="inlineStr">
        <is>
          <t>Structure Construction Parts</t>
        </is>
      </c>
      <c r="B78" s="0" t="inlineStr">
        <is>
          <t>Polyaramids</t>
        </is>
      </c>
      <c r="C78" s="0">
        <f>SUMIFS('BOM Cycle Calc'!$D:$D,'BOM Cycle Calc'!$B:$B,A78,'BOM Cycle Calc'!$C:$C,B78)</f>
        <v/>
      </c>
      <c r="D78" s="0">
        <f>VLOOKUP(B78,'Item Tier Lookup'!$A:$B,2,FALSE)</f>
        <v/>
      </c>
      <c r="E78" s="0">
        <f>VLOOKUP(D78,'Tier Params'!$A:$B,2,FALSE)</f>
        <v/>
      </c>
      <c r="F78" s="0">
        <f>VLOOKUP(D78,'Tier Params'!$A:$C,3,FALSE)</f>
        <v/>
      </c>
      <c r="G78" s="0">
        <f>CEILING(C78/F78,1)</f>
        <v/>
      </c>
      <c r="H78" s="0">
        <f>G78*E78</f>
        <v/>
      </c>
    </row>
    <row r="79">
      <c r="A79" s="0" t="inlineStr">
        <is>
          <t>Structure Construction Parts</t>
        </is>
      </c>
      <c r="B79" s="0" t="inlineStr">
        <is>
          <t>Genetically Enhanced Livestock</t>
        </is>
      </c>
      <c r="C79" s="0">
        <f>SUMIFS('BOM Cycle Calc'!$D:$D,'BOM Cycle Calc'!$B:$B,A79,'BOM Cycle Calc'!$C:$C,B79)</f>
        <v/>
      </c>
      <c r="D79" s="0">
        <f>VLOOKUP(B79,'Item Tier Lookup'!$A:$B,2,FALSE)</f>
        <v/>
      </c>
      <c r="E79" s="0">
        <f>VLOOKUP(D79,'Tier Params'!$A:$B,2,FALSE)</f>
        <v/>
      </c>
      <c r="F79" s="0">
        <f>VLOOKUP(D79,'Tier Params'!$A:$C,3,FALSE)</f>
        <v/>
      </c>
      <c r="G79" s="0">
        <f>CEILING(C79/F79,1)</f>
        <v/>
      </c>
      <c r="H79" s="0">
        <f>G79*E79</f>
        <v/>
      </c>
    </row>
    <row r="80">
      <c r="A80" s="0" t="inlineStr">
        <is>
          <t>Structure Construction Parts</t>
        </is>
      </c>
      <c r="B80" s="0" t="inlineStr">
        <is>
          <t>Sterile Conduits</t>
        </is>
      </c>
      <c r="C80" s="0">
        <f>SUMIFS('BOM Cycle Calc'!$D:$D,'BOM Cycle Calc'!$B:$B,A80,'BOM Cycle Calc'!$C:$C,B80)</f>
        <v/>
      </c>
      <c r="D80" s="0">
        <f>VLOOKUP(B80,'Item Tier Lookup'!$A:$B,2,FALSE)</f>
        <v/>
      </c>
      <c r="E80" s="0">
        <f>VLOOKUP(D80,'Tier Params'!$A:$B,2,FALSE)</f>
        <v/>
      </c>
      <c r="F80" s="0">
        <f>VLOOKUP(D80,'Tier Params'!$A:$C,3,FALSE)</f>
        <v/>
      </c>
      <c r="G80" s="0">
        <f>CEILING(C80/F80,1)</f>
        <v/>
      </c>
      <c r="H80" s="0">
        <f>G80*E80</f>
        <v/>
      </c>
    </row>
    <row r="81">
      <c r="A81" s="0" t="inlineStr">
        <is>
          <t>Structure Construction Parts</t>
        </is>
      </c>
      <c r="B81" s="0" t="inlineStr">
        <is>
          <t>Vaccines</t>
        </is>
      </c>
      <c r="C81" s="0">
        <f>SUMIFS('BOM Cycle Calc'!$D:$D,'BOM Cycle Calc'!$B:$B,A81,'BOM Cycle Calc'!$C:$C,B81)</f>
        <v/>
      </c>
      <c r="D81" s="0">
        <f>VLOOKUP(B81,'Item Tier Lookup'!$A:$B,2,FALSE)</f>
        <v/>
      </c>
      <c r="E81" s="0">
        <f>VLOOKUP(D81,'Tier Params'!$A:$B,2,FALSE)</f>
        <v/>
      </c>
      <c r="F81" s="0">
        <f>VLOOKUP(D81,'Tier Params'!$A:$C,3,FALSE)</f>
        <v/>
      </c>
      <c r="G81" s="0">
        <f>CEILING(C81/F81,1)</f>
        <v/>
      </c>
      <c r="H81" s="0">
        <f>G81*E81</f>
        <v/>
      </c>
    </row>
    <row r="82">
      <c r="A82" s="0" t="inlineStr">
        <is>
          <t>Structure Construction Parts</t>
        </is>
      </c>
      <c r="B82" s="0" t="inlineStr">
        <is>
          <t>Livestock</t>
        </is>
      </c>
      <c r="C82" s="0">
        <f>SUMIFS('BOM Cycle Calc'!$D:$D,'BOM Cycle Calc'!$B:$B,A82,'BOM Cycle Calc'!$C:$C,B82)</f>
        <v/>
      </c>
      <c r="D82" s="0">
        <f>VLOOKUP(B82,'Item Tier Lookup'!$A:$B,2,FALSE)</f>
        <v/>
      </c>
      <c r="E82" s="0">
        <f>VLOOKUP(D82,'Tier Params'!$A:$B,2,FALSE)</f>
        <v/>
      </c>
      <c r="F82" s="0">
        <f>VLOOKUP(D82,'Tier Params'!$A:$C,3,FALSE)</f>
        <v/>
      </c>
      <c r="G82" s="0">
        <f>CEILING(C82/F82,1)</f>
        <v/>
      </c>
      <c r="H82" s="0">
        <f>G82*E82</f>
        <v/>
      </c>
    </row>
    <row r="83">
      <c r="A83" s="0" t="inlineStr">
        <is>
          <t>Structure Construction Parts</t>
        </is>
      </c>
      <c r="B83" s="0" t="inlineStr">
        <is>
          <t>Smartfab Units</t>
        </is>
      </c>
      <c r="C83" s="0">
        <f>SUMIFS('BOM Cycle Calc'!$D:$D,'BOM Cycle Calc'!$B:$B,A83,'BOM Cycle Calc'!$C:$C,B83)</f>
        <v/>
      </c>
      <c r="D83" s="0">
        <f>VLOOKUP(B83,'Item Tier Lookup'!$A:$B,2,FALSE)</f>
        <v/>
      </c>
      <c r="E83" s="0">
        <f>VLOOKUP(D83,'Tier Params'!$A:$B,2,FALSE)</f>
        <v/>
      </c>
      <c r="F83" s="0">
        <f>VLOOKUP(D83,'Tier Params'!$A:$C,3,FALSE)</f>
        <v/>
      </c>
      <c r="G83" s="0">
        <f>CEILING(C83/F83,1)</f>
        <v/>
      </c>
      <c r="H83" s="0">
        <f>G83*E83</f>
        <v/>
      </c>
    </row>
    <row r="84">
      <c r="A84" s="0" t="inlineStr">
        <is>
          <t>Structure Construction Parts</t>
        </is>
      </c>
      <c r="B84" s="0" t="inlineStr">
        <is>
          <t>Construction Blocks</t>
        </is>
      </c>
      <c r="C84" s="0">
        <f>SUMIFS('BOM Cycle Calc'!$D:$D,'BOM Cycle Calc'!$B:$B,A84,'BOM Cycle Calc'!$C:$C,B84)</f>
        <v/>
      </c>
      <c r="D84" s="0">
        <f>VLOOKUP(B84,'Item Tier Lookup'!$A:$B,2,FALSE)</f>
        <v/>
      </c>
      <c r="E84" s="0">
        <f>VLOOKUP(D84,'Tier Params'!$A:$B,2,FALSE)</f>
        <v/>
      </c>
      <c r="F84" s="0">
        <f>VLOOKUP(D84,'Tier Params'!$A:$C,3,FALSE)</f>
        <v/>
      </c>
      <c r="G84" s="0">
        <f>CEILING(C84/F84,1)</f>
        <v/>
      </c>
      <c r="H84" s="0">
        <f>G84*E84</f>
        <v/>
      </c>
    </row>
    <row r="85">
      <c r="A85" s="0" t="inlineStr">
        <is>
          <t>Structure Hangar Array</t>
        </is>
      </c>
      <c r="B85" s="0" t="inlineStr">
        <is>
          <t>Tritanium</t>
        </is>
      </c>
      <c r="C85" s="0">
        <f>SUMIFS('BOM Cycle Calc'!$D:$D,'BOM Cycle Calc'!$B:$B,A85,'BOM Cycle Calc'!$C:$C,B85)</f>
        <v/>
      </c>
      <c r="D85" s="0">
        <f>VLOOKUP(B85,'Item Tier Lookup'!$A:$B,2,FALSE)</f>
        <v/>
      </c>
      <c r="E85" s="0">
        <f>VLOOKUP(D85,'Tier Params'!$A:$B,2,FALSE)</f>
        <v/>
      </c>
      <c r="F85" s="0">
        <f>VLOOKUP(D85,'Tier Params'!$A:$C,3,FALSE)</f>
        <v/>
      </c>
      <c r="G85" s="0">
        <f>CEILING(C85/F85,1)</f>
        <v/>
      </c>
      <c r="H85" s="0">
        <f>G85*E85</f>
        <v/>
      </c>
    </row>
    <row r="86">
      <c r="A86" s="0" t="inlineStr">
        <is>
          <t>Structure Hangar Array</t>
        </is>
      </c>
      <c r="B86" s="0" t="inlineStr">
        <is>
          <t>Pyerite</t>
        </is>
      </c>
      <c r="C86" s="0">
        <f>SUMIFS('BOM Cycle Calc'!$D:$D,'BOM Cycle Calc'!$B:$B,A86,'BOM Cycle Calc'!$C:$C,B86)</f>
        <v/>
      </c>
      <c r="D86" s="0">
        <f>VLOOKUP(B86,'Item Tier Lookup'!$A:$B,2,FALSE)</f>
        <v/>
      </c>
      <c r="E86" s="0">
        <f>VLOOKUP(D86,'Tier Params'!$A:$B,2,FALSE)</f>
        <v/>
      </c>
      <c r="F86" s="0">
        <f>VLOOKUP(D86,'Tier Params'!$A:$C,3,FALSE)</f>
        <v/>
      </c>
      <c r="G86" s="0">
        <f>CEILING(C86/F86,1)</f>
        <v/>
      </c>
      <c r="H86" s="0">
        <f>G86*E86</f>
        <v/>
      </c>
    </row>
    <row r="87">
      <c r="A87" s="0" t="inlineStr">
        <is>
          <t>Structure Hangar Array</t>
        </is>
      </c>
      <c r="B87" s="0" t="inlineStr">
        <is>
          <t>Mexallon</t>
        </is>
      </c>
      <c r="C87" s="0">
        <f>SUMIFS('BOM Cycle Calc'!$D:$D,'BOM Cycle Calc'!$B:$B,A87,'BOM Cycle Calc'!$C:$C,B87)</f>
        <v/>
      </c>
      <c r="D87" s="0">
        <f>VLOOKUP(B87,'Item Tier Lookup'!$A:$B,2,FALSE)</f>
        <v/>
      </c>
      <c r="E87" s="0">
        <f>VLOOKUP(D87,'Tier Params'!$A:$B,2,FALSE)</f>
        <v/>
      </c>
      <c r="F87" s="0">
        <f>VLOOKUP(D87,'Tier Params'!$A:$C,3,FALSE)</f>
        <v/>
      </c>
      <c r="G87" s="0">
        <f>CEILING(C87/F87,1)</f>
        <v/>
      </c>
      <c r="H87" s="0">
        <f>G87*E87</f>
        <v/>
      </c>
    </row>
    <row r="88">
      <c r="A88" s="0" t="inlineStr">
        <is>
          <t>Structure Hangar Array</t>
        </is>
      </c>
      <c r="B88" s="0" t="inlineStr">
        <is>
          <t>Isogen</t>
        </is>
      </c>
      <c r="C88" s="0">
        <f>SUMIFS('BOM Cycle Calc'!$D:$D,'BOM Cycle Calc'!$B:$B,A88,'BOM Cycle Calc'!$C:$C,B88)</f>
        <v/>
      </c>
      <c r="D88" s="0">
        <f>VLOOKUP(B88,'Item Tier Lookup'!$A:$B,2,FALSE)</f>
        <v/>
      </c>
      <c r="E88" s="0">
        <f>VLOOKUP(D88,'Tier Params'!$A:$B,2,FALSE)</f>
        <v/>
      </c>
      <c r="F88" s="0">
        <f>VLOOKUP(D88,'Tier Params'!$A:$C,3,FALSE)</f>
        <v/>
      </c>
      <c r="G88" s="0">
        <f>CEILING(C88/F88,1)</f>
        <v/>
      </c>
      <c r="H88" s="0">
        <f>G88*E88</f>
        <v/>
      </c>
    </row>
    <row r="89">
      <c r="A89" s="0" t="inlineStr">
        <is>
          <t>Structure Hangar Array</t>
        </is>
      </c>
      <c r="B89" s="0" t="inlineStr">
        <is>
          <t>Nocxium</t>
        </is>
      </c>
      <c r="C89" s="0">
        <f>SUMIFS('BOM Cycle Calc'!$D:$D,'BOM Cycle Calc'!$B:$B,A89,'BOM Cycle Calc'!$C:$C,B89)</f>
        <v/>
      </c>
      <c r="D89" s="0">
        <f>VLOOKUP(B89,'Item Tier Lookup'!$A:$B,2,FALSE)</f>
        <v/>
      </c>
      <c r="E89" s="0">
        <f>VLOOKUP(D89,'Tier Params'!$A:$B,2,FALSE)</f>
        <v/>
      </c>
      <c r="F89" s="0">
        <f>VLOOKUP(D89,'Tier Params'!$A:$C,3,FALSE)</f>
        <v/>
      </c>
      <c r="G89" s="0">
        <f>CEILING(C89/F89,1)</f>
        <v/>
      </c>
      <c r="H89" s="0">
        <f>G89*E89</f>
        <v/>
      </c>
    </row>
    <row r="90">
      <c r="A90" s="0" t="inlineStr">
        <is>
          <t>Structure Hangar Array</t>
        </is>
      </c>
      <c r="B90" s="0" t="inlineStr">
        <is>
          <t>Zydrine</t>
        </is>
      </c>
      <c r="C90" s="0">
        <f>SUMIFS('BOM Cycle Calc'!$D:$D,'BOM Cycle Calc'!$B:$B,A90,'BOM Cycle Calc'!$C:$C,B90)</f>
        <v/>
      </c>
      <c r="D90" s="0">
        <f>VLOOKUP(B90,'Item Tier Lookup'!$A:$B,2,FALSE)</f>
        <v/>
      </c>
      <c r="E90" s="0">
        <f>VLOOKUP(D90,'Tier Params'!$A:$B,2,FALSE)</f>
        <v/>
      </c>
      <c r="F90" s="0">
        <f>VLOOKUP(D90,'Tier Params'!$A:$C,3,FALSE)</f>
        <v/>
      </c>
      <c r="G90" s="0">
        <f>CEILING(C90/F90,1)</f>
        <v/>
      </c>
      <c r="H90" s="0">
        <f>G90*E90</f>
        <v/>
      </c>
    </row>
    <row r="91">
      <c r="A91" s="0" t="inlineStr">
        <is>
          <t>Structure Hangar Array</t>
        </is>
      </c>
      <c r="B91" s="0" t="inlineStr">
        <is>
          <t>Megacyte</t>
        </is>
      </c>
      <c r="C91" s="0">
        <f>SUMIFS('BOM Cycle Calc'!$D:$D,'BOM Cycle Calc'!$B:$B,A91,'BOM Cycle Calc'!$C:$C,B91)</f>
        <v/>
      </c>
      <c r="D91" s="0">
        <f>VLOOKUP(B91,'Item Tier Lookup'!$A:$B,2,FALSE)</f>
        <v/>
      </c>
      <c r="E91" s="0">
        <f>VLOOKUP(D91,'Tier Params'!$A:$B,2,FALSE)</f>
        <v/>
      </c>
      <c r="F91" s="0">
        <f>VLOOKUP(D91,'Tier Params'!$A:$C,3,FALSE)</f>
        <v/>
      </c>
      <c r="G91" s="0">
        <f>CEILING(C91/F91,1)</f>
        <v/>
      </c>
      <c r="H91" s="0">
        <f>G91*E91</f>
        <v/>
      </c>
    </row>
    <row r="92">
      <c r="A92" s="0" t="inlineStr">
        <is>
          <t>Structure Hangar Array</t>
        </is>
      </c>
      <c r="B92" s="0" t="inlineStr">
        <is>
          <t>Broadcast Node</t>
        </is>
      </c>
      <c r="C92" s="0">
        <f>SUMIFS('BOM Cycle Calc'!$D:$D,'BOM Cycle Calc'!$B:$B,A92,'BOM Cycle Calc'!$C:$C,B92)</f>
        <v/>
      </c>
      <c r="D92" s="0">
        <f>VLOOKUP(B92,'Item Tier Lookup'!$A:$B,2,FALSE)</f>
        <v/>
      </c>
      <c r="E92" s="0">
        <f>VLOOKUP(D92,'Tier Params'!$A:$B,2,FALSE)</f>
        <v/>
      </c>
      <c r="F92" s="0">
        <f>VLOOKUP(D92,'Tier Params'!$A:$C,3,FALSE)</f>
        <v/>
      </c>
      <c r="G92" s="0">
        <f>CEILING(C92/F92,1)</f>
        <v/>
      </c>
      <c r="H92" s="0">
        <f>G92*E92</f>
        <v/>
      </c>
    </row>
    <row r="93">
      <c r="A93" s="0" t="inlineStr">
        <is>
          <t>Structure Hangar Array</t>
        </is>
      </c>
      <c r="B93" s="0" t="inlineStr">
        <is>
          <t>Data Chips</t>
        </is>
      </c>
      <c r="C93" s="0">
        <f>SUMIFS('BOM Cycle Calc'!$D:$D,'BOM Cycle Calc'!$B:$B,A93,'BOM Cycle Calc'!$C:$C,B93)</f>
        <v/>
      </c>
      <c r="D93" s="0">
        <f>VLOOKUP(B93,'Item Tier Lookup'!$A:$B,2,FALSE)</f>
        <v/>
      </c>
      <c r="E93" s="0">
        <f>VLOOKUP(D93,'Tier Params'!$A:$B,2,FALSE)</f>
        <v/>
      </c>
      <c r="F93" s="0">
        <f>VLOOKUP(D93,'Tier Params'!$A:$C,3,FALSE)</f>
        <v/>
      </c>
      <c r="G93" s="0">
        <f>CEILING(C93/F93,1)</f>
        <v/>
      </c>
      <c r="H93" s="0">
        <f>G93*E93</f>
        <v/>
      </c>
    </row>
    <row r="94">
      <c r="A94" s="0" t="inlineStr">
        <is>
          <t>Structure Hangar Array</t>
        </is>
      </c>
      <c r="B94" s="0" t="inlineStr">
        <is>
          <t>Supertensile Plastics</t>
        </is>
      </c>
      <c r="C94" s="0">
        <f>SUMIFS('BOM Cycle Calc'!$D:$D,'BOM Cycle Calc'!$B:$B,A94,'BOM Cycle Calc'!$C:$C,B94)</f>
        <v/>
      </c>
      <c r="D94" s="0">
        <f>VLOOKUP(B94,'Item Tier Lookup'!$A:$B,2,FALSE)</f>
        <v/>
      </c>
      <c r="E94" s="0">
        <f>VLOOKUP(D94,'Tier Params'!$A:$B,2,FALSE)</f>
        <v/>
      </c>
      <c r="F94" s="0">
        <f>VLOOKUP(D94,'Tier Params'!$A:$C,3,FALSE)</f>
        <v/>
      </c>
      <c r="G94" s="0">
        <f>CEILING(C94/F94,1)</f>
        <v/>
      </c>
      <c r="H94" s="0">
        <f>G94*E94</f>
        <v/>
      </c>
    </row>
    <row r="95">
      <c r="A95" s="0" t="inlineStr">
        <is>
          <t>Structure Hangar Array</t>
        </is>
      </c>
      <c r="B95" s="0" t="inlineStr">
        <is>
          <t>Oxygen</t>
        </is>
      </c>
      <c r="C95" s="0">
        <f>SUMIFS('BOM Cycle Calc'!$D:$D,'BOM Cycle Calc'!$B:$B,A95,'BOM Cycle Calc'!$C:$C,B95)</f>
        <v/>
      </c>
      <c r="D95" s="0">
        <f>VLOOKUP(B95,'Item Tier Lookup'!$A:$B,2,FALSE)</f>
        <v/>
      </c>
      <c r="E95" s="0">
        <f>VLOOKUP(D95,'Tier Params'!$A:$B,2,FALSE)</f>
        <v/>
      </c>
      <c r="F95" s="0">
        <f>VLOOKUP(D95,'Tier Params'!$A:$C,3,FALSE)</f>
        <v/>
      </c>
      <c r="G95" s="0">
        <f>CEILING(C95/F95,1)</f>
        <v/>
      </c>
      <c r="H95" s="0">
        <f>G95*E95</f>
        <v/>
      </c>
    </row>
    <row r="96">
      <c r="A96" s="0" t="inlineStr">
        <is>
          <t>Structure Hangar Array</t>
        </is>
      </c>
      <c r="B96" s="0" t="inlineStr">
        <is>
          <t>Noble Gas</t>
        </is>
      </c>
      <c r="C96" s="0">
        <f>SUMIFS('BOM Cycle Calc'!$D:$D,'BOM Cycle Calc'!$B:$B,A96,'BOM Cycle Calc'!$C:$C,B96)</f>
        <v/>
      </c>
      <c r="D96" s="0">
        <f>VLOOKUP(B96,'Item Tier Lookup'!$A:$B,2,FALSE)</f>
        <v/>
      </c>
      <c r="E96" s="0">
        <f>VLOOKUP(D96,'Tier Params'!$A:$B,2,FALSE)</f>
        <v/>
      </c>
      <c r="F96" s="0">
        <f>VLOOKUP(D96,'Tier Params'!$A:$C,3,FALSE)</f>
        <v/>
      </c>
      <c r="G96" s="0">
        <f>CEILING(C96/F96,1)</f>
        <v/>
      </c>
      <c r="H96" s="0">
        <f>G96*E96</f>
        <v/>
      </c>
    </row>
    <row r="97">
      <c r="A97" s="0" t="inlineStr">
        <is>
          <t>Structure Hangar Array</t>
        </is>
      </c>
      <c r="B97" s="0" t="inlineStr">
        <is>
          <t>Biomass</t>
        </is>
      </c>
      <c r="C97" s="0">
        <f>SUMIFS('BOM Cycle Calc'!$D:$D,'BOM Cycle Calc'!$B:$B,A97,'BOM Cycle Calc'!$C:$C,B97)</f>
        <v/>
      </c>
      <c r="D97" s="0">
        <f>VLOOKUP(B97,'Item Tier Lookup'!$A:$B,2,FALSE)</f>
        <v/>
      </c>
      <c r="E97" s="0">
        <f>VLOOKUP(D97,'Tier Params'!$A:$B,2,FALSE)</f>
        <v/>
      </c>
      <c r="F97" s="0">
        <f>VLOOKUP(D97,'Tier Params'!$A:$C,3,FALSE)</f>
        <v/>
      </c>
      <c r="G97" s="0">
        <f>CEILING(C97/F97,1)</f>
        <v/>
      </c>
      <c r="H97" s="0">
        <f>G97*E97</f>
        <v/>
      </c>
    </row>
    <row r="98">
      <c r="A98" s="0" t="inlineStr">
        <is>
          <t>Structure Hangar Array</t>
        </is>
      </c>
      <c r="B98" s="0" t="inlineStr">
        <is>
          <t>Planktic Colonies</t>
        </is>
      </c>
      <c r="C98" s="0">
        <f>SUMIFS('BOM Cycle Calc'!$D:$D,'BOM Cycle Calc'!$B:$B,A98,'BOM Cycle Calc'!$C:$C,B98)</f>
        <v/>
      </c>
      <c r="D98" s="0">
        <f>VLOOKUP(B98,'Item Tier Lookup'!$A:$B,2,FALSE)</f>
        <v/>
      </c>
      <c r="E98" s="0">
        <f>VLOOKUP(D98,'Tier Params'!$A:$B,2,FALSE)</f>
        <v/>
      </c>
      <c r="F98" s="0">
        <f>VLOOKUP(D98,'Tier Params'!$A:$C,3,FALSE)</f>
        <v/>
      </c>
      <c r="G98" s="0">
        <f>CEILING(C98/F98,1)</f>
        <v/>
      </c>
      <c r="H98" s="0">
        <f>G98*E98</f>
        <v/>
      </c>
    </row>
    <row r="99">
      <c r="A99" s="0" t="inlineStr">
        <is>
          <t>Structure Hangar Array</t>
        </is>
      </c>
      <c r="B99" s="0" t="inlineStr">
        <is>
          <t>Microfiber Shielding</t>
        </is>
      </c>
      <c r="C99" s="0">
        <f>SUMIFS('BOM Cycle Calc'!$D:$D,'BOM Cycle Calc'!$B:$B,A99,'BOM Cycle Calc'!$C:$C,B99)</f>
        <v/>
      </c>
      <c r="D99" s="0">
        <f>VLOOKUP(B99,'Item Tier Lookup'!$A:$B,2,FALSE)</f>
        <v/>
      </c>
      <c r="E99" s="0">
        <f>VLOOKUP(D99,'Tier Params'!$A:$B,2,FALSE)</f>
        <v/>
      </c>
      <c r="F99" s="0">
        <f>VLOOKUP(D99,'Tier Params'!$A:$C,3,FALSE)</f>
        <v/>
      </c>
      <c r="G99" s="0">
        <f>CEILING(C99/F99,1)</f>
        <v/>
      </c>
      <c r="H99" s="0">
        <f>G99*E99</f>
        <v/>
      </c>
    </row>
    <row r="100">
      <c r="A100" s="0" t="inlineStr">
        <is>
          <t>Structure Hangar Array</t>
        </is>
      </c>
      <c r="B100" s="0" t="inlineStr">
        <is>
          <t>Silicon</t>
        </is>
      </c>
      <c r="C100" s="0">
        <f>SUMIFS('BOM Cycle Calc'!$D:$D,'BOM Cycle Calc'!$B:$B,A100,'BOM Cycle Calc'!$C:$C,B100)</f>
        <v/>
      </c>
      <c r="D100" s="0">
        <f>VLOOKUP(B100,'Item Tier Lookup'!$A:$B,2,FALSE)</f>
        <v/>
      </c>
      <c r="E100" s="0">
        <f>VLOOKUP(D100,'Tier Params'!$A:$B,2,FALSE)</f>
        <v/>
      </c>
      <c r="F100" s="0">
        <f>VLOOKUP(D100,'Tier Params'!$A:$C,3,FALSE)</f>
        <v/>
      </c>
      <c r="G100" s="0">
        <f>CEILING(C100/F100,1)</f>
        <v/>
      </c>
      <c r="H100" s="0">
        <f>G100*E100</f>
        <v/>
      </c>
    </row>
    <row r="101">
      <c r="A101" s="0" t="inlineStr">
        <is>
          <t>Structure Hangar Array</t>
        </is>
      </c>
      <c r="B101" s="0" t="inlineStr">
        <is>
          <t>Felsic Magma</t>
        </is>
      </c>
      <c r="C101" s="0">
        <f>SUMIFS('BOM Cycle Calc'!$D:$D,'BOM Cycle Calc'!$B:$B,A101,'BOM Cycle Calc'!$C:$C,B101)</f>
        <v/>
      </c>
      <c r="D101" s="0">
        <f>VLOOKUP(B101,'Item Tier Lookup'!$A:$B,2,FALSE)</f>
        <v/>
      </c>
      <c r="E101" s="0">
        <f>VLOOKUP(D101,'Tier Params'!$A:$B,2,FALSE)</f>
        <v/>
      </c>
      <c r="F101" s="0">
        <f>VLOOKUP(D101,'Tier Params'!$A:$C,3,FALSE)</f>
        <v/>
      </c>
      <c r="G101" s="0">
        <f>CEILING(C101/F101,1)</f>
        <v/>
      </c>
      <c r="H101" s="0">
        <f>G101*E101</f>
        <v/>
      </c>
    </row>
    <row r="102">
      <c r="A102" s="0" t="inlineStr">
        <is>
          <t>Structure Hangar Array</t>
        </is>
      </c>
      <c r="B102" s="0" t="inlineStr">
        <is>
          <t>Industrial Fibers</t>
        </is>
      </c>
      <c r="C102" s="0">
        <f>SUMIFS('BOM Cycle Calc'!$D:$D,'BOM Cycle Calc'!$B:$B,A102,'BOM Cycle Calc'!$C:$C,B102)</f>
        <v/>
      </c>
      <c r="D102" s="0">
        <f>VLOOKUP(B102,'Item Tier Lookup'!$A:$B,2,FALSE)</f>
        <v/>
      </c>
      <c r="E102" s="0">
        <f>VLOOKUP(D102,'Tier Params'!$A:$B,2,FALSE)</f>
        <v/>
      </c>
      <c r="F102" s="0">
        <f>VLOOKUP(D102,'Tier Params'!$A:$C,3,FALSE)</f>
        <v/>
      </c>
      <c r="G102" s="0">
        <f>CEILING(C102/F102,1)</f>
        <v/>
      </c>
      <c r="H102" s="0">
        <f>G102*E102</f>
        <v/>
      </c>
    </row>
    <row r="103">
      <c r="A103" s="0" t="inlineStr">
        <is>
          <t>Structure Hangar Array</t>
        </is>
      </c>
      <c r="B103" s="0" t="inlineStr">
        <is>
          <t>Autotrophs</t>
        </is>
      </c>
      <c r="C103" s="0">
        <f>SUMIFS('BOM Cycle Calc'!$D:$D,'BOM Cycle Calc'!$B:$B,A103,'BOM Cycle Calc'!$C:$C,B103)</f>
        <v/>
      </c>
      <c r="D103" s="0">
        <f>VLOOKUP(B103,'Item Tier Lookup'!$A:$B,2,FALSE)</f>
        <v/>
      </c>
      <c r="E103" s="0">
        <f>VLOOKUP(D103,'Tier Params'!$A:$B,2,FALSE)</f>
        <v/>
      </c>
      <c r="F103" s="0">
        <f>VLOOKUP(D103,'Tier Params'!$A:$C,3,FALSE)</f>
        <v/>
      </c>
      <c r="G103" s="0">
        <f>CEILING(C103/F103,1)</f>
        <v/>
      </c>
      <c r="H103" s="0">
        <f>G103*E103</f>
        <v/>
      </c>
    </row>
    <row r="104">
      <c r="A104" s="0" t="inlineStr">
        <is>
          <t>Structure Hangar Array</t>
        </is>
      </c>
      <c r="B104" s="0" t="inlineStr">
        <is>
          <t>Neocoms</t>
        </is>
      </c>
      <c r="C104" s="0">
        <f>SUMIFS('BOM Cycle Calc'!$D:$D,'BOM Cycle Calc'!$B:$B,A104,'BOM Cycle Calc'!$C:$C,B104)</f>
        <v/>
      </c>
      <c r="D104" s="0">
        <f>VLOOKUP(B104,'Item Tier Lookup'!$A:$B,2,FALSE)</f>
        <v/>
      </c>
      <c r="E104" s="0">
        <f>VLOOKUP(D104,'Tier Params'!$A:$B,2,FALSE)</f>
        <v/>
      </c>
      <c r="F104" s="0">
        <f>VLOOKUP(D104,'Tier Params'!$A:$C,3,FALSE)</f>
        <v/>
      </c>
      <c r="G104" s="0">
        <f>CEILING(C104/F104,1)</f>
        <v/>
      </c>
      <c r="H104" s="0">
        <f>G104*E104</f>
        <v/>
      </c>
    </row>
    <row r="105">
      <c r="A105" s="0" t="inlineStr">
        <is>
          <t>Structure Hangar Array</t>
        </is>
      </c>
      <c r="B105" s="0" t="inlineStr">
        <is>
          <t>Biocells</t>
        </is>
      </c>
      <c r="C105" s="0">
        <f>SUMIFS('BOM Cycle Calc'!$D:$D,'BOM Cycle Calc'!$B:$B,A105,'BOM Cycle Calc'!$C:$C,B105)</f>
        <v/>
      </c>
      <c r="D105" s="0">
        <f>VLOOKUP(B105,'Item Tier Lookup'!$A:$B,2,FALSE)</f>
        <v/>
      </c>
      <c r="E105" s="0">
        <f>VLOOKUP(D105,'Tier Params'!$A:$B,2,FALSE)</f>
        <v/>
      </c>
      <c r="F105" s="0">
        <f>VLOOKUP(D105,'Tier Params'!$A:$C,3,FALSE)</f>
        <v/>
      </c>
      <c r="G105" s="0">
        <f>CEILING(C105/F105,1)</f>
        <v/>
      </c>
      <c r="H105" s="0">
        <f>G105*E105</f>
        <v/>
      </c>
    </row>
    <row r="106">
      <c r="A106" s="0" t="inlineStr">
        <is>
          <t>Structure Hangar Array</t>
        </is>
      </c>
      <c r="B106" s="0" t="inlineStr">
        <is>
          <t>Biofuels</t>
        </is>
      </c>
      <c r="C106" s="0">
        <f>SUMIFS('BOM Cycle Calc'!$D:$D,'BOM Cycle Calc'!$B:$B,A106,'BOM Cycle Calc'!$C:$C,B106)</f>
        <v/>
      </c>
      <c r="D106" s="0">
        <f>VLOOKUP(B106,'Item Tier Lookup'!$A:$B,2,FALSE)</f>
        <v/>
      </c>
      <c r="E106" s="0">
        <f>VLOOKUP(D106,'Tier Params'!$A:$B,2,FALSE)</f>
        <v/>
      </c>
      <c r="F106" s="0">
        <f>VLOOKUP(D106,'Tier Params'!$A:$C,3,FALSE)</f>
        <v/>
      </c>
      <c r="G106" s="0">
        <f>CEILING(C106/F106,1)</f>
        <v/>
      </c>
      <c r="H106" s="0">
        <f>G106*E106</f>
        <v/>
      </c>
    </row>
    <row r="107">
      <c r="A107" s="0" t="inlineStr">
        <is>
          <t>Structure Hangar Array</t>
        </is>
      </c>
      <c r="B107" s="0" t="inlineStr">
        <is>
          <t>Carbon Compounds</t>
        </is>
      </c>
      <c r="C107" s="0">
        <f>SUMIFS('BOM Cycle Calc'!$D:$D,'BOM Cycle Calc'!$B:$B,A107,'BOM Cycle Calc'!$C:$C,B107)</f>
        <v/>
      </c>
      <c r="D107" s="0">
        <f>VLOOKUP(B107,'Item Tier Lookup'!$A:$B,2,FALSE)</f>
        <v/>
      </c>
      <c r="E107" s="0">
        <f>VLOOKUP(D107,'Tier Params'!$A:$B,2,FALSE)</f>
        <v/>
      </c>
      <c r="F107" s="0">
        <f>VLOOKUP(D107,'Tier Params'!$A:$C,3,FALSE)</f>
        <v/>
      </c>
      <c r="G107" s="0">
        <f>CEILING(C107/F107,1)</f>
        <v/>
      </c>
      <c r="H107" s="0">
        <f>G107*E107</f>
        <v/>
      </c>
    </row>
    <row r="108">
      <c r="A108" s="0" t="inlineStr">
        <is>
          <t>Structure Hangar Array</t>
        </is>
      </c>
      <c r="B108" s="0" t="inlineStr">
        <is>
          <t>Precious Metals</t>
        </is>
      </c>
      <c r="C108" s="0">
        <f>SUMIFS('BOM Cycle Calc'!$D:$D,'BOM Cycle Calc'!$B:$B,A108,'BOM Cycle Calc'!$C:$C,B108)</f>
        <v/>
      </c>
      <c r="D108" s="0">
        <f>VLOOKUP(B108,'Item Tier Lookup'!$A:$B,2,FALSE)</f>
        <v/>
      </c>
      <c r="E108" s="0">
        <f>VLOOKUP(D108,'Tier Params'!$A:$B,2,FALSE)</f>
        <v/>
      </c>
      <c r="F108" s="0">
        <f>VLOOKUP(D108,'Tier Params'!$A:$C,3,FALSE)</f>
        <v/>
      </c>
      <c r="G108" s="0">
        <f>CEILING(C108/F108,1)</f>
        <v/>
      </c>
      <c r="H108" s="0">
        <f>G108*E108</f>
        <v/>
      </c>
    </row>
    <row r="109">
      <c r="A109" s="0" t="inlineStr">
        <is>
          <t>Structure Hangar Array</t>
        </is>
      </c>
      <c r="B109" s="0" t="inlineStr">
        <is>
          <t>Noble Metals</t>
        </is>
      </c>
      <c r="C109" s="0">
        <f>SUMIFS('BOM Cycle Calc'!$D:$D,'BOM Cycle Calc'!$B:$B,A109,'BOM Cycle Calc'!$C:$C,B109)</f>
        <v/>
      </c>
      <c r="D109" s="0">
        <f>VLOOKUP(B109,'Item Tier Lookup'!$A:$B,2,FALSE)</f>
        <v/>
      </c>
      <c r="E109" s="0">
        <f>VLOOKUP(D109,'Tier Params'!$A:$B,2,FALSE)</f>
        <v/>
      </c>
      <c r="F109" s="0">
        <f>VLOOKUP(D109,'Tier Params'!$A:$C,3,FALSE)</f>
        <v/>
      </c>
      <c r="G109" s="0">
        <f>CEILING(C109/F109,1)</f>
        <v/>
      </c>
      <c r="H109" s="0">
        <f>G109*E109</f>
        <v/>
      </c>
    </row>
    <row r="110">
      <c r="A110" s="0" t="inlineStr">
        <is>
          <t>Structure Hangar Array</t>
        </is>
      </c>
      <c r="B110" s="0" t="inlineStr">
        <is>
          <t>Silicate Glass</t>
        </is>
      </c>
      <c r="C110" s="0">
        <f>SUMIFS('BOM Cycle Calc'!$D:$D,'BOM Cycle Calc'!$B:$B,A110,'BOM Cycle Calc'!$C:$C,B110)</f>
        <v/>
      </c>
      <c r="D110" s="0">
        <f>VLOOKUP(B110,'Item Tier Lookup'!$A:$B,2,FALSE)</f>
        <v/>
      </c>
      <c r="E110" s="0">
        <f>VLOOKUP(D110,'Tier Params'!$A:$B,2,FALSE)</f>
        <v/>
      </c>
      <c r="F110" s="0">
        <f>VLOOKUP(D110,'Tier Params'!$A:$C,3,FALSE)</f>
        <v/>
      </c>
      <c r="G110" s="0">
        <f>CEILING(C110/F110,1)</f>
        <v/>
      </c>
      <c r="H110" s="0">
        <f>G110*E110</f>
        <v/>
      </c>
    </row>
    <row r="111">
      <c r="A111" s="0" t="inlineStr">
        <is>
          <t>Structure Hangar Array</t>
        </is>
      </c>
      <c r="B111" s="0" t="inlineStr">
        <is>
          <t>Oxidizing Compound</t>
        </is>
      </c>
      <c r="C111" s="0">
        <f>SUMIFS('BOM Cycle Calc'!$D:$D,'BOM Cycle Calc'!$B:$B,A111,'BOM Cycle Calc'!$C:$C,B111)</f>
        <v/>
      </c>
      <c r="D111" s="0">
        <f>VLOOKUP(B111,'Item Tier Lookup'!$A:$B,2,FALSE)</f>
        <v/>
      </c>
      <c r="E111" s="0">
        <f>VLOOKUP(D111,'Tier Params'!$A:$B,2,FALSE)</f>
        <v/>
      </c>
      <c r="F111" s="0">
        <f>VLOOKUP(D111,'Tier Params'!$A:$C,3,FALSE)</f>
        <v/>
      </c>
      <c r="G111" s="0">
        <f>CEILING(C111/F111,1)</f>
        <v/>
      </c>
      <c r="H111" s="0">
        <f>G111*E111</f>
        <v/>
      </c>
    </row>
    <row r="112">
      <c r="A112" s="0" t="inlineStr">
        <is>
          <t>Structure Hangar Array</t>
        </is>
      </c>
      <c r="B112" s="0" t="inlineStr">
        <is>
          <t>Reactive Gas</t>
        </is>
      </c>
      <c r="C112" s="0">
        <f>SUMIFS('BOM Cycle Calc'!$D:$D,'BOM Cycle Calc'!$B:$B,A112,'BOM Cycle Calc'!$C:$C,B112)</f>
        <v/>
      </c>
      <c r="D112" s="0">
        <f>VLOOKUP(B112,'Item Tier Lookup'!$A:$B,2,FALSE)</f>
        <v/>
      </c>
      <c r="E112" s="0">
        <f>VLOOKUP(D112,'Tier Params'!$A:$B,2,FALSE)</f>
        <v/>
      </c>
      <c r="F112" s="0">
        <f>VLOOKUP(D112,'Tier Params'!$A:$C,3,FALSE)</f>
        <v/>
      </c>
      <c r="G112" s="0">
        <f>CEILING(C112/F112,1)</f>
        <v/>
      </c>
      <c r="H112" s="0">
        <f>G112*E112</f>
        <v/>
      </c>
    </row>
    <row r="113">
      <c r="A113" s="0" t="inlineStr">
        <is>
          <t>Structure Hangar Array</t>
        </is>
      </c>
      <c r="B113" s="0" t="inlineStr">
        <is>
          <t>High-Tech Transmitters</t>
        </is>
      </c>
      <c r="C113" s="0">
        <f>SUMIFS('BOM Cycle Calc'!$D:$D,'BOM Cycle Calc'!$B:$B,A113,'BOM Cycle Calc'!$C:$C,B113)</f>
        <v/>
      </c>
      <c r="D113" s="0">
        <f>VLOOKUP(B113,'Item Tier Lookup'!$A:$B,2,FALSE)</f>
        <v/>
      </c>
      <c r="E113" s="0">
        <f>VLOOKUP(D113,'Tier Params'!$A:$B,2,FALSE)</f>
        <v/>
      </c>
      <c r="F113" s="0">
        <f>VLOOKUP(D113,'Tier Params'!$A:$C,3,FALSE)</f>
        <v/>
      </c>
      <c r="G113" s="0">
        <f>CEILING(C113/F113,1)</f>
        <v/>
      </c>
      <c r="H113" s="0">
        <f>G113*E113</f>
        <v/>
      </c>
    </row>
    <row r="114">
      <c r="A114" s="0" t="inlineStr">
        <is>
          <t>Structure Hangar Array</t>
        </is>
      </c>
      <c r="B114" s="0" t="inlineStr">
        <is>
          <t>Transmitter</t>
        </is>
      </c>
      <c r="C114" s="0">
        <f>SUMIFS('BOM Cycle Calc'!$D:$D,'BOM Cycle Calc'!$B:$B,A114,'BOM Cycle Calc'!$C:$C,B114)</f>
        <v/>
      </c>
      <c r="D114" s="0">
        <f>VLOOKUP(B114,'Item Tier Lookup'!$A:$B,2,FALSE)</f>
        <v/>
      </c>
      <c r="E114" s="0">
        <f>VLOOKUP(D114,'Tier Params'!$A:$B,2,FALSE)</f>
        <v/>
      </c>
      <c r="F114" s="0">
        <f>VLOOKUP(D114,'Tier Params'!$A:$C,3,FALSE)</f>
        <v/>
      </c>
      <c r="G114" s="0">
        <f>CEILING(C114/F114,1)</f>
        <v/>
      </c>
      <c r="H114" s="0">
        <f>G114*E114</f>
        <v/>
      </c>
    </row>
    <row r="115">
      <c r="A115" s="0" t="inlineStr">
        <is>
          <t>Structure Hangar Array</t>
        </is>
      </c>
      <c r="B115" s="0" t="inlineStr">
        <is>
          <t>Chiral Structures</t>
        </is>
      </c>
      <c r="C115" s="0">
        <f>SUMIFS('BOM Cycle Calc'!$D:$D,'BOM Cycle Calc'!$B:$B,A115,'BOM Cycle Calc'!$C:$C,B115)</f>
        <v/>
      </c>
      <c r="D115" s="0">
        <f>VLOOKUP(B115,'Item Tier Lookup'!$A:$B,2,FALSE)</f>
        <v/>
      </c>
      <c r="E115" s="0">
        <f>VLOOKUP(D115,'Tier Params'!$A:$B,2,FALSE)</f>
        <v/>
      </c>
      <c r="F115" s="0">
        <f>VLOOKUP(D115,'Tier Params'!$A:$C,3,FALSE)</f>
        <v/>
      </c>
      <c r="G115" s="0">
        <f>CEILING(C115/F115,1)</f>
        <v/>
      </c>
      <c r="H115" s="0">
        <f>G115*E115</f>
        <v/>
      </c>
    </row>
    <row r="116">
      <c r="A116" s="0" t="inlineStr">
        <is>
          <t>Structure Hangar Array</t>
        </is>
      </c>
      <c r="B116" s="0" t="inlineStr">
        <is>
          <t>Non-CS Crystals</t>
        </is>
      </c>
      <c r="C116" s="0">
        <f>SUMIFS('BOM Cycle Calc'!$D:$D,'BOM Cycle Calc'!$B:$B,A116,'BOM Cycle Calc'!$C:$C,B116)</f>
        <v/>
      </c>
      <c r="D116" s="0">
        <f>VLOOKUP(B116,'Item Tier Lookup'!$A:$B,2,FALSE)</f>
        <v/>
      </c>
      <c r="E116" s="0">
        <f>VLOOKUP(D116,'Tier Params'!$A:$B,2,FALSE)</f>
        <v/>
      </c>
      <c r="F116" s="0">
        <f>VLOOKUP(D116,'Tier Params'!$A:$C,3,FALSE)</f>
        <v/>
      </c>
      <c r="G116" s="0">
        <f>CEILING(C116/F116,1)</f>
        <v/>
      </c>
      <c r="H116" s="0">
        <f>G116*E116</f>
        <v/>
      </c>
    </row>
    <row r="117">
      <c r="A117" s="0" t="inlineStr">
        <is>
          <t>Structure Hangar Array</t>
        </is>
      </c>
      <c r="B117" s="0" t="inlineStr">
        <is>
          <t>Plasmoids</t>
        </is>
      </c>
      <c r="C117" s="0">
        <f>SUMIFS('BOM Cycle Calc'!$D:$D,'BOM Cycle Calc'!$B:$B,A117,'BOM Cycle Calc'!$C:$C,B117)</f>
        <v/>
      </c>
      <c r="D117" s="0">
        <f>VLOOKUP(B117,'Item Tier Lookup'!$A:$B,2,FALSE)</f>
        <v/>
      </c>
      <c r="E117" s="0">
        <f>VLOOKUP(D117,'Tier Params'!$A:$B,2,FALSE)</f>
        <v/>
      </c>
      <c r="F117" s="0">
        <f>VLOOKUP(D117,'Tier Params'!$A:$C,3,FALSE)</f>
        <v/>
      </c>
      <c r="G117" s="0">
        <f>CEILING(C117/F117,1)</f>
        <v/>
      </c>
      <c r="H117" s="0">
        <f>G117*E117</f>
        <v/>
      </c>
    </row>
    <row r="118">
      <c r="A118" s="0" t="inlineStr">
        <is>
          <t>Structure Hangar Array</t>
        </is>
      </c>
      <c r="B118" s="0" t="inlineStr">
        <is>
          <t>Suspended Plasma</t>
        </is>
      </c>
      <c r="C118" s="0">
        <f>SUMIFS('BOM Cycle Calc'!$D:$D,'BOM Cycle Calc'!$B:$B,A118,'BOM Cycle Calc'!$C:$C,B118)</f>
        <v/>
      </c>
      <c r="D118" s="0">
        <f>VLOOKUP(B118,'Item Tier Lookup'!$A:$B,2,FALSE)</f>
        <v/>
      </c>
      <c r="E118" s="0">
        <f>VLOOKUP(D118,'Tier Params'!$A:$B,2,FALSE)</f>
        <v/>
      </c>
      <c r="F118" s="0">
        <f>VLOOKUP(D118,'Tier Params'!$A:$C,3,FALSE)</f>
        <v/>
      </c>
      <c r="G118" s="0">
        <f>CEILING(C118/F118,1)</f>
        <v/>
      </c>
      <c r="H118" s="0">
        <f>G118*E118</f>
        <v/>
      </c>
    </row>
    <row r="119">
      <c r="A119" s="0" t="inlineStr">
        <is>
          <t>Structure Hangar Array</t>
        </is>
      </c>
      <c r="B119" s="0" t="inlineStr">
        <is>
          <t>Polyaramids</t>
        </is>
      </c>
      <c r="C119" s="0">
        <f>SUMIFS('BOM Cycle Calc'!$D:$D,'BOM Cycle Calc'!$B:$B,A119,'BOM Cycle Calc'!$C:$C,B119)</f>
        <v/>
      </c>
      <c r="D119" s="0">
        <f>VLOOKUP(B119,'Item Tier Lookup'!$A:$B,2,FALSE)</f>
        <v/>
      </c>
      <c r="E119" s="0">
        <f>VLOOKUP(D119,'Tier Params'!$A:$B,2,FALSE)</f>
        <v/>
      </c>
      <c r="F119" s="0">
        <f>VLOOKUP(D119,'Tier Params'!$A:$C,3,FALSE)</f>
        <v/>
      </c>
      <c r="G119" s="0">
        <f>CEILING(C119/F119,1)</f>
        <v/>
      </c>
      <c r="H119" s="0">
        <f>G119*E119</f>
        <v/>
      </c>
    </row>
    <row r="120">
      <c r="A120" s="0" t="inlineStr">
        <is>
          <t>Structure Hangar Array</t>
        </is>
      </c>
      <c r="B120" s="0" t="inlineStr">
        <is>
          <t>Nano-Factory</t>
        </is>
      </c>
      <c r="C120" s="0">
        <f>SUMIFS('BOM Cycle Calc'!$D:$D,'BOM Cycle Calc'!$B:$B,A120,'BOM Cycle Calc'!$C:$C,B120)</f>
        <v/>
      </c>
      <c r="D120" s="0">
        <f>VLOOKUP(B120,'Item Tier Lookup'!$A:$B,2,FALSE)</f>
        <v/>
      </c>
      <c r="E120" s="0">
        <f>VLOOKUP(D120,'Tier Params'!$A:$B,2,FALSE)</f>
        <v/>
      </c>
      <c r="F120" s="0">
        <f>VLOOKUP(D120,'Tier Params'!$A:$C,3,FALSE)</f>
        <v/>
      </c>
      <c r="G120" s="0">
        <f>CEILING(C120/F120,1)</f>
        <v/>
      </c>
      <c r="H120" s="0">
        <f>G120*E120</f>
        <v/>
      </c>
    </row>
    <row r="121">
      <c r="A121" s="0" t="inlineStr">
        <is>
          <t>Structure Hangar Array</t>
        </is>
      </c>
      <c r="B121" s="0" t="inlineStr">
        <is>
          <t>Industrial Explosives</t>
        </is>
      </c>
      <c r="C121" s="0">
        <f>SUMIFS('BOM Cycle Calc'!$D:$D,'BOM Cycle Calc'!$B:$B,A121,'BOM Cycle Calc'!$C:$C,B121)</f>
        <v/>
      </c>
      <c r="D121" s="0">
        <f>VLOOKUP(B121,'Item Tier Lookup'!$A:$B,2,FALSE)</f>
        <v/>
      </c>
      <c r="E121" s="0">
        <f>VLOOKUP(D121,'Tier Params'!$A:$B,2,FALSE)</f>
        <v/>
      </c>
      <c r="F121" s="0">
        <f>VLOOKUP(D121,'Tier Params'!$A:$C,3,FALSE)</f>
        <v/>
      </c>
      <c r="G121" s="0">
        <f>CEILING(C121/F121,1)</f>
        <v/>
      </c>
      <c r="H121" s="0">
        <f>G121*E121</f>
        <v/>
      </c>
    </row>
    <row r="122">
      <c r="A122" s="0" t="inlineStr">
        <is>
          <t>Structure Hangar Array</t>
        </is>
      </c>
      <c r="B122" s="0" t="inlineStr">
        <is>
          <t>Fertilizer</t>
        </is>
      </c>
      <c r="C122" s="0">
        <f>SUMIFS('BOM Cycle Calc'!$D:$D,'BOM Cycle Calc'!$B:$B,A122,'BOM Cycle Calc'!$C:$C,B122)</f>
        <v/>
      </c>
      <c r="D122" s="0">
        <f>VLOOKUP(B122,'Item Tier Lookup'!$A:$B,2,FALSE)</f>
        <v/>
      </c>
      <c r="E122" s="0">
        <f>VLOOKUP(D122,'Tier Params'!$A:$B,2,FALSE)</f>
        <v/>
      </c>
      <c r="F122" s="0">
        <f>VLOOKUP(D122,'Tier Params'!$A:$C,3,FALSE)</f>
        <v/>
      </c>
      <c r="G122" s="0">
        <f>CEILING(C122/F122,1)</f>
        <v/>
      </c>
      <c r="H122" s="0">
        <f>G122*E122</f>
        <v/>
      </c>
    </row>
    <row r="123">
      <c r="A123" s="0" t="inlineStr">
        <is>
          <t>Structure Hangar Array</t>
        </is>
      </c>
      <c r="B123" s="0" t="inlineStr">
        <is>
          <t>Bacteria</t>
        </is>
      </c>
      <c r="C123" s="0">
        <f>SUMIFS('BOM Cycle Calc'!$D:$D,'BOM Cycle Calc'!$B:$B,A123,'BOM Cycle Calc'!$C:$C,B123)</f>
        <v/>
      </c>
      <c r="D123" s="0">
        <f>VLOOKUP(B123,'Item Tier Lookup'!$A:$B,2,FALSE)</f>
        <v/>
      </c>
      <c r="E123" s="0">
        <f>VLOOKUP(D123,'Tier Params'!$A:$B,2,FALSE)</f>
        <v/>
      </c>
      <c r="F123" s="0">
        <f>VLOOKUP(D123,'Tier Params'!$A:$C,3,FALSE)</f>
        <v/>
      </c>
      <c r="G123" s="0">
        <f>CEILING(C123/F123,1)</f>
        <v/>
      </c>
      <c r="H123" s="0">
        <f>G123*E123</f>
        <v/>
      </c>
    </row>
    <row r="124">
      <c r="A124" s="0" t="inlineStr">
        <is>
          <t>Structure Hangar Array</t>
        </is>
      </c>
      <c r="B124" s="0" t="inlineStr">
        <is>
          <t>Microorganisms</t>
        </is>
      </c>
      <c r="C124" s="0">
        <f>SUMIFS('BOM Cycle Calc'!$D:$D,'BOM Cycle Calc'!$B:$B,A124,'BOM Cycle Calc'!$C:$C,B124)</f>
        <v/>
      </c>
      <c r="D124" s="0">
        <f>VLOOKUP(B124,'Item Tier Lookup'!$A:$B,2,FALSE)</f>
        <v/>
      </c>
      <c r="E124" s="0">
        <f>VLOOKUP(D124,'Tier Params'!$A:$B,2,FALSE)</f>
        <v/>
      </c>
      <c r="F124" s="0">
        <f>VLOOKUP(D124,'Tier Params'!$A:$C,3,FALSE)</f>
        <v/>
      </c>
      <c r="G124" s="0">
        <f>CEILING(C124/F124,1)</f>
        <v/>
      </c>
      <c r="H124" s="0">
        <f>G124*E124</f>
        <v/>
      </c>
    </row>
    <row r="125">
      <c r="A125" s="0" t="inlineStr">
        <is>
          <t>Structure Hangar Array</t>
        </is>
      </c>
      <c r="B125" s="0" t="inlineStr">
        <is>
          <t>Proteins</t>
        </is>
      </c>
      <c r="C125" s="0">
        <f>SUMIFS('BOM Cycle Calc'!$D:$D,'BOM Cycle Calc'!$B:$B,A125,'BOM Cycle Calc'!$C:$C,B125)</f>
        <v/>
      </c>
      <c r="D125" s="0">
        <f>VLOOKUP(B125,'Item Tier Lookup'!$A:$B,2,FALSE)</f>
        <v/>
      </c>
      <c r="E125" s="0">
        <f>VLOOKUP(D125,'Tier Params'!$A:$B,2,FALSE)</f>
        <v/>
      </c>
      <c r="F125" s="0">
        <f>VLOOKUP(D125,'Tier Params'!$A:$C,3,FALSE)</f>
        <v/>
      </c>
      <c r="G125" s="0">
        <f>CEILING(C125/F125,1)</f>
        <v/>
      </c>
      <c r="H125" s="0">
        <f>G125*E125</f>
        <v/>
      </c>
    </row>
    <row r="126">
      <c r="A126" s="0" t="inlineStr">
        <is>
          <t>Structure Hangar Array</t>
        </is>
      </c>
      <c r="B126" s="0" t="inlineStr">
        <is>
          <t>Complex Organisms</t>
        </is>
      </c>
      <c r="C126" s="0">
        <f>SUMIFS('BOM Cycle Calc'!$D:$D,'BOM Cycle Calc'!$B:$B,A126,'BOM Cycle Calc'!$C:$C,B126)</f>
        <v/>
      </c>
      <c r="D126" s="0">
        <f>VLOOKUP(B126,'Item Tier Lookup'!$A:$B,2,FALSE)</f>
        <v/>
      </c>
      <c r="E126" s="0">
        <f>VLOOKUP(D126,'Tier Params'!$A:$B,2,FALSE)</f>
        <v/>
      </c>
      <c r="F126" s="0">
        <f>VLOOKUP(D126,'Tier Params'!$A:$C,3,FALSE)</f>
        <v/>
      </c>
      <c r="G126" s="0">
        <f>CEILING(C126/F126,1)</f>
        <v/>
      </c>
      <c r="H126" s="0">
        <f>G126*E126</f>
        <v/>
      </c>
    </row>
    <row r="127">
      <c r="A127" s="0" t="inlineStr">
        <is>
          <t>Structure Hangar Array</t>
        </is>
      </c>
      <c r="B127" s="0" t="inlineStr">
        <is>
          <t>Polytextiles</t>
        </is>
      </c>
      <c r="C127" s="0">
        <f>SUMIFS('BOM Cycle Calc'!$D:$D,'BOM Cycle Calc'!$B:$B,A127,'BOM Cycle Calc'!$C:$C,B127)</f>
        <v/>
      </c>
      <c r="D127" s="0">
        <f>VLOOKUP(B127,'Item Tier Lookup'!$A:$B,2,FALSE)</f>
        <v/>
      </c>
      <c r="E127" s="0">
        <f>VLOOKUP(D127,'Tier Params'!$A:$B,2,FALSE)</f>
        <v/>
      </c>
      <c r="F127" s="0">
        <f>VLOOKUP(D127,'Tier Params'!$A:$C,3,FALSE)</f>
        <v/>
      </c>
      <c r="G127" s="0">
        <f>CEILING(C127/F127,1)</f>
        <v/>
      </c>
      <c r="H127" s="0">
        <f>G127*E127</f>
        <v/>
      </c>
    </row>
    <row r="128">
      <c r="A128" s="0" t="inlineStr">
        <is>
          <t>Structure Hangar Array</t>
        </is>
      </c>
      <c r="B128" s="0" t="inlineStr">
        <is>
          <t>Ukomi Superconductors</t>
        </is>
      </c>
      <c r="C128" s="0">
        <f>SUMIFS('BOM Cycle Calc'!$D:$D,'BOM Cycle Calc'!$B:$B,A128,'BOM Cycle Calc'!$C:$C,B128)</f>
        <v/>
      </c>
      <c r="D128" s="0">
        <f>VLOOKUP(B128,'Item Tier Lookup'!$A:$B,2,FALSE)</f>
        <v/>
      </c>
      <c r="E128" s="0">
        <f>VLOOKUP(D128,'Tier Params'!$A:$B,2,FALSE)</f>
        <v/>
      </c>
      <c r="F128" s="0">
        <f>VLOOKUP(D128,'Tier Params'!$A:$C,3,FALSE)</f>
        <v/>
      </c>
      <c r="G128" s="0">
        <f>CEILING(C128/F128,1)</f>
        <v/>
      </c>
      <c r="H128" s="0">
        <f>G128*E128</f>
        <v/>
      </c>
    </row>
    <row r="129">
      <c r="A129" s="0" t="inlineStr">
        <is>
          <t>Structure Hangar Array</t>
        </is>
      </c>
      <c r="B129" s="0" t="inlineStr">
        <is>
          <t>Synthetic Oil</t>
        </is>
      </c>
      <c r="C129" s="0">
        <f>SUMIFS('BOM Cycle Calc'!$D:$D,'BOM Cycle Calc'!$B:$B,A129,'BOM Cycle Calc'!$C:$C,B129)</f>
        <v/>
      </c>
      <c r="D129" s="0">
        <f>VLOOKUP(B129,'Item Tier Lookup'!$A:$B,2,FALSE)</f>
        <v/>
      </c>
      <c r="E129" s="0">
        <f>VLOOKUP(D129,'Tier Params'!$A:$B,2,FALSE)</f>
        <v/>
      </c>
      <c r="F129" s="0">
        <f>VLOOKUP(D129,'Tier Params'!$A:$C,3,FALSE)</f>
        <v/>
      </c>
      <c r="G129" s="0">
        <f>CEILING(C129/F129,1)</f>
        <v/>
      </c>
      <c r="H129" s="0">
        <f>G129*E129</f>
        <v/>
      </c>
    </row>
    <row r="130">
      <c r="A130" s="0" t="inlineStr">
        <is>
          <t>Structure Hangar Array</t>
        </is>
      </c>
      <c r="B130" s="0" t="inlineStr">
        <is>
          <t>Electrolytes</t>
        </is>
      </c>
      <c r="C130" s="0">
        <f>SUMIFS('BOM Cycle Calc'!$D:$D,'BOM Cycle Calc'!$B:$B,A130,'BOM Cycle Calc'!$C:$C,B130)</f>
        <v/>
      </c>
      <c r="D130" s="0">
        <f>VLOOKUP(B130,'Item Tier Lookup'!$A:$B,2,FALSE)</f>
        <v/>
      </c>
      <c r="E130" s="0">
        <f>VLOOKUP(D130,'Tier Params'!$A:$B,2,FALSE)</f>
        <v/>
      </c>
      <c r="F130" s="0">
        <f>VLOOKUP(D130,'Tier Params'!$A:$C,3,FALSE)</f>
        <v/>
      </c>
      <c r="G130" s="0">
        <f>CEILING(C130/F130,1)</f>
        <v/>
      </c>
      <c r="H130" s="0">
        <f>G130*E130</f>
        <v/>
      </c>
    </row>
    <row r="131">
      <c r="A131" s="0" t="inlineStr">
        <is>
          <t>Structure Hangar Array</t>
        </is>
      </c>
      <c r="B131" s="0" t="inlineStr">
        <is>
          <t>Ionic Solutions</t>
        </is>
      </c>
      <c r="C131" s="0">
        <f>SUMIFS('BOM Cycle Calc'!$D:$D,'BOM Cycle Calc'!$B:$B,A131,'BOM Cycle Calc'!$C:$C,B131)</f>
        <v/>
      </c>
      <c r="D131" s="0">
        <f>VLOOKUP(B131,'Item Tier Lookup'!$A:$B,2,FALSE)</f>
        <v/>
      </c>
      <c r="E131" s="0">
        <f>VLOOKUP(D131,'Tier Params'!$A:$B,2,FALSE)</f>
        <v/>
      </c>
      <c r="F131" s="0">
        <f>VLOOKUP(D131,'Tier Params'!$A:$C,3,FALSE)</f>
        <v/>
      </c>
      <c r="G131" s="0">
        <f>CEILING(C131/F131,1)</f>
        <v/>
      </c>
      <c r="H131" s="0">
        <f>G131*E131</f>
        <v/>
      </c>
    </row>
    <row r="132">
      <c r="A132" s="0" t="inlineStr">
        <is>
          <t>Structure Hangar Array</t>
        </is>
      </c>
      <c r="B132" s="0" t="inlineStr">
        <is>
          <t>Superconductors</t>
        </is>
      </c>
      <c r="C132" s="0">
        <f>SUMIFS('BOM Cycle Calc'!$D:$D,'BOM Cycle Calc'!$B:$B,A132,'BOM Cycle Calc'!$C:$C,B132)</f>
        <v/>
      </c>
      <c r="D132" s="0">
        <f>VLOOKUP(B132,'Item Tier Lookup'!$A:$B,2,FALSE)</f>
        <v/>
      </c>
      <c r="E132" s="0">
        <f>VLOOKUP(D132,'Tier Params'!$A:$B,2,FALSE)</f>
        <v/>
      </c>
      <c r="F132" s="0">
        <f>VLOOKUP(D132,'Tier Params'!$A:$C,3,FALSE)</f>
        <v/>
      </c>
      <c r="G132" s="0">
        <f>CEILING(C132/F132,1)</f>
        <v/>
      </c>
      <c r="H132" s="0">
        <f>G132*E132</f>
        <v/>
      </c>
    </row>
    <row r="133">
      <c r="A133" s="0" t="inlineStr">
        <is>
          <t>Structure Hangar Array</t>
        </is>
      </c>
      <c r="B133" s="0" t="inlineStr">
        <is>
          <t>Water</t>
        </is>
      </c>
      <c r="C133" s="0">
        <f>SUMIFS('BOM Cycle Calc'!$D:$D,'BOM Cycle Calc'!$B:$B,A133,'BOM Cycle Calc'!$C:$C,B133)</f>
        <v/>
      </c>
      <c r="D133" s="0">
        <f>VLOOKUP(B133,'Item Tier Lookup'!$A:$B,2,FALSE)</f>
        <v/>
      </c>
      <c r="E133" s="0">
        <f>VLOOKUP(D133,'Tier Params'!$A:$B,2,FALSE)</f>
        <v/>
      </c>
      <c r="F133" s="0">
        <f>VLOOKUP(D133,'Tier Params'!$A:$C,3,FALSE)</f>
        <v/>
      </c>
      <c r="G133" s="0">
        <f>CEILING(C133/F133,1)</f>
        <v/>
      </c>
      <c r="H133" s="0">
        <f>G133*E133</f>
        <v/>
      </c>
    </row>
    <row r="134">
      <c r="A134" s="0" t="inlineStr">
        <is>
          <t>Structure Hangar Array</t>
        </is>
      </c>
      <c r="B134" s="0" t="inlineStr">
        <is>
          <t>Aqueous Liquids</t>
        </is>
      </c>
      <c r="C134" s="0">
        <f>SUMIFS('BOM Cycle Calc'!$D:$D,'BOM Cycle Calc'!$B:$B,A134,'BOM Cycle Calc'!$C:$C,B134)</f>
        <v/>
      </c>
      <c r="D134" s="0">
        <f>VLOOKUP(B134,'Item Tier Lookup'!$A:$B,2,FALSE)</f>
        <v/>
      </c>
      <c r="E134" s="0">
        <f>VLOOKUP(D134,'Tier Params'!$A:$B,2,FALSE)</f>
        <v/>
      </c>
      <c r="F134" s="0">
        <f>VLOOKUP(D134,'Tier Params'!$A:$C,3,FALSE)</f>
        <v/>
      </c>
      <c r="G134" s="0">
        <f>CEILING(C134/F134,1)</f>
        <v/>
      </c>
      <c r="H134" s="0">
        <f>G134*E134</f>
        <v/>
      </c>
    </row>
    <row r="135">
      <c r="A135" s="0" t="inlineStr">
        <is>
          <t>Structure Hangar Array</t>
        </is>
      </c>
      <c r="B135" s="0" t="inlineStr">
        <is>
          <t>Reactive Metals</t>
        </is>
      </c>
      <c r="C135" s="0">
        <f>SUMIFS('BOM Cycle Calc'!$D:$D,'BOM Cycle Calc'!$B:$B,A135,'BOM Cycle Calc'!$C:$C,B135)</f>
        <v/>
      </c>
      <c r="D135" s="0">
        <f>VLOOKUP(B135,'Item Tier Lookup'!$A:$B,2,FALSE)</f>
        <v/>
      </c>
      <c r="E135" s="0">
        <f>VLOOKUP(D135,'Tier Params'!$A:$B,2,FALSE)</f>
        <v/>
      </c>
      <c r="F135" s="0">
        <f>VLOOKUP(D135,'Tier Params'!$A:$C,3,FALSE)</f>
        <v/>
      </c>
      <c r="G135" s="0">
        <f>CEILING(C135/F135,1)</f>
        <v/>
      </c>
      <c r="H135" s="0">
        <f>G135*E135</f>
        <v/>
      </c>
    </row>
    <row r="136">
      <c r="A136" s="0" t="inlineStr">
        <is>
          <t>Structure Hangar Array</t>
        </is>
      </c>
      <c r="B136" s="0" t="inlineStr">
        <is>
          <t>Base Metals</t>
        </is>
      </c>
      <c r="C136" s="0">
        <f>SUMIFS('BOM Cycle Calc'!$D:$D,'BOM Cycle Calc'!$B:$B,A136,'BOM Cycle Calc'!$C:$C,B136)</f>
        <v/>
      </c>
      <c r="D136" s="0">
        <f>VLOOKUP(B136,'Item Tier Lookup'!$A:$B,2,FALSE)</f>
        <v/>
      </c>
      <c r="E136" s="0">
        <f>VLOOKUP(D136,'Tier Params'!$A:$B,2,FALSE)</f>
        <v/>
      </c>
      <c r="F136" s="0">
        <f>VLOOKUP(D136,'Tier Params'!$A:$C,3,FALSE)</f>
        <v/>
      </c>
      <c r="G136" s="0">
        <f>CEILING(C136/F136,1)</f>
        <v/>
      </c>
      <c r="H136" s="0">
        <f>G136*E136</f>
        <v/>
      </c>
    </row>
    <row r="137">
      <c r="A137" s="0" t="inlineStr">
        <is>
          <t>Structure Hangar Array</t>
        </is>
      </c>
      <c r="B137" s="0" t="inlineStr">
        <is>
          <t>Recursive Computing Module</t>
        </is>
      </c>
      <c r="C137" s="0">
        <f>SUMIFS('BOM Cycle Calc'!$D:$D,'BOM Cycle Calc'!$B:$B,A137,'BOM Cycle Calc'!$C:$C,B137)</f>
        <v/>
      </c>
      <c r="D137" s="0">
        <f>VLOOKUP(B137,'Item Tier Lookup'!$A:$B,2,FALSE)</f>
        <v/>
      </c>
      <c r="E137" s="0">
        <f>VLOOKUP(D137,'Tier Params'!$A:$B,2,FALSE)</f>
        <v/>
      </c>
      <c r="F137" s="0">
        <f>VLOOKUP(D137,'Tier Params'!$A:$C,3,FALSE)</f>
        <v/>
      </c>
      <c r="G137" s="0">
        <f>CEILING(C137/F137,1)</f>
        <v/>
      </c>
      <c r="H137" s="0">
        <f>G137*E137</f>
        <v/>
      </c>
    </row>
    <row r="138">
      <c r="A138" s="0" t="inlineStr">
        <is>
          <t>Structure Hangar Array</t>
        </is>
      </c>
      <c r="B138" s="0" t="inlineStr">
        <is>
          <t>Synthetic Synapses</t>
        </is>
      </c>
      <c r="C138" s="0">
        <f>SUMIFS('BOM Cycle Calc'!$D:$D,'BOM Cycle Calc'!$B:$B,A138,'BOM Cycle Calc'!$C:$C,B138)</f>
        <v/>
      </c>
      <c r="D138" s="0">
        <f>VLOOKUP(B138,'Item Tier Lookup'!$A:$B,2,FALSE)</f>
        <v/>
      </c>
      <c r="E138" s="0">
        <f>VLOOKUP(D138,'Tier Params'!$A:$B,2,FALSE)</f>
        <v/>
      </c>
      <c r="F138" s="0">
        <f>VLOOKUP(D138,'Tier Params'!$A:$C,3,FALSE)</f>
        <v/>
      </c>
      <c r="G138" s="0">
        <f>CEILING(C138/F138,1)</f>
        <v/>
      </c>
      <c r="H138" s="0">
        <f>G138*E138</f>
        <v/>
      </c>
    </row>
    <row r="139">
      <c r="A139" s="0" t="inlineStr">
        <is>
          <t>Structure Hangar Array</t>
        </is>
      </c>
      <c r="B139" s="0" t="inlineStr">
        <is>
          <t>Test Cultures</t>
        </is>
      </c>
      <c r="C139" s="0">
        <f>SUMIFS('BOM Cycle Calc'!$D:$D,'BOM Cycle Calc'!$B:$B,A139,'BOM Cycle Calc'!$C:$C,B139)</f>
        <v/>
      </c>
      <c r="D139" s="0">
        <f>VLOOKUP(B139,'Item Tier Lookup'!$A:$B,2,FALSE)</f>
        <v/>
      </c>
      <c r="E139" s="0">
        <f>VLOOKUP(D139,'Tier Params'!$A:$B,2,FALSE)</f>
        <v/>
      </c>
      <c r="F139" s="0">
        <f>VLOOKUP(D139,'Tier Params'!$A:$C,3,FALSE)</f>
        <v/>
      </c>
      <c r="G139" s="0">
        <f>CEILING(C139/F139,1)</f>
        <v/>
      </c>
      <c r="H139" s="0">
        <f>G139*E139</f>
        <v/>
      </c>
    </row>
    <row r="140">
      <c r="A140" s="0" t="inlineStr">
        <is>
          <t>Structure Hangar Array</t>
        </is>
      </c>
      <c r="B140" s="0" t="inlineStr">
        <is>
          <t>Transcranial Microcontrollers</t>
        </is>
      </c>
      <c r="C140" s="0">
        <f>SUMIFS('BOM Cycle Calc'!$D:$D,'BOM Cycle Calc'!$B:$B,A140,'BOM Cycle Calc'!$C:$C,B140)</f>
        <v/>
      </c>
      <c r="D140" s="0">
        <f>VLOOKUP(B140,'Item Tier Lookup'!$A:$B,2,FALSE)</f>
        <v/>
      </c>
      <c r="E140" s="0">
        <f>VLOOKUP(D140,'Tier Params'!$A:$B,2,FALSE)</f>
        <v/>
      </c>
      <c r="F140" s="0">
        <f>VLOOKUP(D140,'Tier Params'!$A:$C,3,FALSE)</f>
        <v/>
      </c>
      <c r="G140" s="0">
        <f>CEILING(C140/F140,1)</f>
        <v/>
      </c>
      <c r="H140" s="0">
        <f>G140*E140</f>
        <v/>
      </c>
    </row>
    <row r="141">
      <c r="A141" s="0" t="inlineStr">
        <is>
          <t>Structure Hangar Array</t>
        </is>
      </c>
      <c r="B141" s="0" t="inlineStr">
        <is>
          <t>Nanites</t>
        </is>
      </c>
      <c r="C141" s="0">
        <f>SUMIFS('BOM Cycle Calc'!$D:$D,'BOM Cycle Calc'!$B:$B,A141,'BOM Cycle Calc'!$C:$C,B141)</f>
        <v/>
      </c>
      <c r="D141" s="0">
        <f>VLOOKUP(B141,'Item Tier Lookup'!$A:$B,2,FALSE)</f>
        <v/>
      </c>
      <c r="E141" s="0">
        <f>VLOOKUP(D141,'Tier Params'!$A:$B,2,FALSE)</f>
        <v/>
      </c>
      <c r="F141" s="0">
        <f>VLOOKUP(D141,'Tier Params'!$A:$C,3,FALSE)</f>
        <v/>
      </c>
      <c r="G141" s="0">
        <f>CEILING(C141/F141,1)</f>
        <v/>
      </c>
      <c r="H141" s="0">
        <f>G141*E141</f>
        <v/>
      </c>
    </row>
    <row r="142">
      <c r="A142" s="0" t="inlineStr">
        <is>
          <t>Structure Hangar Array</t>
        </is>
      </c>
      <c r="B142" s="0" t="inlineStr">
        <is>
          <t>Guidance Systems</t>
        </is>
      </c>
      <c r="C142" s="0">
        <f>SUMIFS('BOM Cycle Calc'!$D:$D,'BOM Cycle Calc'!$B:$B,A142,'BOM Cycle Calc'!$C:$C,B142)</f>
        <v/>
      </c>
      <c r="D142" s="0">
        <f>VLOOKUP(B142,'Item Tier Lookup'!$A:$B,2,FALSE)</f>
        <v/>
      </c>
      <c r="E142" s="0">
        <f>VLOOKUP(D142,'Tier Params'!$A:$B,2,FALSE)</f>
        <v/>
      </c>
      <c r="F142" s="0">
        <f>VLOOKUP(D142,'Tier Params'!$A:$C,3,FALSE)</f>
        <v/>
      </c>
      <c r="G142" s="0">
        <f>CEILING(C142/F142,1)</f>
        <v/>
      </c>
      <c r="H142" s="0">
        <f>G142*E142</f>
        <v/>
      </c>
    </row>
    <row r="143">
      <c r="A143" s="0" t="inlineStr">
        <is>
          <t>Structure Hangar Array</t>
        </is>
      </c>
      <c r="B143" s="0" t="inlineStr">
        <is>
          <t>Water-Cooled CPU</t>
        </is>
      </c>
      <c r="C143" s="0">
        <f>SUMIFS('BOM Cycle Calc'!$D:$D,'BOM Cycle Calc'!$B:$B,A143,'BOM Cycle Calc'!$C:$C,B143)</f>
        <v/>
      </c>
      <c r="D143" s="0">
        <f>VLOOKUP(B143,'Item Tier Lookup'!$A:$B,2,FALSE)</f>
        <v/>
      </c>
      <c r="E143" s="0">
        <f>VLOOKUP(D143,'Tier Params'!$A:$B,2,FALSE)</f>
        <v/>
      </c>
      <c r="F143" s="0">
        <f>VLOOKUP(D143,'Tier Params'!$A:$C,3,FALSE)</f>
        <v/>
      </c>
      <c r="G143" s="0">
        <f>CEILING(C143/F143,1)</f>
        <v/>
      </c>
      <c r="H143" s="0">
        <f>G143*E143</f>
        <v/>
      </c>
    </row>
    <row r="144">
      <c r="A144" s="0" t="inlineStr">
        <is>
          <t>Structure Hangar Array</t>
        </is>
      </c>
      <c r="B144" s="0" t="inlineStr">
        <is>
          <t>Self-Harmonizing Power Core</t>
        </is>
      </c>
      <c r="C144" s="0">
        <f>SUMIFS('BOM Cycle Calc'!$D:$D,'BOM Cycle Calc'!$B:$B,A144,'BOM Cycle Calc'!$C:$C,B144)</f>
        <v/>
      </c>
      <c r="D144" s="0">
        <f>VLOOKUP(B144,'Item Tier Lookup'!$A:$B,2,FALSE)</f>
        <v/>
      </c>
      <c r="E144" s="0">
        <f>VLOOKUP(D144,'Tier Params'!$A:$B,2,FALSE)</f>
        <v/>
      </c>
      <c r="F144" s="0">
        <f>VLOOKUP(D144,'Tier Params'!$A:$C,3,FALSE)</f>
        <v/>
      </c>
      <c r="G144" s="0">
        <f>CEILING(C144/F144,1)</f>
        <v/>
      </c>
      <c r="H144" s="0">
        <f>G144*E144</f>
        <v/>
      </c>
    </row>
    <row r="145">
      <c r="A145" s="0" t="inlineStr">
        <is>
          <t>Structure Hangar Array</t>
        </is>
      </c>
      <c r="B145" s="0" t="inlineStr">
        <is>
          <t>Nuclear Reactors</t>
        </is>
      </c>
      <c r="C145" s="0">
        <f>SUMIFS('BOM Cycle Calc'!$D:$D,'BOM Cycle Calc'!$B:$B,A145,'BOM Cycle Calc'!$C:$C,B145)</f>
        <v/>
      </c>
      <c r="D145" s="0">
        <f>VLOOKUP(B145,'Item Tier Lookup'!$A:$B,2,FALSE)</f>
        <v/>
      </c>
      <c r="E145" s="0">
        <f>VLOOKUP(D145,'Tier Params'!$A:$B,2,FALSE)</f>
        <v/>
      </c>
      <c r="F145" s="0">
        <f>VLOOKUP(D145,'Tier Params'!$A:$C,3,FALSE)</f>
        <v/>
      </c>
      <c r="G145" s="0">
        <f>CEILING(C145/F145,1)</f>
        <v/>
      </c>
      <c r="H145" s="0">
        <f>G145*E145</f>
        <v/>
      </c>
    </row>
    <row r="146">
      <c r="A146" s="0" t="inlineStr">
        <is>
          <t>Structure Hangar Array</t>
        </is>
      </c>
      <c r="B146" s="0" t="inlineStr">
        <is>
          <t>Enriched Uranium</t>
        </is>
      </c>
      <c r="C146" s="0">
        <f>SUMIFS('BOM Cycle Calc'!$D:$D,'BOM Cycle Calc'!$B:$B,A146,'BOM Cycle Calc'!$C:$C,B146)</f>
        <v/>
      </c>
      <c r="D146" s="0">
        <f>VLOOKUP(B146,'Item Tier Lookup'!$A:$B,2,FALSE)</f>
        <v/>
      </c>
      <c r="E146" s="0">
        <f>VLOOKUP(D146,'Tier Params'!$A:$B,2,FALSE)</f>
        <v/>
      </c>
      <c r="F146" s="0">
        <f>VLOOKUP(D146,'Tier Params'!$A:$C,3,FALSE)</f>
        <v/>
      </c>
      <c r="G146" s="0">
        <f>CEILING(C146/F146,1)</f>
        <v/>
      </c>
      <c r="H146" s="0">
        <f>G146*E146</f>
        <v/>
      </c>
    </row>
    <row r="147">
      <c r="A147" s="0" t="inlineStr">
        <is>
          <t>Structure Hangar Array</t>
        </is>
      </c>
      <c r="B147" s="0" t="inlineStr">
        <is>
          <t>Toxic Metals</t>
        </is>
      </c>
      <c r="C147" s="0">
        <f>SUMIFS('BOM Cycle Calc'!$D:$D,'BOM Cycle Calc'!$B:$B,A147,'BOM Cycle Calc'!$C:$C,B147)</f>
        <v/>
      </c>
      <c r="D147" s="0">
        <f>VLOOKUP(B147,'Item Tier Lookup'!$A:$B,2,FALSE)</f>
        <v/>
      </c>
      <c r="E147" s="0">
        <f>VLOOKUP(D147,'Tier Params'!$A:$B,2,FALSE)</f>
        <v/>
      </c>
      <c r="F147" s="0">
        <f>VLOOKUP(D147,'Tier Params'!$A:$C,3,FALSE)</f>
        <v/>
      </c>
      <c r="G147" s="0">
        <f>CEILING(C147/F147,1)</f>
        <v/>
      </c>
      <c r="H147" s="0">
        <f>G147*E147</f>
        <v/>
      </c>
    </row>
    <row r="148">
      <c r="A148" s="0" t="inlineStr">
        <is>
          <t>Structure Hangar Array</t>
        </is>
      </c>
      <c r="B148" s="0" t="inlineStr">
        <is>
          <t>Heavy Metals</t>
        </is>
      </c>
      <c r="C148" s="0">
        <f>SUMIFS('BOM Cycle Calc'!$D:$D,'BOM Cycle Calc'!$B:$B,A148,'BOM Cycle Calc'!$C:$C,B148)</f>
        <v/>
      </c>
      <c r="D148" s="0">
        <f>VLOOKUP(B148,'Item Tier Lookup'!$A:$B,2,FALSE)</f>
        <v/>
      </c>
      <c r="E148" s="0">
        <f>VLOOKUP(D148,'Tier Params'!$A:$B,2,FALSE)</f>
        <v/>
      </c>
      <c r="F148" s="0">
        <f>VLOOKUP(D148,'Tier Params'!$A:$C,3,FALSE)</f>
        <v/>
      </c>
      <c r="G148" s="0">
        <f>CEILING(C148/F148,1)</f>
        <v/>
      </c>
      <c r="H148" s="0">
        <f>G148*E148</f>
        <v/>
      </c>
    </row>
    <row r="149">
      <c r="A149" s="0" t="inlineStr">
        <is>
          <t>Structure Hangar Array</t>
        </is>
      </c>
      <c r="B149" s="0" t="inlineStr">
        <is>
          <t>Camera Drones</t>
        </is>
      </c>
      <c r="C149" s="0">
        <f>SUMIFS('BOM Cycle Calc'!$D:$D,'BOM Cycle Calc'!$B:$B,A149,'BOM Cycle Calc'!$C:$C,B149)</f>
        <v/>
      </c>
      <c r="D149" s="0">
        <f>VLOOKUP(B149,'Item Tier Lookup'!$A:$B,2,FALSE)</f>
        <v/>
      </c>
      <c r="E149" s="0">
        <f>VLOOKUP(D149,'Tier Params'!$A:$B,2,FALSE)</f>
        <v/>
      </c>
      <c r="F149" s="0">
        <f>VLOOKUP(D149,'Tier Params'!$A:$C,3,FALSE)</f>
        <v/>
      </c>
      <c r="G149" s="0">
        <f>CEILING(C149/F149,1)</f>
        <v/>
      </c>
      <c r="H149" s="0">
        <f>G149*E149</f>
        <v/>
      </c>
    </row>
    <row r="150">
      <c r="A150" s="0" t="inlineStr">
        <is>
          <t>Structure Hangar Array</t>
        </is>
      </c>
      <c r="B150" s="0" t="inlineStr">
        <is>
          <t>Rocket Fuel</t>
        </is>
      </c>
      <c r="C150" s="0">
        <f>SUMIFS('BOM Cycle Calc'!$D:$D,'BOM Cycle Calc'!$B:$B,A150,'BOM Cycle Calc'!$C:$C,B150)</f>
        <v/>
      </c>
      <c r="D150" s="0">
        <f>VLOOKUP(B150,'Item Tier Lookup'!$A:$B,2,FALSE)</f>
        <v/>
      </c>
      <c r="E150" s="0">
        <f>VLOOKUP(D150,'Tier Params'!$A:$B,2,FALSE)</f>
        <v/>
      </c>
      <c r="F150" s="0">
        <f>VLOOKUP(D150,'Tier Params'!$A:$C,3,FALSE)</f>
        <v/>
      </c>
      <c r="G150" s="0">
        <f>CEILING(C150/F150,1)</f>
        <v/>
      </c>
      <c r="H150" s="0">
        <f>G150*E150</f>
        <v/>
      </c>
    </row>
    <row r="151">
      <c r="A151" s="0" t="inlineStr">
        <is>
          <t>Structure Hangar Array</t>
        </is>
      </c>
      <c r="B151" s="0" t="inlineStr">
        <is>
          <t>Hermetic Membranes</t>
        </is>
      </c>
      <c r="C151" s="0">
        <f>SUMIFS('BOM Cycle Calc'!$D:$D,'BOM Cycle Calc'!$B:$B,A151,'BOM Cycle Calc'!$C:$C,B151)</f>
        <v/>
      </c>
      <c r="D151" s="0">
        <f>VLOOKUP(B151,'Item Tier Lookup'!$A:$B,2,FALSE)</f>
        <v/>
      </c>
      <c r="E151" s="0">
        <f>VLOOKUP(D151,'Tier Params'!$A:$B,2,FALSE)</f>
        <v/>
      </c>
      <c r="F151" s="0">
        <f>VLOOKUP(D151,'Tier Params'!$A:$C,3,FALSE)</f>
        <v/>
      </c>
      <c r="G151" s="0">
        <f>CEILING(C151/F151,1)</f>
        <v/>
      </c>
      <c r="H151" s="0">
        <f>G151*E151</f>
        <v/>
      </c>
    </row>
    <row r="152">
      <c r="A152" s="0" t="inlineStr">
        <is>
          <t>Structure Hangar Array</t>
        </is>
      </c>
      <c r="B152" s="0" t="inlineStr">
        <is>
          <t>Genetically Enhanced Livestock</t>
        </is>
      </c>
      <c r="C152" s="0">
        <f>SUMIFS('BOM Cycle Calc'!$D:$D,'BOM Cycle Calc'!$B:$B,A152,'BOM Cycle Calc'!$C:$C,B152)</f>
        <v/>
      </c>
      <c r="D152" s="0">
        <f>VLOOKUP(B152,'Item Tier Lookup'!$A:$B,2,FALSE)</f>
        <v/>
      </c>
      <c r="E152" s="0">
        <f>VLOOKUP(D152,'Tier Params'!$A:$B,2,FALSE)</f>
        <v/>
      </c>
      <c r="F152" s="0">
        <f>VLOOKUP(D152,'Tier Params'!$A:$C,3,FALSE)</f>
        <v/>
      </c>
      <c r="G152" s="0">
        <f>CEILING(C152/F152,1)</f>
        <v/>
      </c>
      <c r="H152" s="0">
        <f>G152*E152</f>
        <v/>
      </c>
    </row>
    <row r="153">
      <c r="A153" s="0" t="inlineStr">
        <is>
          <t>Structure Hangar Array</t>
        </is>
      </c>
      <c r="B153" s="0" t="inlineStr">
        <is>
          <t>Sterile Conduits</t>
        </is>
      </c>
      <c r="C153" s="0">
        <f>SUMIFS('BOM Cycle Calc'!$D:$D,'BOM Cycle Calc'!$B:$B,A153,'BOM Cycle Calc'!$C:$C,B153)</f>
        <v/>
      </c>
      <c r="D153" s="0">
        <f>VLOOKUP(B153,'Item Tier Lookup'!$A:$B,2,FALSE)</f>
        <v/>
      </c>
      <c r="E153" s="0">
        <f>VLOOKUP(D153,'Tier Params'!$A:$B,2,FALSE)</f>
        <v/>
      </c>
      <c r="F153" s="0">
        <f>VLOOKUP(D153,'Tier Params'!$A:$C,3,FALSE)</f>
        <v/>
      </c>
      <c r="G153" s="0">
        <f>CEILING(C153/F153,1)</f>
        <v/>
      </c>
      <c r="H153" s="0">
        <f>G153*E153</f>
        <v/>
      </c>
    </row>
    <row r="154">
      <c r="A154" s="0" t="inlineStr">
        <is>
          <t>Structure Hangar Array</t>
        </is>
      </c>
      <c r="B154" s="0" t="inlineStr">
        <is>
          <t>Vaccines</t>
        </is>
      </c>
      <c r="C154" s="0">
        <f>SUMIFS('BOM Cycle Calc'!$D:$D,'BOM Cycle Calc'!$B:$B,A154,'BOM Cycle Calc'!$C:$C,B154)</f>
        <v/>
      </c>
      <c r="D154" s="0">
        <f>VLOOKUP(B154,'Item Tier Lookup'!$A:$B,2,FALSE)</f>
        <v/>
      </c>
      <c r="E154" s="0">
        <f>VLOOKUP(D154,'Tier Params'!$A:$B,2,FALSE)</f>
        <v/>
      </c>
      <c r="F154" s="0">
        <f>VLOOKUP(D154,'Tier Params'!$A:$C,3,FALSE)</f>
        <v/>
      </c>
      <c r="G154" s="0">
        <f>CEILING(C154/F154,1)</f>
        <v/>
      </c>
      <c r="H154" s="0">
        <f>G154*E154</f>
        <v/>
      </c>
    </row>
    <row r="155">
      <c r="A155" s="0" t="inlineStr">
        <is>
          <t>Structure Hangar Array</t>
        </is>
      </c>
      <c r="B155" s="0" t="inlineStr">
        <is>
          <t>Livestock</t>
        </is>
      </c>
      <c r="C155" s="0">
        <f>SUMIFS('BOM Cycle Calc'!$D:$D,'BOM Cycle Calc'!$B:$B,A155,'BOM Cycle Calc'!$C:$C,B155)</f>
        <v/>
      </c>
      <c r="D155" s="0">
        <f>VLOOKUP(B155,'Item Tier Lookup'!$A:$B,2,FALSE)</f>
        <v/>
      </c>
      <c r="E155" s="0">
        <f>VLOOKUP(D155,'Tier Params'!$A:$B,2,FALSE)</f>
        <v/>
      </c>
      <c r="F155" s="0">
        <f>VLOOKUP(D155,'Tier Params'!$A:$C,3,FALSE)</f>
        <v/>
      </c>
      <c r="G155" s="0">
        <f>CEILING(C155/F155,1)</f>
        <v/>
      </c>
      <c r="H155" s="0">
        <f>G155*E155</f>
        <v/>
      </c>
    </row>
    <row r="156">
      <c r="A156" s="0" t="inlineStr">
        <is>
          <t>Structure Hangar Array</t>
        </is>
      </c>
      <c r="B156" s="0" t="inlineStr">
        <is>
          <t>Viral Agent</t>
        </is>
      </c>
      <c r="C156" s="0">
        <f>SUMIFS('BOM Cycle Calc'!$D:$D,'BOM Cycle Calc'!$B:$B,A156,'BOM Cycle Calc'!$C:$C,B156)</f>
        <v/>
      </c>
      <c r="D156" s="0">
        <f>VLOOKUP(B156,'Item Tier Lookup'!$A:$B,2,FALSE)</f>
        <v/>
      </c>
      <c r="E156" s="0">
        <f>VLOOKUP(D156,'Tier Params'!$A:$B,2,FALSE)</f>
        <v/>
      </c>
      <c r="F156" s="0">
        <f>VLOOKUP(D156,'Tier Params'!$A:$C,3,FALSE)</f>
        <v/>
      </c>
      <c r="G156" s="0">
        <f>CEILING(C156/F156,1)</f>
        <v/>
      </c>
      <c r="H156" s="0">
        <f>G156*E156</f>
        <v/>
      </c>
    </row>
    <row r="157">
      <c r="A157" s="0" t="inlineStr">
        <is>
          <t>Structure Hangar Array</t>
        </is>
      </c>
      <c r="B157" s="0" t="inlineStr">
        <is>
          <t>Smartfab Units</t>
        </is>
      </c>
      <c r="C157" s="0">
        <f>SUMIFS('BOM Cycle Calc'!$D:$D,'BOM Cycle Calc'!$B:$B,A157,'BOM Cycle Calc'!$C:$C,B157)</f>
        <v/>
      </c>
      <c r="D157" s="0">
        <f>VLOOKUP(B157,'Item Tier Lookup'!$A:$B,2,FALSE)</f>
        <v/>
      </c>
      <c r="E157" s="0">
        <f>VLOOKUP(D157,'Tier Params'!$A:$B,2,FALSE)</f>
        <v/>
      </c>
      <c r="F157" s="0">
        <f>VLOOKUP(D157,'Tier Params'!$A:$C,3,FALSE)</f>
        <v/>
      </c>
      <c r="G157" s="0">
        <f>CEILING(C157/F157,1)</f>
        <v/>
      </c>
      <c r="H157" s="0">
        <f>G157*E157</f>
        <v/>
      </c>
    </row>
    <row r="158">
      <c r="A158" s="0" t="inlineStr">
        <is>
          <t>Structure Hangar Array</t>
        </is>
      </c>
      <c r="B158" s="0" t="inlineStr">
        <is>
          <t>Miniature Electronics</t>
        </is>
      </c>
      <c r="C158" s="0">
        <f>SUMIFS('BOM Cycle Calc'!$D:$D,'BOM Cycle Calc'!$B:$B,A158,'BOM Cycle Calc'!$C:$C,B158)</f>
        <v/>
      </c>
      <c r="D158" s="0">
        <f>VLOOKUP(B158,'Item Tier Lookup'!$A:$B,2,FALSE)</f>
        <v/>
      </c>
      <c r="E158" s="0">
        <f>VLOOKUP(D158,'Tier Params'!$A:$B,2,FALSE)</f>
        <v/>
      </c>
      <c r="F158" s="0">
        <f>VLOOKUP(D158,'Tier Params'!$A:$C,3,FALSE)</f>
        <v/>
      </c>
      <c r="G158" s="0">
        <f>CEILING(C158/F158,1)</f>
        <v/>
      </c>
      <c r="H158" s="0">
        <f>G158*E158</f>
        <v/>
      </c>
    </row>
    <row r="159">
      <c r="A159" s="0" t="inlineStr">
        <is>
          <t>Structure Hangar Array</t>
        </is>
      </c>
      <c r="B159" s="0" t="inlineStr">
        <is>
          <t>Construction Blocks</t>
        </is>
      </c>
      <c r="C159" s="0">
        <f>SUMIFS('BOM Cycle Calc'!$D:$D,'BOM Cycle Calc'!$B:$B,A159,'BOM Cycle Calc'!$C:$C,B159)</f>
        <v/>
      </c>
      <c r="D159" s="0">
        <f>VLOOKUP(B159,'Item Tier Lookup'!$A:$B,2,FALSE)</f>
        <v/>
      </c>
      <c r="E159" s="0">
        <f>VLOOKUP(D159,'Tier Params'!$A:$B,2,FALSE)</f>
        <v/>
      </c>
      <c r="F159" s="0">
        <f>VLOOKUP(D159,'Tier Params'!$A:$C,3,FALSE)</f>
        <v/>
      </c>
      <c r="G159" s="0">
        <f>CEILING(C159/F159,1)</f>
        <v/>
      </c>
      <c r="H159" s="0">
        <f>G159*E159</f>
        <v/>
      </c>
    </row>
    <row r="160">
      <c r="A160" s="0" t="inlineStr">
        <is>
          <t>Structure Hangar Array</t>
        </is>
      </c>
      <c r="B160" s="0" t="inlineStr">
        <is>
          <t>Wetware Mainframe</t>
        </is>
      </c>
      <c r="C160" s="0">
        <f>SUMIFS('BOM Cycle Calc'!$D:$D,'BOM Cycle Calc'!$B:$B,A160,'BOM Cycle Calc'!$C:$C,B160)</f>
        <v/>
      </c>
      <c r="D160" s="0">
        <f>VLOOKUP(B160,'Item Tier Lookup'!$A:$B,2,FALSE)</f>
        <v/>
      </c>
      <c r="E160" s="0">
        <f>VLOOKUP(D160,'Tier Params'!$A:$B,2,FALSE)</f>
        <v/>
      </c>
      <c r="F160" s="0">
        <f>VLOOKUP(D160,'Tier Params'!$A:$C,3,FALSE)</f>
        <v/>
      </c>
      <c r="G160" s="0">
        <f>CEILING(C160/F160,1)</f>
        <v/>
      </c>
      <c r="H160" s="0">
        <f>G160*E160</f>
        <v/>
      </c>
    </row>
    <row r="161">
      <c r="A161" s="0" t="inlineStr">
        <is>
          <t>Structure Hangar Array</t>
        </is>
      </c>
      <c r="B161" s="0" t="inlineStr">
        <is>
          <t>Supercomputers</t>
        </is>
      </c>
      <c r="C161" s="0">
        <f>SUMIFS('BOM Cycle Calc'!$D:$D,'BOM Cycle Calc'!$B:$B,A161,'BOM Cycle Calc'!$C:$C,B161)</f>
        <v/>
      </c>
      <c r="D161" s="0">
        <f>VLOOKUP(B161,'Item Tier Lookup'!$A:$B,2,FALSE)</f>
        <v/>
      </c>
      <c r="E161" s="0">
        <f>VLOOKUP(D161,'Tier Params'!$A:$B,2,FALSE)</f>
        <v/>
      </c>
      <c r="F161" s="0">
        <f>VLOOKUP(D161,'Tier Params'!$A:$C,3,FALSE)</f>
        <v/>
      </c>
      <c r="G161" s="0">
        <f>CEILING(C161/F161,1)</f>
        <v/>
      </c>
      <c r="H161" s="0">
        <f>G161*E161</f>
        <v/>
      </c>
    </row>
    <row r="162">
      <c r="A162" s="0" t="inlineStr">
        <is>
          <t>Structure Hangar Array</t>
        </is>
      </c>
      <c r="B162" s="0" t="inlineStr">
        <is>
          <t>Coolant</t>
        </is>
      </c>
      <c r="C162" s="0">
        <f>SUMIFS('BOM Cycle Calc'!$D:$D,'BOM Cycle Calc'!$B:$B,A162,'BOM Cycle Calc'!$C:$C,B162)</f>
        <v/>
      </c>
      <c r="D162" s="0">
        <f>VLOOKUP(B162,'Item Tier Lookup'!$A:$B,2,FALSE)</f>
        <v/>
      </c>
      <c r="E162" s="0">
        <f>VLOOKUP(D162,'Tier Params'!$A:$B,2,FALSE)</f>
        <v/>
      </c>
      <c r="F162" s="0">
        <f>VLOOKUP(D162,'Tier Params'!$A:$C,3,FALSE)</f>
        <v/>
      </c>
      <c r="G162" s="0">
        <f>CEILING(C162/F162,1)</f>
        <v/>
      </c>
      <c r="H162" s="0">
        <f>G162*E162</f>
        <v/>
      </c>
    </row>
    <row r="163">
      <c r="A163" s="0" t="inlineStr">
        <is>
          <t>Structure Hangar Array</t>
        </is>
      </c>
      <c r="B163" s="0" t="inlineStr">
        <is>
          <t>Consumer Electronics</t>
        </is>
      </c>
      <c r="C163" s="0">
        <f>SUMIFS('BOM Cycle Calc'!$D:$D,'BOM Cycle Calc'!$B:$B,A163,'BOM Cycle Calc'!$C:$C,B163)</f>
        <v/>
      </c>
      <c r="D163" s="0">
        <f>VLOOKUP(B163,'Item Tier Lookup'!$A:$B,2,FALSE)</f>
        <v/>
      </c>
      <c r="E163" s="0">
        <f>VLOOKUP(D163,'Tier Params'!$A:$B,2,FALSE)</f>
        <v/>
      </c>
      <c r="F163" s="0">
        <f>VLOOKUP(D163,'Tier Params'!$A:$C,3,FALSE)</f>
        <v/>
      </c>
      <c r="G163" s="0">
        <f>CEILING(C163/F163,1)</f>
        <v/>
      </c>
      <c r="H163" s="0">
        <f>G163*E163</f>
        <v/>
      </c>
    </row>
    <row r="164">
      <c r="A164" s="0" t="inlineStr">
        <is>
          <t>Structure Hangar Array</t>
        </is>
      </c>
      <c r="B164" s="0" t="inlineStr">
        <is>
          <t>Biotech Research Reports</t>
        </is>
      </c>
      <c r="C164" s="0">
        <f>SUMIFS('BOM Cycle Calc'!$D:$D,'BOM Cycle Calc'!$B:$B,A164,'BOM Cycle Calc'!$C:$C,B164)</f>
        <v/>
      </c>
      <c r="D164" s="0">
        <f>VLOOKUP(B164,'Item Tier Lookup'!$A:$B,2,FALSE)</f>
        <v/>
      </c>
      <c r="E164" s="0">
        <f>VLOOKUP(D164,'Tier Params'!$A:$B,2,FALSE)</f>
        <v/>
      </c>
      <c r="F164" s="0">
        <f>VLOOKUP(D164,'Tier Params'!$A:$C,3,FALSE)</f>
        <v/>
      </c>
      <c r="G164" s="0">
        <f>CEILING(C164/F164,1)</f>
        <v/>
      </c>
      <c r="H164" s="0">
        <f>G164*E164</f>
        <v/>
      </c>
    </row>
    <row r="165">
      <c r="A165" s="0" t="inlineStr">
        <is>
          <t>Structure Hangar Array</t>
        </is>
      </c>
      <c r="B165" s="0" t="inlineStr">
        <is>
          <t>Cryoprotectant Solution</t>
        </is>
      </c>
      <c r="C165" s="0">
        <f>SUMIFS('BOM Cycle Calc'!$D:$D,'BOM Cycle Calc'!$B:$B,A165,'BOM Cycle Calc'!$C:$C,B165)</f>
        <v/>
      </c>
      <c r="D165" s="0">
        <f>VLOOKUP(B165,'Item Tier Lookup'!$A:$B,2,FALSE)</f>
        <v/>
      </c>
      <c r="E165" s="0">
        <f>VLOOKUP(D165,'Tier Params'!$A:$B,2,FALSE)</f>
        <v/>
      </c>
      <c r="F165" s="0">
        <f>VLOOKUP(D165,'Tier Params'!$A:$C,3,FALSE)</f>
        <v/>
      </c>
      <c r="G165" s="0">
        <f>CEILING(C165/F165,1)</f>
        <v/>
      </c>
      <c r="H165" s="0">
        <f>G165*E165</f>
        <v/>
      </c>
    </row>
    <row r="166">
      <c r="A166" s="0" t="inlineStr">
        <is>
          <t>Structure Storage Bay</t>
        </is>
      </c>
      <c r="B166" s="0" t="inlineStr">
        <is>
          <t>Tritanium</t>
        </is>
      </c>
      <c r="C166" s="0">
        <f>SUMIFS('BOM Cycle Calc'!$D:$D,'BOM Cycle Calc'!$B:$B,A166,'BOM Cycle Calc'!$C:$C,B166)</f>
        <v/>
      </c>
      <c r="D166" s="0">
        <f>VLOOKUP(B166,'Item Tier Lookup'!$A:$B,2,FALSE)</f>
        <v/>
      </c>
      <c r="E166" s="0">
        <f>VLOOKUP(D166,'Tier Params'!$A:$B,2,FALSE)</f>
        <v/>
      </c>
      <c r="F166" s="0">
        <f>VLOOKUP(D166,'Tier Params'!$A:$C,3,FALSE)</f>
        <v/>
      </c>
      <c r="G166" s="0">
        <f>CEILING(C166/F166,1)</f>
        <v/>
      </c>
      <c r="H166" s="0">
        <f>G166*E166</f>
        <v/>
      </c>
    </row>
    <row r="167">
      <c r="A167" s="0" t="inlineStr">
        <is>
          <t>Structure Storage Bay</t>
        </is>
      </c>
      <c r="B167" s="0" t="inlineStr">
        <is>
          <t>Pyerite</t>
        </is>
      </c>
      <c r="C167" s="0">
        <f>SUMIFS('BOM Cycle Calc'!$D:$D,'BOM Cycle Calc'!$B:$B,A167,'BOM Cycle Calc'!$C:$C,B167)</f>
        <v/>
      </c>
      <c r="D167" s="0">
        <f>VLOOKUP(B167,'Item Tier Lookup'!$A:$B,2,FALSE)</f>
        <v/>
      </c>
      <c r="E167" s="0">
        <f>VLOOKUP(D167,'Tier Params'!$A:$B,2,FALSE)</f>
        <v/>
      </c>
      <c r="F167" s="0">
        <f>VLOOKUP(D167,'Tier Params'!$A:$C,3,FALSE)</f>
        <v/>
      </c>
      <c r="G167" s="0">
        <f>CEILING(C167/F167,1)</f>
        <v/>
      </c>
      <c r="H167" s="0">
        <f>G167*E167</f>
        <v/>
      </c>
    </row>
    <row r="168">
      <c r="A168" s="0" t="inlineStr">
        <is>
          <t>Structure Storage Bay</t>
        </is>
      </c>
      <c r="B168" s="0" t="inlineStr">
        <is>
          <t>Mexallon</t>
        </is>
      </c>
      <c r="C168" s="0">
        <f>SUMIFS('BOM Cycle Calc'!$D:$D,'BOM Cycle Calc'!$B:$B,A168,'BOM Cycle Calc'!$C:$C,B168)</f>
        <v/>
      </c>
      <c r="D168" s="0">
        <f>VLOOKUP(B168,'Item Tier Lookup'!$A:$B,2,FALSE)</f>
        <v/>
      </c>
      <c r="E168" s="0">
        <f>VLOOKUP(D168,'Tier Params'!$A:$B,2,FALSE)</f>
        <v/>
      </c>
      <c r="F168" s="0">
        <f>VLOOKUP(D168,'Tier Params'!$A:$C,3,FALSE)</f>
        <v/>
      </c>
      <c r="G168" s="0">
        <f>CEILING(C168/F168,1)</f>
        <v/>
      </c>
      <c r="H168" s="0">
        <f>G168*E168</f>
        <v/>
      </c>
    </row>
    <row r="169">
      <c r="A169" s="0" t="inlineStr">
        <is>
          <t>Structure Storage Bay</t>
        </is>
      </c>
      <c r="B169" s="0" t="inlineStr">
        <is>
          <t>Isogen</t>
        </is>
      </c>
      <c r="C169" s="0">
        <f>SUMIFS('BOM Cycle Calc'!$D:$D,'BOM Cycle Calc'!$B:$B,A169,'BOM Cycle Calc'!$C:$C,B169)</f>
        <v/>
      </c>
      <c r="D169" s="0">
        <f>VLOOKUP(B169,'Item Tier Lookup'!$A:$B,2,FALSE)</f>
        <v/>
      </c>
      <c r="E169" s="0">
        <f>VLOOKUP(D169,'Tier Params'!$A:$B,2,FALSE)</f>
        <v/>
      </c>
      <c r="F169" s="0">
        <f>VLOOKUP(D169,'Tier Params'!$A:$C,3,FALSE)</f>
        <v/>
      </c>
      <c r="G169" s="0">
        <f>CEILING(C169/F169,1)</f>
        <v/>
      </c>
      <c r="H169" s="0">
        <f>G169*E169</f>
        <v/>
      </c>
    </row>
    <row r="170">
      <c r="A170" s="0" t="inlineStr">
        <is>
          <t>Structure Storage Bay</t>
        </is>
      </c>
      <c r="B170" s="0" t="inlineStr">
        <is>
          <t>Nocxium</t>
        </is>
      </c>
      <c r="C170" s="0">
        <f>SUMIFS('BOM Cycle Calc'!$D:$D,'BOM Cycle Calc'!$B:$B,A170,'BOM Cycle Calc'!$C:$C,B170)</f>
        <v/>
      </c>
      <c r="D170" s="0">
        <f>VLOOKUP(B170,'Item Tier Lookup'!$A:$B,2,FALSE)</f>
        <v/>
      </c>
      <c r="E170" s="0">
        <f>VLOOKUP(D170,'Tier Params'!$A:$B,2,FALSE)</f>
        <v/>
      </c>
      <c r="F170" s="0">
        <f>VLOOKUP(D170,'Tier Params'!$A:$C,3,FALSE)</f>
        <v/>
      </c>
      <c r="G170" s="0">
        <f>CEILING(C170/F170,1)</f>
        <v/>
      </c>
      <c r="H170" s="0">
        <f>G170*E170</f>
        <v/>
      </c>
    </row>
    <row r="171">
      <c r="A171" s="0" t="inlineStr">
        <is>
          <t>Structure Storage Bay</t>
        </is>
      </c>
      <c r="B171" s="0" t="inlineStr">
        <is>
          <t>Zydrine</t>
        </is>
      </c>
      <c r="C171" s="0">
        <f>SUMIFS('BOM Cycle Calc'!$D:$D,'BOM Cycle Calc'!$B:$B,A171,'BOM Cycle Calc'!$C:$C,B171)</f>
        <v/>
      </c>
      <c r="D171" s="0">
        <f>VLOOKUP(B171,'Item Tier Lookup'!$A:$B,2,FALSE)</f>
        <v/>
      </c>
      <c r="E171" s="0">
        <f>VLOOKUP(D171,'Tier Params'!$A:$B,2,FALSE)</f>
        <v/>
      </c>
      <c r="F171" s="0">
        <f>VLOOKUP(D171,'Tier Params'!$A:$C,3,FALSE)</f>
        <v/>
      </c>
      <c r="G171" s="0">
        <f>CEILING(C171/F171,1)</f>
        <v/>
      </c>
      <c r="H171" s="0">
        <f>G171*E171</f>
        <v/>
      </c>
    </row>
    <row r="172">
      <c r="A172" s="0" t="inlineStr">
        <is>
          <t>Structure Storage Bay</t>
        </is>
      </c>
      <c r="B172" s="0" t="inlineStr">
        <is>
          <t>Megacyte</t>
        </is>
      </c>
      <c r="C172" s="0">
        <f>SUMIFS('BOM Cycle Calc'!$D:$D,'BOM Cycle Calc'!$B:$B,A172,'BOM Cycle Calc'!$C:$C,B172)</f>
        <v/>
      </c>
      <c r="D172" s="0">
        <f>VLOOKUP(B172,'Item Tier Lookup'!$A:$B,2,FALSE)</f>
        <v/>
      </c>
      <c r="E172" s="0">
        <f>VLOOKUP(D172,'Tier Params'!$A:$B,2,FALSE)</f>
        <v/>
      </c>
      <c r="F172" s="0">
        <f>VLOOKUP(D172,'Tier Params'!$A:$C,3,FALSE)</f>
        <v/>
      </c>
      <c r="G172" s="0">
        <f>CEILING(C172/F172,1)</f>
        <v/>
      </c>
      <c r="H172" s="0">
        <f>G172*E172</f>
        <v/>
      </c>
    </row>
    <row r="173">
      <c r="A173" s="0" t="inlineStr">
        <is>
          <t>Structure Storage Bay</t>
        </is>
      </c>
      <c r="B173" s="0" t="inlineStr">
        <is>
          <t>Broadcast Node</t>
        </is>
      </c>
      <c r="C173" s="0">
        <f>SUMIFS('BOM Cycle Calc'!$D:$D,'BOM Cycle Calc'!$B:$B,A173,'BOM Cycle Calc'!$C:$C,B173)</f>
        <v/>
      </c>
      <c r="D173" s="0">
        <f>VLOOKUP(B173,'Item Tier Lookup'!$A:$B,2,FALSE)</f>
        <v/>
      </c>
      <c r="E173" s="0">
        <f>VLOOKUP(D173,'Tier Params'!$A:$B,2,FALSE)</f>
        <v/>
      </c>
      <c r="F173" s="0">
        <f>VLOOKUP(D173,'Tier Params'!$A:$C,3,FALSE)</f>
        <v/>
      </c>
      <c r="G173" s="0">
        <f>CEILING(C173/F173,1)</f>
        <v/>
      </c>
      <c r="H173" s="0">
        <f>G173*E173</f>
        <v/>
      </c>
    </row>
    <row r="174">
      <c r="A174" s="0" t="inlineStr">
        <is>
          <t>Structure Storage Bay</t>
        </is>
      </c>
      <c r="B174" s="0" t="inlineStr">
        <is>
          <t>Data Chips</t>
        </is>
      </c>
      <c r="C174" s="0">
        <f>SUMIFS('BOM Cycle Calc'!$D:$D,'BOM Cycle Calc'!$B:$B,A174,'BOM Cycle Calc'!$C:$C,B174)</f>
        <v/>
      </c>
      <c r="D174" s="0">
        <f>VLOOKUP(B174,'Item Tier Lookup'!$A:$B,2,FALSE)</f>
        <v/>
      </c>
      <c r="E174" s="0">
        <f>VLOOKUP(D174,'Tier Params'!$A:$B,2,FALSE)</f>
        <v/>
      </c>
      <c r="F174" s="0">
        <f>VLOOKUP(D174,'Tier Params'!$A:$C,3,FALSE)</f>
        <v/>
      </c>
      <c r="G174" s="0">
        <f>CEILING(C174/F174,1)</f>
        <v/>
      </c>
      <c r="H174" s="0">
        <f>G174*E174</f>
        <v/>
      </c>
    </row>
    <row r="175">
      <c r="A175" s="0" t="inlineStr">
        <is>
          <t>Structure Storage Bay</t>
        </is>
      </c>
      <c r="B175" s="0" t="inlineStr">
        <is>
          <t>Supertensile Plastics</t>
        </is>
      </c>
      <c r="C175" s="0">
        <f>SUMIFS('BOM Cycle Calc'!$D:$D,'BOM Cycle Calc'!$B:$B,A175,'BOM Cycle Calc'!$C:$C,B175)</f>
        <v/>
      </c>
      <c r="D175" s="0">
        <f>VLOOKUP(B175,'Item Tier Lookup'!$A:$B,2,FALSE)</f>
        <v/>
      </c>
      <c r="E175" s="0">
        <f>VLOOKUP(D175,'Tier Params'!$A:$B,2,FALSE)</f>
        <v/>
      </c>
      <c r="F175" s="0">
        <f>VLOOKUP(D175,'Tier Params'!$A:$C,3,FALSE)</f>
        <v/>
      </c>
      <c r="G175" s="0">
        <f>CEILING(C175/F175,1)</f>
        <v/>
      </c>
      <c r="H175" s="0">
        <f>G175*E175</f>
        <v/>
      </c>
    </row>
    <row r="176">
      <c r="A176" s="0" t="inlineStr">
        <is>
          <t>Structure Storage Bay</t>
        </is>
      </c>
      <c r="B176" s="0" t="inlineStr">
        <is>
          <t>Oxygen</t>
        </is>
      </c>
      <c r="C176" s="0">
        <f>SUMIFS('BOM Cycle Calc'!$D:$D,'BOM Cycle Calc'!$B:$B,A176,'BOM Cycle Calc'!$C:$C,B176)</f>
        <v/>
      </c>
      <c r="D176" s="0">
        <f>VLOOKUP(B176,'Item Tier Lookup'!$A:$B,2,FALSE)</f>
        <v/>
      </c>
      <c r="E176" s="0">
        <f>VLOOKUP(D176,'Tier Params'!$A:$B,2,FALSE)</f>
        <v/>
      </c>
      <c r="F176" s="0">
        <f>VLOOKUP(D176,'Tier Params'!$A:$C,3,FALSE)</f>
        <v/>
      </c>
      <c r="G176" s="0">
        <f>CEILING(C176/F176,1)</f>
        <v/>
      </c>
      <c r="H176" s="0">
        <f>G176*E176</f>
        <v/>
      </c>
    </row>
    <row r="177">
      <c r="A177" s="0" t="inlineStr">
        <is>
          <t>Structure Storage Bay</t>
        </is>
      </c>
      <c r="B177" s="0" t="inlineStr">
        <is>
          <t>Noble Gas</t>
        </is>
      </c>
      <c r="C177" s="0">
        <f>SUMIFS('BOM Cycle Calc'!$D:$D,'BOM Cycle Calc'!$B:$B,A177,'BOM Cycle Calc'!$C:$C,B177)</f>
        <v/>
      </c>
      <c r="D177" s="0">
        <f>VLOOKUP(B177,'Item Tier Lookup'!$A:$B,2,FALSE)</f>
        <v/>
      </c>
      <c r="E177" s="0">
        <f>VLOOKUP(D177,'Tier Params'!$A:$B,2,FALSE)</f>
        <v/>
      </c>
      <c r="F177" s="0">
        <f>VLOOKUP(D177,'Tier Params'!$A:$C,3,FALSE)</f>
        <v/>
      </c>
      <c r="G177" s="0">
        <f>CEILING(C177/F177,1)</f>
        <v/>
      </c>
      <c r="H177" s="0">
        <f>G177*E177</f>
        <v/>
      </c>
    </row>
    <row r="178">
      <c r="A178" s="0" t="inlineStr">
        <is>
          <t>Structure Storage Bay</t>
        </is>
      </c>
      <c r="B178" s="0" t="inlineStr">
        <is>
          <t>Biomass</t>
        </is>
      </c>
      <c r="C178" s="0">
        <f>SUMIFS('BOM Cycle Calc'!$D:$D,'BOM Cycle Calc'!$B:$B,A178,'BOM Cycle Calc'!$C:$C,B178)</f>
        <v/>
      </c>
      <c r="D178" s="0">
        <f>VLOOKUP(B178,'Item Tier Lookup'!$A:$B,2,FALSE)</f>
        <v/>
      </c>
      <c r="E178" s="0">
        <f>VLOOKUP(D178,'Tier Params'!$A:$B,2,FALSE)</f>
        <v/>
      </c>
      <c r="F178" s="0">
        <f>VLOOKUP(D178,'Tier Params'!$A:$C,3,FALSE)</f>
        <v/>
      </c>
      <c r="G178" s="0">
        <f>CEILING(C178/F178,1)</f>
        <v/>
      </c>
      <c r="H178" s="0">
        <f>G178*E178</f>
        <v/>
      </c>
    </row>
    <row r="179">
      <c r="A179" s="0" t="inlineStr">
        <is>
          <t>Structure Storage Bay</t>
        </is>
      </c>
      <c r="B179" s="0" t="inlineStr">
        <is>
          <t>Planktic Colonies</t>
        </is>
      </c>
      <c r="C179" s="0">
        <f>SUMIFS('BOM Cycle Calc'!$D:$D,'BOM Cycle Calc'!$B:$B,A179,'BOM Cycle Calc'!$C:$C,B179)</f>
        <v/>
      </c>
      <c r="D179" s="0">
        <f>VLOOKUP(B179,'Item Tier Lookup'!$A:$B,2,FALSE)</f>
        <v/>
      </c>
      <c r="E179" s="0">
        <f>VLOOKUP(D179,'Tier Params'!$A:$B,2,FALSE)</f>
        <v/>
      </c>
      <c r="F179" s="0">
        <f>VLOOKUP(D179,'Tier Params'!$A:$C,3,FALSE)</f>
        <v/>
      </c>
      <c r="G179" s="0">
        <f>CEILING(C179/F179,1)</f>
        <v/>
      </c>
      <c r="H179" s="0">
        <f>G179*E179</f>
        <v/>
      </c>
    </row>
    <row r="180">
      <c r="A180" s="0" t="inlineStr">
        <is>
          <t>Structure Storage Bay</t>
        </is>
      </c>
      <c r="B180" s="0" t="inlineStr">
        <is>
          <t>Microfiber Shielding</t>
        </is>
      </c>
      <c r="C180" s="0">
        <f>SUMIFS('BOM Cycle Calc'!$D:$D,'BOM Cycle Calc'!$B:$B,A180,'BOM Cycle Calc'!$C:$C,B180)</f>
        <v/>
      </c>
      <c r="D180" s="0">
        <f>VLOOKUP(B180,'Item Tier Lookup'!$A:$B,2,FALSE)</f>
        <v/>
      </c>
      <c r="E180" s="0">
        <f>VLOOKUP(D180,'Tier Params'!$A:$B,2,FALSE)</f>
        <v/>
      </c>
      <c r="F180" s="0">
        <f>VLOOKUP(D180,'Tier Params'!$A:$C,3,FALSE)</f>
        <v/>
      </c>
      <c r="G180" s="0">
        <f>CEILING(C180/F180,1)</f>
        <v/>
      </c>
      <c r="H180" s="0">
        <f>G180*E180</f>
        <v/>
      </c>
    </row>
    <row r="181">
      <c r="A181" s="0" t="inlineStr">
        <is>
          <t>Structure Storage Bay</t>
        </is>
      </c>
      <c r="B181" s="0" t="inlineStr">
        <is>
          <t>Silicon</t>
        </is>
      </c>
      <c r="C181" s="0">
        <f>SUMIFS('BOM Cycle Calc'!$D:$D,'BOM Cycle Calc'!$B:$B,A181,'BOM Cycle Calc'!$C:$C,B181)</f>
        <v/>
      </c>
      <c r="D181" s="0">
        <f>VLOOKUP(B181,'Item Tier Lookup'!$A:$B,2,FALSE)</f>
        <v/>
      </c>
      <c r="E181" s="0">
        <f>VLOOKUP(D181,'Tier Params'!$A:$B,2,FALSE)</f>
        <v/>
      </c>
      <c r="F181" s="0">
        <f>VLOOKUP(D181,'Tier Params'!$A:$C,3,FALSE)</f>
        <v/>
      </c>
      <c r="G181" s="0">
        <f>CEILING(C181/F181,1)</f>
        <v/>
      </c>
      <c r="H181" s="0">
        <f>G181*E181</f>
        <v/>
      </c>
    </row>
    <row r="182">
      <c r="A182" s="0" t="inlineStr">
        <is>
          <t>Structure Storage Bay</t>
        </is>
      </c>
      <c r="B182" s="0" t="inlineStr">
        <is>
          <t>Felsic Magma</t>
        </is>
      </c>
      <c r="C182" s="0">
        <f>SUMIFS('BOM Cycle Calc'!$D:$D,'BOM Cycle Calc'!$B:$B,A182,'BOM Cycle Calc'!$C:$C,B182)</f>
        <v/>
      </c>
      <c r="D182" s="0">
        <f>VLOOKUP(B182,'Item Tier Lookup'!$A:$B,2,FALSE)</f>
        <v/>
      </c>
      <c r="E182" s="0">
        <f>VLOOKUP(D182,'Tier Params'!$A:$B,2,FALSE)</f>
        <v/>
      </c>
      <c r="F182" s="0">
        <f>VLOOKUP(D182,'Tier Params'!$A:$C,3,FALSE)</f>
        <v/>
      </c>
      <c r="G182" s="0">
        <f>CEILING(C182/F182,1)</f>
        <v/>
      </c>
      <c r="H182" s="0">
        <f>G182*E182</f>
        <v/>
      </c>
    </row>
    <row r="183">
      <c r="A183" s="0" t="inlineStr">
        <is>
          <t>Structure Storage Bay</t>
        </is>
      </c>
      <c r="B183" s="0" t="inlineStr">
        <is>
          <t>Industrial Fibers</t>
        </is>
      </c>
      <c r="C183" s="0">
        <f>SUMIFS('BOM Cycle Calc'!$D:$D,'BOM Cycle Calc'!$B:$B,A183,'BOM Cycle Calc'!$C:$C,B183)</f>
        <v/>
      </c>
      <c r="D183" s="0">
        <f>VLOOKUP(B183,'Item Tier Lookup'!$A:$B,2,FALSE)</f>
        <v/>
      </c>
      <c r="E183" s="0">
        <f>VLOOKUP(D183,'Tier Params'!$A:$B,2,FALSE)</f>
        <v/>
      </c>
      <c r="F183" s="0">
        <f>VLOOKUP(D183,'Tier Params'!$A:$C,3,FALSE)</f>
        <v/>
      </c>
      <c r="G183" s="0">
        <f>CEILING(C183/F183,1)</f>
        <v/>
      </c>
      <c r="H183" s="0">
        <f>G183*E183</f>
        <v/>
      </c>
    </row>
    <row r="184">
      <c r="A184" s="0" t="inlineStr">
        <is>
          <t>Structure Storage Bay</t>
        </is>
      </c>
      <c r="B184" s="0" t="inlineStr">
        <is>
          <t>Autotrophs</t>
        </is>
      </c>
      <c r="C184" s="0">
        <f>SUMIFS('BOM Cycle Calc'!$D:$D,'BOM Cycle Calc'!$B:$B,A184,'BOM Cycle Calc'!$C:$C,B184)</f>
        <v/>
      </c>
      <c r="D184" s="0">
        <f>VLOOKUP(B184,'Item Tier Lookup'!$A:$B,2,FALSE)</f>
        <v/>
      </c>
      <c r="E184" s="0">
        <f>VLOOKUP(D184,'Tier Params'!$A:$B,2,FALSE)</f>
        <v/>
      </c>
      <c r="F184" s="0">
        <f>VLOOKUP(D184,'Tier Params'!$A:$C,3,FALSE)</f>
        <v/>
      </c>
      <c r="G184" s="0">
        <f>CEILING(C184/F184,1)</f>
        <v/>
      </c>
      <c r="H184" s="0">
        <f>G184*E184</f>
        <v/>
      </c>
    </row>
    <row r="185">
      <c r="A185" s="0" t="inlineStr">
        <is>
          <t>Structure Storage Bay</t>
        </is>
      </c>
      <c r="B185" s="0" t="inlineStr">
        <is>
          <t>Neocoms</t>
        </is>
      </c>
      <c r="C185" s="0">
        <f>SUMIFS('BOM Cycle Calc'!$D:$D,'BOM Cycle Calc'!$B:$B,A185,'BOM Cycle Calc'!$C:$C,B185)</f>
        <v/>
      </c>
      <c r="D185" s="0">
        <f>VLOOKUP(B185,'Item Tier Lookup'!$A:$B,2,FALSE)</f>
        <v/>
      </c>
      <c r="E185" s="0">
        <f>VLOOKUP(D185,'Tier Params'!$A:$B,2,FALSE)</f>
        <v/>
      </c>
      <c r="F185" s="0">
        <f>VLOOKUP(D185,'Tier Params'!$A:$C,3,FALSE)</f>
        <v/>
      </c>
      <c r="G185" s="0">
        <f>CEILING(C185/F185,1)</f>
        <v/>
      </c>
      <c r="H185" s="0">
        <f>G185*E185</f>
        <v/>
      </c>
    </row>
    <row r="186">
      <c r="A186" s="0" t="inlineStr">
        <is>
          <t>Structure Storage Bay</t>
        </is>
      </c>
      <c r="B186" s="0" t="inlineStr">
        <is>
          <t>Biocells</t>
        </is>
      </c>
      <c r="C186" s="0">
        <f>SUMIFS('BOM Cycle Calc'!$D:$D,'BOM Cycle Calc'!$B:$B,A186,'BOM Cycle Calc'!$C:$C,B186)</f>
        <v/>
      </c>
      <c r="D186" s="0">
        <f>VLOOKUP(B186,'Item Tier Lookup'!$A:$B,2,FALSE)</f>
        <v/>
      </c>
      <c r="E186" s="0">
        <f>VLOOKUP(D186,'Tier Params'!$A:$B,2,FALSE)</f>
        <v/>
      </c>
      <c r="F186" s="0">
        <f>VLOOKUP(D186,'Tier Params'!$A:$C,3,FALSE)</f>
        <v/>
      </c>
      <c r="G186" s="0">
        <f>CEILING(C186/F186,1)</f>
        <v/>
      </c>
      <c r="H186" s="0">
        <f>G186*E186</f>
        <v/>
      </c>
    </row>
    <row r="187">
      <c r="A187" s="0" t="inlineStr">
        <is>
          <t>Structure Storage Bay</t>
        </is>
      </c>
      <c r="B187" s="0" t="inlineStr">
        <is>
          <t>Biofuels</t>
        </is>
      </c>
      <c r="C187" s="0">
        <f>SUMIFS('BOM Cycle Calc'!$D:$D,'BOM Cycle Calc'!$B:$B,A187,'BOM Cycle Calc'!$C:$C,B187)</f>
        <v/>
      </c>
      <c r="D187" s="0">
        <f>VLOOKUP(B187,'Item Tier Lookup'!$A:$B,2,FALSE)</f>
        <v/>
      </c>
      <c r="E187" s="0">
        <f>VLOOKUP(D187,'Tier Params'!$A:$B,2,FALSE)</f>
        <v/>
      </c>
      <c r="F187" s="0">
        <f>VLOOKUP(D187,'Tier Params'!$A:$C,3,FALSE)</f>
        <v/>
      </c>
      <c r="G187" s="0">
        <f>CEILING(C187/F187,1)</f>
        <v/>
      </c>
      <c r="H187" s="0">
        <f>G187*E187</f>
        <v/>
      </c>
    </row>
    <row r="188">
      <c r="A188" s="0" t="inlineStr">
        <is>
          <t>Structure Storage Bay</t>
        </is>
      </c>
      <c r="B188" s="0" t="inlineStr">
        <is>
          <t>Carbon Compounds</t>
        </is>
      </c>
      <c r="C188" s="0">
        <f>SUMIFS('BOM Cycle Calc'!$D:$D,'BOM Cycle Calc'!$B:$B,A188,'BOM Cycle Calc'!$C:$C,B188)</f>
        <v/>
      </c>
      <c r="D188" s="0">
        <f>VLOOKUP(B188,'Item Tier Lookup'!$A:$B,2,FALSE)</f>
        <v/>
      </c>
      <c r="E188" s="0">
        <f>VLOOKUP(D188,'Tier Params'!$A:$B,2,FALSE)</f>
        <v/>
      </c>
      <c r="F188" s="0">
        <f>VLOOKUP(D188,'Tier Params'!$A:$C,3,FALSE)</f>
        <v/>
      </c>
      <c r="G188" s="0">
        <f>CEILING(C188/F188,1)</f>
        <v/>
      </c>
      <c r="H188" s="0">
        <f>G188*E188</f>
        <v/>
      </c>
    </row>
    <row r="189">
      <c r="A189" s="0" t="inlineStr">
        <is>
          <t>Structure Storage Bay</t>
        </is>
      </c>
      <c r="B189" s="0" t="inlineStr">
        <is>
          <t>Precious Metals</t>
        </is>
      </c>
      <c r="C189" s="0">
        <f>SUMIFS('BOM Cycle Calc'!$D:$D,'BOM Cycle Calc'!$B:$B,A189,'BOM Cycle Calc'!$C:$C,B189)</f>
        <v/>
      </c>
      <c r="D189" s="0">
        <f>VLOOKUP(B189,'Item Tier Lookup'!$A:$B,2,FALSE)</f>
        <v/>
      </c>
      <c r="E189" s="0">
        <f>VLOOKUP(D189,'Tier Params'!$A:$B,2,FALSE)</f>
        <v/>
      </c>
      <c r="F189" s="0">
        <f>VLOOKUP(D189,'Tier Params'!$A:$C,3,FALSE)</f>
        <v/>
      </c>
      <c r="G189" s="0">
        <f>CEILING(C189/F189,1)</f>
        <v/>
      </c>
      <c r="H189" s="0">
        <f>G189*E189</f>
        <v/>
      </c>
    </row>
    <row r="190">
      <c r="A190" s="0" t="inlineStr">
        <is>
          <t>Structure Storage Bay</t>
        </is>
      </c>
      <c r="B190" s="0" t="inlineStr">
        <is>
          <t>Noble Metals</t>
        </is>
      </c>
      <c r="C190" s="0">
        <f>SUMIFS('BOM Cycle Calc'!$D:$D,'BOM Cycle Calc'!$B:$B,A190,'BOM Cycle Calc'!$C:$C,B190)</f>
        <v/>
      </c>
      <c r="D190" s="0">
        <f>VLOOKUP(B190,'Item Tier Lookup'!$A:$B,2,FALSE)</f>
        <v/>
      </c>
      <c r="E190" s="0">
        <f>VLOOKUP(D190,'Tier Params'!$A:$B,2,FALSE)</f>
        <v/>
      </c>
      <c r="F190" s="0">
        <f>VLOOKUP(D190,'Tier Params'!$A:$C,3,FALSE)</f>
        <v/>
      </c>
      <c r="G190" s="0">
        <f>CEILING(C190/F190,1)</f>
        <v/>
      </c>
      <c r="H190" s="0">
        <f>G190*E190</f>
        <v/>
      </c>
    </row>
    <row r="191">
      <c r="A191" s="0" t="inlineStr">
        <is>
          <t>Structure Storage Bay</t>
        </is>
      </c>
      <c r="B191" s="0" t="inlineStr">
        <is>
          <t>Silicate Glass</t>
        </is>
      </c>
      <c r="C191" s="0">
        <f>SUMIFS('BOM Cycle Calc'!$D:$D,'BOM Cycle Calc'!$B:$B,A191,'BOM Cycle Calc'!$C:$C,B191)</f>
        <v/>
      </c>
      <c r="D191" s="0">
        <f>VLOOKUP(B191,'Item Tier Lookup'!$A:$B,2,FALSE)</f>
        <v/>
      </c>
      <c r="E191" s="0">
        <f>VLOOKUP(D191,'Tier Params'!$A:$B,2,FALSE)</f>
        <v/>
      </c>
      <c r="F191" s="0">
        <f>VLOOKUP(D191,'Tier Params'!$A:$C,3,FALSE)</f>
        <v/>
      </c>
      <c r="G191" s="0">
        <f>CEILING(C191/F191,1)</f>
        <v/>
      </c>
      <c r="H191" s="0">
        <f>G191*E191</f>
        <v/>
      </c>
    </row>
    <row r="192">
      <c r="A192" s="0" t="inlineStr">
        <is>
          <t>Structure Storage Bay</t>
        </is>
      </c>
      <c r="B192" s="0" t="inlineStr">
        <is>
          <t>Oxidizing Compound</t>
        </is>
      </c>
      <c r="C192" s="0">
        <f>SUMIFS('BOM Cycle Calc'!$D:$D,'BOM Cycle Calc'!$B:$B,A192,'BOM Cycle Calc'!$C:$C,B192)</f>
        <v/>
      </c>
      <c r="D192" s="0">
        <f>VLOOKUP(B192,'Item Tier Lookup'!$A:$B,2,FALSE)</f>
        <v/>
      </c>
      <c r="E192" s="0">
        <f>VLOOKUP(D192,'Tier Params'!$A:$B,2,FALSE)</f>
        <v/>
      </c>
      <c r="F192" s="0">
        <f>VLOOKUP(D192,'Tier Params'!$A:$C,3,FALSE)</f>
        <v/>
      </c>
      <c r="G192" s="0">
        <f>CEILING(C192/F192,1)</f>
        <v/>
      </c>
      <c r="H192" s="0">
        <f>G192*E192</f>
        <v/>
      </c>
    </row>
    <row r="193">
      <c r="A193" s="0" t="inlineStr">
        <is>
          <t>Structure Storage Bay</t>
        </is>
      </c>
      <c r="B193" s="0" t="inlineStr">
        <is>
          <t>Reactive Gas</t>
        </is>
      </c>
      <c r="C193" s="0">
        <f>SUMIFS('BOM Cycle Calc'!$D:$D,'BOM Cycle Calc'!$B:$B,A193,'BOM Cycle Calc'!$C:$C,B193)</f>
        <v/>
      </c>
      <c r="D193" s="0">
        <f>VLOOKUP(B193,'Item Tier Lookup'!$A:$B,2,FALSE)</f>
        <v/>
      </c>
      <c r="E193" s="0">
        <f>VLOOKUP(D193,'Tier Params'!$A:$B,2,FALSE)</f>
        <v/>
      </c>
      <c r="F193" s="0">
        <f>VLOOKUP(D193,'Tier Params'!$A:$C,3,FALSE)</f>
        <v/>
      </c>
      <c r="G193" s="0">
        <f>CEILING(C193/F193,1)</f>
        <v/>
      </c>
      <c r="H193" s="0">
        <f>G193*E193</f>
        <v/>
      </c>
    </row>
    <row r="194">
      <c r="A194" s="0" t="inlineStr">
        <is>
          <t>Structure Storage Bay</t>
        </is>
      </c>
      <c r="B194" s="0" t="inlineStr">
        <is>
          <t>High-Tech Transmitters</t>
        </is>
      </c>
      <c r="C194" s="0">
        <f>SUMIFS('BOM Cycle Calc'!$D:$D,'BOM Cycle Calc'!$B:$B,A194,'BOM Cycle Calc'!$C:$C,B194)</f>
        <v/>
      </c>
      <c r="D194" s="0">
        <f>VLOOKUP(B194,'Item Tier Lookup'!$A:$B,2,FALSE)</f>
        <v/>
      </c>
      <c r="E194" s="0">
        <f>VLOOKUP(D194,'Tier Params'!$A:$B,2,FALSE)</f>
        <v/>
      </c>
      <c r="F194" s="0">
        <f>VLOOKUP(D194,'Tier Params'!$A:$C,3,FALSE)</f>
        <v/>
      </c>
      <c r="G194" s="0">
        <f>CEILING(C194/F194,1)</f>
        <v/>
      </c>
      <c r="H194" s="0">
        <f>G194*E194</f>
        <v/>
      </c>
    </row>
    <row r="195">
      <c r="A195" s="0" t="inlineStr">
        <is>
          <t>Structure Storage Bay</t>
        </is>
      </c>
      <c r="B195" s="0" t="inlineStr">
        <is>
          <t>Transmitter</t>
        </is>
      </c>
      <c r="C195" s="0">
        <f>SUMIFS('BOM Cycle Calc'!$D:$D,'BOM Cycle Calc'!$B:$B,A195,'BOM Cycle Calc'!$C:$C,B195)</f>
        <v/>
      </c>
      <c r="D195" s="0">
        <f>VLOOKUP(B195,'Item Tier Lookup'!$A:$B,2,FALSE)</f>
        <v/>
      </c>
      <c r="E195" s="0">
        <f>VLOOKUP(D195,'Tier Params'!$A:$B,2,FALSE)</f>
        <v/>
      </c>
      <c r="F195" s="0">
        <f>VLOOKUP(D195,'Tier Params'!$A:$C,3,FALSE)</f>
        <v/>
      </c>
      <c r="G195" s="0">
        <f>CEILING(C195/F195,1)</f>
        <v/>
      </c>
      <c r="H195" s="0">
        <f>G195*E195</f>
        <v/>
      </c>
    </row>
    <row r="196">
      <c r="A196" s="0" t="inlineStr">
        <is>
          <t>Structure Storage Bay</t>
        </is>
      </c>
      <c r="B196" s="0" t="inlineStr">
        <is>
          <t>Chiral Structures</t>
        </is>
      </c>
      <c r="C196" s="0">
        <f>SUMIFS('BOM Cycle Calc'!$D:$D,'BOM Cycle Calc'!$B:$B,A196,'BOM Cycle Calc'!$C:$C,B196)</f>
        <v/>
      </c>
      <c r="D196" s="0">
        <f>VLOOKUP(B196,'Item Tier Lookup'!$A:$B,2,FALSE)</f>
        <v/>
      </c>
      <c r="E196" s="0">
        <f>VLOOKUP(D196,'Tier Params'!$A:$B,2,FALSE)</f>
        <v/>
      </c>
      <c r="F196" s="0">
        <f>VLOOKUP(D196,'Tier Params'!$A:$C,3,FALSE)</f>
        <v/>
      </c>
      <c r="G196" s="0">
        <f>CEILING(C196/F196,1)</f>
        <v/>
      </c>
      <c r="H196" s="0">
        <f>G196*E196</f>
        <v/>
      </c>
    </row>
    <row r="197">
      <c r="A197" s="0" t="inlineStr">
        <is>
          <t>Structure Storage Bay</t>
        </is>
      </c>
      <c r="B197" s="0" t="inlineStr">
        <is>
          <t>Non-CS Crystals</t>
        </is>
      </c>
      <c r="C197" s="0">
        <f>SUMIFS('BOM Cycle Calc'!$D:$D,'BOM Cycle Calc'!$B:$B,A197,'BOM Cycle Calc'!$C:$C,B197)</f>
        <v/>
      </c>
      <c r="D197" s="0">
        <f>VLOOKUP(B197,'Item Tier Lookup'!$A:$B,2,FALSE)</f>
        <v/>
      </c>
      <c r="E197" s="0">
        <f>VLOOKUP(D197,'Tier Params'!$A:$B,2,FALSE)</f>
        <v/>
      </c>
      <c r="F197" s="0">
        <f>VLOOKUP(D197,'Tier Params'!$A:$C,3,FALSE)</f>
        <v/>
      </c>
      <c r="G197" s="0">
        <f>CEILING(C197/F197,1)</f>
        <v/>
      </c>
      <c r="H197" s="0">
        <f>G197*E197</f>
        <v/>
      </c>
    </row>
    <row r="198">
      <c r="A198" s="0" t="inlineStr">
        <is>
          <t>Structure Storage Bay</t>
        </is>
      </c>
      <c r="B198" s="0" t="inlineStr">
        <is>
          <t>Plasmoids</t>
        </is>
      </c>
      <c r="C198" s="0">
        <f>SUMIFS('BOM Cycle Calc'!$D:$D,'BOM Cycle Calc'!$B:$B,A198,'BOM Cycle Calc'!$C:$C,B198)</f>
        <v/>
      </c>
      <c r="D198" s="0">
        <f>VLOOKUP(B198,'Item Tier Lookup'!$A:$B,2,FALSE)</f>
        <v/>
      </c>
      <c r="E198" s="0">
        <f>VLOOKUP(D198,'Tier Params'!$A:$B,2,FALSE)</f>
        <v/>
      </c>
      <c r="F198" s="0">
        <f>VLOOKUP(D198,'Tier Params'!$A:$C,3,FALSE)</f>
        <v/>
      </c>
      <c r="G198" s="0">
        <f>CEILING(C198/F198,1)</f>
        <v/>
      </c>
      <c r="H198" s="0">
        <f>G198*E198</f>
        <v/>
      </c>
    </row>
    <row r="199">
      <c r="A199" s="0" t="inlineStr">
        <is>
          <t>Structure Storage Bay</t>
        </is>
      </c>
      <c r="B199" s="0" t="inlineStr">
        <is>
          <t>Suspended Plasma</t>
        </is>
      </c>
      <c r="C199" s="0">
        <f>SUMIFS('BOM Cycle Calc'!$D:$D,'BOM Cycle Calc'!$B:$B,A199,'BOM Cycle Calc'!$C:$C,B199)</f>
        <v/>
      </c>
      <c r="D199" s="0">
        <f>VLOOKUP(B199,'Item Tier Lookup'!$A:$B,2,FALSE)</f>
        <v/>
      </c>
      <c r="E199" s="0">
        <f>VLOOKUP(D199,'Tier Params'!$A:$B,2,FALSE)</f>
        <v/>
      </c>
      <c r="F199" s="0">
        <f>VLOOKUP(D199,'Tier Params'!$A:$C,3,FALSE)</f>
        <v/>
      </c>
      <c r="G199" s="0">
        <f>CEILING(C199/F199,1)</f>
        <v/>
      </c>
      <c r="H199" s="0">
        <f>G199*E199</f>
        <v/>
      </c>
    </row>
    <row r="200">
      <c r="A200" s="0" t="inlineStr">
        <is>
          <t>Structure Storage Bay</t>
        </is>
      </c>
      <c r="B200" s="0" t="inlineStr">
        <is>
          <t>Polyaramids</t>
        </is>
      </c>
      <c r="C200" s="0">
        <f>SUMIFS('BOM Cycle Calc'!$D:$D,'BOM Cycle Calc'!$B:$B,A200,'BOM Cycle Calc'!$C:$C,B200)</f>
        <v/>
      </c>
      <c r="D200" s="0">
        <f>VLOOKUP(B200,'Item Tier Lookup'!$A:$B,2,FALSE)</f>
        <v/>
      </c>
      <c r="E200" s="0">
        <f>VLOOKUP(D200,'Tier Params'!$A:$B,2,FALSE)</f>
        <v/>
      </c>
      <c r="F200" s="0">
        <f>VLOOKUP(D200,'Tier Params'!$A:$C,3,FALSE)</f>
        <v/>
      </c>
      <c r="G200" s="0">
        <f>CEILING(C200/F200,1)</f>
        <v/>
      </c>
      <c r="H200" s="0">
        <f>G200*E200</f>
        <v/>
      </c>
    </row>
    <row r="201">
      <c r="A201" s="0" t="inlineStr">
        <is>
          <t>Structure Storage Bay</t>
        </is>
      </c>
      <c r="B201" s="0" t="inlineStr">
        <is>
          <t>Integrity Response Drones</t>
        </is>
      </c>
      <c r="C201" s="0">
        <f>SUMIFS('BOM Cycle Calc'!$D:$D,'BOM Cycle Calc'!$B:$B,A201,'BOM Cycle Calc'!$C:$C,B201)</f>
        <v/>
      </c>
      <c r="D201" s="0">
        <f>VLOOKUP(B201,'Item Tier Lookup'!$A:$B,2,FALSE)</f>
        <v/>
      </c>
      <c r="E201" s="0">
        <f>VLOOKUP(D201,'Tier Params'!$A:$B,2,FALSE)</f>
        <v/>
      </c>
      <c r="F201" s="0">
        <f>VLOOKUP(D201,'Tier Params'!$A:$C,3,FALSE)</f>
        <v/>
      </c>
      <c r="G201" s="0">
        <f>CEILING(C201/F201,1)</f>
        <v/>
      </c>
      <c r="H201" s="0">
        <f>G201*E201</f>
        <v/>
      </c>
    </row>
    <row r="202">
      <c r="A202" s="0" t="inlineStr">
        <is>
          <t>Structure Storage Bay</t>
        </is>
      </c>
      <c r="B202" s="0" t="inlineStr">
        <is>
          <t>Gel-Matrix Biopaste</t>
        </is>
      </c>
      <c r="C202" s="0">
        <f>SUMIFS('BOM Cycle Calc'!$D:$D,'BOM Cycle Calc'!$B:$B,A202,'BOM Cycle Calc'!$C:$C,B202)</f>
        <v/>
      </c>
      <c r="D202" s="0">
        <f>VLOOKUP(B202,'Item Tier Lookup'!$A:$B,2,FALSE)</f>
        <v/>
      </c>
      <c r="E202" s="0">
        <f>VLOOKUP(D202,'Tier Params'!$A:$B,2,FALSE)</f>
        <v/>
      </c>
      <c r="F202" s="0">
        <f>VLOOKUP(D202,'Tier Params'!$A:$C,3,FALSE)</f>
        <v/>
      </c>
      <c r="G202" s="0">
        <f>CEILING(C202/F202,1)</f>
        <v/>
      </c>
      <c r="H202" s="0">
        <f>G202*E202</f>
        <v/>
      </c>
    </row>
    <row r="203">
      <c r="A203" s="0" t="inlineStr">
        <is>
          <t>Structure Storage Bay</t>
        </is>
      </c>
      <c r="B203" s="0" t="inlineStr">
        <is>
          <t>Oxides</t>
        </is>
      </c>
      <c r="C203" s="0">
        <f>SUMIFS('BOM Cycle Calc'!$D:$D,'BOM Cycle Calc'!$B:$B,A203,'BOM Cycle Calc'!$C:$C,B203)</f>
        <v/>
      </c>
      <c r="D203" s="0">
        <f>VLOOKUP(B203,'Item Tier Lookup'!$A:$B,2,FALSE)</f>
        <v/>
      </c>
      <c r="E203" s="0">
        <f>VLOOKUP(D203,'Tier Params'!$A:$B,2,FALSE)</f>
        <v/>
      </c>
      <c r="F203" s="0">
        <f>VLOOKUP(D203,'Tier Params'!$A:$C,3,FALSE)</f>
        <v/>
      </c>
      <c r="G203" s="0">
        <f>CEILING(C203/F203,1)</f>
        <v/>
      </c>
      <c r="H203" s="0">
        <f>G203*E203</f>
        <v/>
      </c>
    </row>
    <row r="204">
      <c r="A204" s="0" t="inlineStr">
        <is>
          <t>Structure Storage Bay</t>
        </is>
      </c>
      <c r="B204" s="0" t="inlineStr">
        <is>
          <t>Superconductors</t>
        </is>
      </c>
      <c r="C204" s="0">
        <f>SUMIFS('BOM Cycle Calc'!$D:$D,'BOM Cycle Calc'!$B:$B,A204,'BOM Cycle Calc'!$C:$C,B204)</f>
        <v/>
      </c>
      <c r="D204" s="0">
        <f>VLOOKUP(B204,'Item Tier Lookup'!$A:$B,2,FALSE)</f>
        <v/>
      </c>
      <c r="E204" s="0">
        <f>VLOOKUP(D204,'Tier Params'!$A:$B,2,FALSE)</f>
        <v/>
      </c>
      <c r="F204" s="0">
        <f>VLOOKUP(D204,'Tier Params'!$A:$C,3,FALSE)</f>
        <v/>
      </c>
      <c r="G204" s="0">
        <f>CEILING(C204/F204,1)</f>
        <v/>
      </c>
      <c r="H204" s="0">
        <f>G204*E204</f>
        <v/>
      </c>
    </row>
    <row r="205">
      <c r="A205" s="0" t="inlineStr">
        <is>
          <t>Structure Storage Bay</t>
        </is>
      </c>
      <c r="B205" s="0" t="inlineStr">
        <is>
          <t>Water</t>
        </is>
      </c>
      <c r="C205" s="0">
        <f>SUMIFS('BOM Cycle Calc'!$D:$D,'BOM Cycle Calc'!$B:$B,A205,'BOM Cycle Calc'!$C:$C,B205)</f>
        <v/>
      </c>
      <c r="D205" s="0">
        <f>VLOOKUP(B205,'Item Tier Lookup'!$A:$B,2,FALSE)</f>
        <v/>
      </c>
      <c r="E205" s="0">
        <f>VLOOKUP(D205,'Tier Params'!$A:$B,2,FALSE)</f>
        <v/>
      </c>
      <c r="F205" s="0">
        <f>VLOOKUP(D205,'Tier Params'!$A:$C,3,FALSE)</f>
        <v/>
      </c>
      <c r="G205" s="0">
        <f>CEILING(C205/F205,1)</f>
        <v/>
      </c>
      <c r="H205" s="0">
        <f>G205*E205</f>
        <v/>
      </c>
    </row>
    <row r="206">
      <c r="A206" s="0" t="inlineStr">
        <is>
          <t>Structure Storage Bay</t>
        </is>
      </c>
      <c r="B206" s="0" t="inlineStr">
        <is>
          <t>Aqueous Liquids</t>
        </is>
      </c>
      <c r="C206" s="0">
        <f>SUMIFS('BOM Cycle Calc'!$D:$D,'BOM Cycle Calc'!$B:$B,A206,'BOM Cycle Calc'!$C:$C,B206)</f>
        <v/>
      </c>
      <c r="D206" s="0">
        <f>VLOOKUP(B206,'Item Tier Lookup'!$A:$B,2,FALSE)</f>
        <v/>
      </c>
      <c r="E206" s="0">
        <f>VLOOKUP(D206,'Tier Params'!$A:$B,2,FALSE)</f>
        <v/>
      </c>
      <c r="F206" s="0">
        <f>VLOOKUP(D206,'Tier Params'!$A:$C,3,FALSE)</f>
        <v/>
      </c>
      <c r="G206" s="0">
        <f>CEILING(C206/F206,1)</f>
        <v/>
      </c>
      <c r="H206" s="0">
        <f>G206*E206</f>
        <v/>
      </c>
    </row>
    <row r="207">
      <c r="A207" s="0" t="inlineStr">
        <is>
          <t>Structure Storage Bay</t>
        </is>
      </c>
      <c r="B207" s="0" t="inlineStr">
        <is>
          <t>Hazmat Detection Systems</t>
        </is>
      </c>
      <c r="C207" s="0">
        <f>SUMIFS('BOM Cycle Calc'!$D:$D,'BOM Cycle Calc'!$B:$B,A207,'BOM Cycle Calc'!$C:$C,B207)</f>
        <v/>
      </c>
      <c r="D207" s="0">
        <f>VLOOKUP(B207,'Item Tier Lookup'!$A:$B,2,FALSE)</f>
        <v/>
      </c>
      <c r="E207" s="0">
        <f>VLOOKUP(D207,'Tier Params'!$A:$B,2,FALSE)</f>
        <v/>
      </c>
      <c r="F207" s="0">
        <f>VLOOKUP(D207,'Tier Params'!$A:$C,3,FALSE)</f>
        <v/>
      </c>
      <c r="G207" s="0">
        <f>CEILING(C207/F207,1)</f>
        <v/>
      </c>
      <c r="H207" s="0">
        <f>G207*E207</f>
        <v/>
      </c>
    </row>
    <row r="208">
      <c r="A208" s="0" t="inlineStr">
        <is>
          <t>Structure Storage Bay</t>
        </is>
      </c>
      <c r="B208" s="0" t="inlineStr">
        <is>
          <t>Polytextiles</t>
        </is>
      </c>
      <c r="C208" s="0">
        <f>SUMIFS('BOM Cycle Calc'!$D:$D,'BOM Cycle Calc'!$B:$B,A208,'BOM Cycle Calc'!$C:$C,B208)</f>
        <v/>
      </c>
      <c r="D208" s="0">
        <f>VLOOKUP(B208,'Item Tier Lookup'!$A:$B,2,FALSE)</f>
        <v/>
      </c>
      <c r="E208" s="0">
        <f>VLOOKUP(D208,'Tier Params'!$A:$B,2,FALSE)</f>
        <v/>
      </c>
      <c r="F208" s="0">
        <f>VLOOKUP(D208,'Tier Params'!$A:$C,3,FALSE)</f>
        <v/>
      </c>
      <c r="G208" s="0">
        <f>CEILING(C208/F208,1)</f>
        <v/>
      </c>
      <c r="H208" s="0">
        <f>G208*E208</f>
        <v/>
      </c>
    </row>
    <row r="209">
      <c r="A209" s="0" t="inlineStr">
        <is>
          <t>Structure Storage Bay</t>
        </is>
      </c>
      <c r="B209" s="0" t="inlineStr">
        <is>
          <t>Viral Agent</t>
        </is>
      </c>
      <c r="C209" s="0">
        <f>SUMIFS('BOM Cycle Calc'!$D:$D,'BOM Cycle Calc'!$B:$B,A209,'BOM Cycle Calc'!$C:$C,B209)</f>
        <v/>
      </c>
      <c r="D209" s="0">
        <f>VLOOKUP(B209,'Item Tier Lookup'!$A:$B,2,FALSE)</f>
        <v/>
      </c>
      <c r="E209" s="0">
        <f>VLOOKUP(D209,'Tier Params'!$A:$B,2,FALSE)</f>
        <v/>
      </c>
      <c r="F209" s="0">
        <f>VLOOKUP(D209,'Tier Params'!$A:$C,3,FALSE)</f>
        <v/>
      </c>
      <c r="G209" s="0">
        <f>CEILING(C209/F209,1)</f>
        <v/>
      </c>
      <c r="H209" s="0">
        <f>G209*E209</f>
        <v/>
      </c>
    </row>
    <row r="210">
      <c r="A210" s="0" t="inlineStr">
        <is>
          <t>Structure Storage Bay</t>
        </is>
      </c>
      <c r="B210" s="0" t="inlineStr">
        <is>
          <t>Bacteria</t>
        </is>
      </c>
      <c r="C210" s="0">
        <f>SUMIFS('BOM Cycle Calc'!$D:$D,'BOM Cycle Calc'!$B:$B,A210,'BOM Cycle Calc'!$C:$C,B210)</f>
        <v/>
      </c>
      <c r="D210" s="0">
        <f>VLOOKUP(B210,'Item Tier Lookup'!$A:$B,2,FALSE)</f>
        <v/>
      </c>
      <c r="E210" s="0">
        <f>VLOOKUP(D210,'Tier Params'!$A:$B,2,FALSE)</f>
        <v/>
      </c>
      <c r="F210" s="0">
        <f>VLOOKUP(D210,'Tier Params'!$A:$C,3,FALSE)</f>
        <v/>
      </c>
      <c r="G210" s="0">
        <f>CEILING(C210/F210,1)</f>
        <v/>
      </c>
      <c r="H210" s="0">
        <f>G210*E210</f>
        <v/>
      </c>
    </row>
    <row r="211">
      <c r="A211" s="0" t="inlineStr">
        <is>
          <t>Structure Storage Bay</t>
        </is>
      </c>
      <c r="B211" s="0" t="inlineStr">
        <is>
          <t>Microorganisms</t>
        </is>
      </c>
      <c r="C211" s="0">
        <f>SUMIFS('BOM Cycle Calc'!$D:$D,'BOM Cycle Calc'!$B:$B,A211,'BOM Cycle Calc'!$C:$C,B211)</f>
        <v/>
      </c>
      <c r="D211" s="0">
        <f>VLOOKUP(B211,'Item Tier Lookup'!$A:$B,2,FALSE)</f>
        <v/>
      </c>
      <c r="E211" s="0">
        <f>VLOOKUP(D211,'Tier Params'!$A:$B,2,FALSE)</f>
        <v/>
      </c>
      <c r="F211" s="0">
        <f>VLOOKUP(D211,'Tier Params'!$A:$C,3,FALSE)</f>
        <v/>
      </c>
      <c r="G211" s="0">
        <f>CEILING(C211/F211,1)</f>
        <v/>
      </c>
      <c r="H211" s="0">
        <f>G211*E211</f>
        <v/>
      </c>
    </row>
    <row r="212">
      <c r="A212" s="0" t="inlineStr">
        <is>
          <t>Structure Storage Bay</t>
        </is>
      </c>
      <c r="B212" s="0" t="inlineStr">
        <is>
          <t>Planetary Vehicles</t>
        </is>
      </c>
      <c r="C212" s="0">
        <f>SUMIFS('BOM Cycle Calc'!$D:$D,'BOM Cycle Calc'!$B:$B,A212,'BOM Cycle Calc'!$C:$C,B212)</f>
        <v/>
      </c>
      <c r="D212" s="0">
        <f>VLOOKUP(B212,'Item Tier Lookup'!$A:$B,2,FALSE)</f>
        <v/>
      </c>
      <c r="E212" s="0">
        <f>VLOOKUP(D212,'Tier Params'!$A:$B,2,FALSE)</f>
        <v/>
      </c>
      <c r="F212" s="0">
        <f>VLOOKUP(D212,'Tier Params'!$A:$C,3,FALSE)</f>
        <v/>
      </c>
      <c r="G212" s="0">
        <f>CEILING(C212/F212,1)</f>
        <v/>
      </c>
      <c r="H212" s="0">
        <f>G212*E212</f>
        <v/>
      </c>
    </row>
    <row r="213">
      <c r="A213" s="0" t="inlineStr">
        <is>
          <t>Structure Storage Bay</t>
        </is>
      </c>
      <c r="B213" s="0" t="inlineStr">
        <is>
          <t>Mechanical Parts</t>
        </is>
      </c>
      <c r="C213" s="0">
        <f>SUMIFS('BOM Cycle Calc'!$D:$D,'BOM Cycle Calc'!$B:$B,A213,'BOM Cycle Calc'!$C:$C,B213)</f>
        <v/>
      </c>
      <c r="D213" s="0">
        <f>VLOOKUP(B213,'Item Tier Lookup'!$A:$B,2,FALSE)</f>
        <v/>
      </c>
      <c r="E213" s="0">
        <f>VLOOKUP(D213,'Tier Params'!$A:$B,2,FALSE)</f>
        <v/>
      </c>
      <c r="F213" s="0">
        <f>VLOOKUP(D213,'Tier Params'!$A:$C,3,FALSE)</f>
        <v/>
      </c>
      <c r="G213" s="0">
        <f>CEILING(C213/F213,1)</f>
        <v/>
      </c>
      <c r="H213" s="0">
        <f>G213*E213</f>
        <v/>
      </c>
    </row>
    <row r="214">
      <c r="A214" s="0" t="inlineStr">
        <is>
          <t>Structure Storage Bay</t>
        </is>
      </c>
      <c r="B214" s="0" t="inlineStr">
        <is>
          <t>Reactive Metals</t>
        </is>
      </c>
      <c r="C214" s="0">
        <f>SUMIFS('BOM Cycle Calc'!$D:$D,'BOM Cycle Calc'!$B:$B,A214,'BOM Cycle Calc'!$C:$C,B214)</f>
        <v/>
      </c>
      <c r="D214" s="0">
        <f>VLOOKUP(B214,'Item Tier Lookup'!$A:$B,2,FALSE)</f>
        <v/>
      </c>
      <c r="E214" s="0">
        <f>VLOOKUP(D214,'Tier Params'!$A:$B,2,FALSE)</f>
        <v/>
      </c>
      <c r="F214" s="0">
        <f>VLOOKUP(D214,'Tier Params'!$A:$C,3,FALSE)</f>
        <v/>
      </c>
      <c r="G214" s="0">
        <f>CEILING(C214/F214,1)</f>
        <v/>
      </c>
      <c r="H214" s="0">
        <f>G214*E214</f>
        <v/>
      </c>
    </row>
    <row r="215">
      <c r="A215" s="0" t="inlineStr">
        <is>
          <t>Structure Storage Bay</t>
        </is>
      </c>
      <c r="B215" s="0" t="inlineStr">
        <is>
          <t>Base Metals</t>
        </is>
      </c>
      <c r="C215" s="0">
        <f>SUMIFS('BOM Cycle Calc'!$D:$D,'BOM Cycle Calc'!$B:$B,A215,'BOM Cycle Calc'!$C:$C,B215)</f>
        <v/>
      </c>
      <c r="D215" s="0">
        <f>VLOOKUP(B215,'Item Tier Lookup'!$A:$B,2,FALSE)</f>
        <v/>
      </c>
      <c r="E215" s="0">
        <f>VLOOKUP(D215,'Tier Params'!$A:$B,2,FALSE)</f>
        <v/>
      </c>
      <c r="F215" s="0">
        <f>VLOOKUP(D215,'Tier Params'!$A:$C,3,FALSE)</f>
        <v/>
      </c>
      <c r="G215" s="0">
        <f>CEILING(C215/F215,1)</f>
        <v/>
      </c>
      <c r="H215" s="0">
        <f>G215*E215</f>
        <v/>
      </c>
    </row>
    <row r="216">
      <c r="A216" s="0" t="inlineStr">
        <is>
          <t>Structure Storage Bay</t>
        </is>
      </c>
      <c r="B216" s="0" t="inlineStr">
        <is>
          <t>Miniature Electronics</t>
        </is>
      </c>
      <c r="C216" s="0">
        <f>SUMIFS('BOM Cycle Calc'!$D:$D,'BOM Cycle Calc'!$B:$B,A216,'BOM Cycle Calc'!$C:$C,B216)</f>
        <v/>
      </c>
      <c r="D216" s="0">
        <f>VLOOKUP(B216,'Item Tier Lookup'!$A:$B,2,FALSE)</f>
        <v/>
      </c>
      <c r="E216" s="0">
        <f>VLOOKUP(D216,'Tier Params'!$A:$B,2,FALSE)</f>
        <v/>
      </c>
      <c r="F216" s="0">
        <f>VLOOKUP(D216,'Tier Params'!$A:$C,3,FALSE)</f>
        <v/>
      </c>
      <c r="G216" s="0">
        <f>CEILING(C216/F216,1)</f>
        <v/>
      </c>
      <c r="H216" s="0">
        <f>G216*E216</f>
        <v/>
      </c>
    </row>
    <row r="217">
      <c r="A217" s="0" t="inlineStr">
        <is>
          <t>Structure Storage Bay</t>
        </is>
      </c>
      <c r="B217" s="0" t="inlineStr">
        <is>
          <t>Nano-Factory</t>
        </is>
      </c>
      <c r="C217" s="0">
        <f>SUMIFS('BOM Cycle Calc'!$D:$D,'BOM Cycle Calc'!$B:$B,A217,'BOM Cycle Calc'!$C:$C,B217)</f>
        <v/>
      </c>
      <c r="D217" s="0">
        <f>VLOOKUP(B217,'Item Tier Lookup'!$A:$B,2,FALSE)</f>
        <v/>
      </c>
      <c r="E217" s="0">
        <f>VLOOKUP(D217,'Tier Params'!$A:$B,2,FALSE)</f>
        <v/>
      </c>
      <c r="F217" s="0">
        <f>VLOOKUP(D217,'Tier Params'!$A:$C,3,FALSE)</f>
        <v/>
      </c>
      <c r="G217" s="0">
        <f>CEILING(C217/F217,1)</f>
        <v/>
      </c>
      <c r="H217" s="0">
        <f>G217*E217</f>
        <v/>
      </c>
    </row>
    <row r="218">
      <c r="A218" s="0" t="inlineStr">
        <is>
          <t>Structure Storage Bay</t>
        </is>
      </c>
      <c r="B218" s="0" t="inlineStr">
        <is>
          <t>Industrial Explosives</t>
        </is>
      </c>
      <c r="C218" s="0">
        <f>SUMIFS('BOM Cycle Calc'!$D:$D,'BOM Cycle Calc'!$B:$B,A218,'BOM Cycle Calc'!$C:$C,B218)</f>
        <v/>
      </c>
      <c r="D218" s="0">
        <f>VLOOKUP(B218,'Item Tier Lookup'!$A:$B,2,FALSE)</f>
        <v/>
      </c>
      <c r="E218" s="0">
        <f>VLOOKUP(D218,'Tier Params'!$A:$B,2,FALSE)</f>
        <v/>
      </c>
      <c r="F218" s="0">
        <f>VLOOKUP(D218,'Tier Params'!$A:$C,3,FALSE)</f>
        <v/>
      </c>
      <c r="G218" s="0">
        <f>CEILING(C218/F218,1)</f>
        <v/>
      </c>
      <c r="H218" s="0">
        <f>G218*E218</f>
        <v/>
      </c>
    </row>
    <row r="219">
      <c r="A219" s="0" t="inlineStr">
        <is>
          <t>Structure Storage Bay</t>
        </is>
      </c>
      <c r="B219" s="0" t="inlineStr">
        <is>
          <t>Fertilizer</t>
        </is>
      </c>
      <c r="C219" s="0">
        <f>SUMIFS('BOM Cycle Calc'!$D:$D,'BOM Cycle Calc'!$B:$B,A219,'BOM Cycle Calc'!$C:$C,B219)</f>
        <v/>
      </c>
      <c r="D219" s="0">
        <f>VLOOKUP(B219,'Item Tier Lookup'!$A:$B,2,FALSE)</f>
        <v/>
      </c>
      <c r="E219" s="0">
        <f>VLOOKUP(D219,'Tier Params'!$A:$B,2,FALSE)</f>
        <v/>
      </c>
      <c r="F219" s="0">
        <f>VLOOKUP(D219,'Tier Params'!$A:$C,3,FALSE)</f>
        <v/>
      </c>
      <c r="G219" s="0">
        <f>CEILING(C219/F219,1)</f>
        <v/>
      </c>
      <c r="H219" s="0">
        <f>G219*E219</f>
        <v/>
      </c>
    </row>
    <row r="220">
      <c r="A220" s="0" t="inlineStr">
        <is>
          <t>Structure Storage Bay</t>
        </is>
      </c>
      <c r="B220" s="0" t="inlineStr">
        <is>
          <t>Proteins</t>
        </is>
      </c>
      <c r="C220" s="0">
        <f>SUMIFS('BOM Cycle Calc'!$D:$D,'BOM Cycle Calc'!$B:$B,A220,'BOM Cycle Calc'!$C:$C,B220)</f>
        <v/>
      </c>
      <c r="D220" s="0">
        <f>VLOOKUP(B220,'Item Tier Lookup'!$A:$B,2,FALSE)</f>
        <v/>
      </c>
      <c r="E220" s="0">
        <f>VLOOKUP(D220,'Tier Params'!$A:$B,2,FALSE)</f>
        <v/>
      </c>
      <c r="F220" s="0">
        <f>VLOOKUP(D220,'Tier Params'!$A:$C,3,FALSE)</f>
        <v/>
      </c>
      <c r="G220" s="0">
        <f>CEILING(C220/F220,1)</f>
        <v/>
      </c>
      <c r="H220" s="0">
        <f>G220*E220</f>
        <v/>
      </c>
    </row>
    <row r="221">
      <c r="A221" s="0" t="inlineStr">
        <is>
          <t>Structure Storage Bay</t>
        </is>
      </c>
      <c r="B221" s="0" t="inlineStr">
        <is>
          <t>Complex Organisms</t>
        </is>
      </c>
      <c r="C221" s="0">
        <f>SUMIFS('BOM Cycle Calc'!$D:$D,'BOM Cycle Calc'!$B:$B,A221,'BOM Cycle Calc'!$C:$C,B221)</f>
        <v/>
      </c>
      <c r="D221" s="0">
        <f>VLOOKUP(B221,'Item Tier Lookup'!$A:$B,2,FALSE)</f>
        <v/>
      </c>
      <c r="E221" s="0">
        <f>VLOOKUP(D221,'Tier Params'!$A:$B,2,FALSE)</f>
        <v/>
      </c>
      <c r="F221" s="0">
        <f>VLOOKUP(D221,'Tier Params'!$A:$C,3,FALSE)</f>
        <v/>
      </c>
      <c r="G221" s="0">
        <f>CEILING(C221/F221,1)</f>
        <v/>
      </c>
      <c r="H221" s="0">
        <f>G221*E221</f>
        <v/>
      </c>
    </row>
    <row r="222">
      <c r="A222" s="0" t="inlineStr">
        <is>
          <t>Structure Storage Bay</t>
        </is>
      </c>
      <c r="B222" s="0" t="inlineStr">
        <is>
          <t>Ukomi Superconductors</t>
        </is>
      </c>
      <c r="C222" s="0">
        <f>SUMIFS('BOM Cycle Calc'!$D:$D,'BOM Cycle Calc'!$B:$B,A222,'BOM Cycle Calc'!$C:$C,B222)</f>
        <v/>
      </c>
      <c r="D222" s="0">
        <f>VLOOKUP(B222,'Item Tier Lookup'!$A:$B,2,FALSE)</f>
        <v/>
      </c>
      <c r="E222" s="0">
        <f>VLOOKUP(D222,'Tier Params'!$A:$B,2,FALSE)</f>
        <v/>
      </c>
      <c r="F222" s="0">
        <f>VLOOKUP(D222,'Tier Params'!$A:$C,3,FALSE)</f>
        <v/>
      </c>
      <c r="G222" s="0">
        <f>CEILING(C222/F222,1)</f>
        <v/>
      </c>
      <c r="H222" s="0">
        <f>G222*E222</f>
        <v/>
      </c>
    </row>
    <row r="223">
      <c r="A223" s="0" t="inlineStr">
        <is>
          <t>Structure Storage Bay</t>
        </is>
      </c>
      <c r="B223" s="0" t="inlineStr">
        <is>
          <t>Synthetic Oil</t>
        </is>
      </c>
      <c r="C223" s="0">
        <f>SUMIFS('BOM Cycle Calc'!$D:$D,'BOM Cycle Calc'!$B:$B,A223,'BOM Cycle Calc'!$C:$C,B223)</f>
        <v/>
      </c>
      <c r="D223" s="0">
        <f>VLOOKUP(B223,'Item Tier Lookup'!$A:$B,2,FALSE)</f>
        <v/>
      </c>
      <c r="E223" s="0">
        <f>VLOOKUP(D223,'Tier Params'!$A:$B,2,FALSE)</f>
        <v/>
      </c>
      <c r="F223" s="0">
        <f>VLOOKUP(D223,'Tier Params'!$A:$C,3,FALSE)</f>
        <v/>
      </c>
      <c r="G223" s="0">
        <f>CEILING(C223/F223,1)</f>
        <v/>
      </c>
      <c r="H223" s="0">
        <f>G223*E223</f>
        <v/>
      </c>
    </row>
    <row r="224">
      <c r="A224" s="0" t="inlineStr">
        <is>
          <t>Structure Storage Bay</t>
        </is>
      </c>
      <c r="B224" s="0" t="inlineStr">
        <is>
          <t>Electrolytes</t>
        </is>
      </c>
      <c r="C224" s="0">
        <f>SUMIFS('BOM Cycle Calc'!$D:$D,'BOM Cycle Calc'!$B:$B,A224,'BOM Cycle Calc'!$C:$C,B224)</f>
        <v/>
      </c>
      <c r="D224" s="0">
        <f>VLOOKUP(B224,'Item Tier Lookup'!$A:$B,2,FALSE)</f>
        <v/>
      </c>
      <c r="E224" s="0">
        <f>VLOOKUP(D224,'Tier Params'!$A:$B,2,FALSE)</f>
        <v/>
      </c>
      <c r="F224" s="0">
        <f>VLOOKUP(D224,'Tier Params'!$A:$C,3,FALSE)</f>
        <v/>
      </c>
      <c r="G224" s="0">
        <f>CEILING(C224/F224,1)</f>
        <v/>
      </c>
      <c r="H224" s="0">
        <f>G224*E224</f>
        <v/>
      </c>
    </row>
    <row r="225">
      <c r="A225" s="0" t="inlineStr">
        <is>
          <t>Structure Storage Bay</t>
        </is>
      </c>
      <c r="B225" s="0" t="inlineStr">
        <is>
          <t>Ionic Solutions</t>
        </is>
      </c>
      <c r="C225" s="0">
        <f>SUMIFS('BOM Cycle Calc'!$D:$D,'BOM Cycle Calc'!$B:$B,A225,'BOM Cycle Calc'!$C:$C,B225)</f>
        <v/>
      </c>
      <c r="D225" s="0">
        <f>VLOOKUP(B225,'Item Tier Lookup'!$A:$B,2,FALSE)</f>
        <v/>
      </c>
      <c r="E225" s="0">
        <f>VLOOKUP(D225,'Tier Params'!$A:$B,2,FALSE)</f>
        <v/>
      </c>
      <c r="F225" s="0">
        <f>VLOOKUP(D225,'Tier Params'!$A:$C,3,FALSE)</f>
        <v/>
      </c>
      <c r="G225" s="0">
        <f>CEILING(C225/F225,1)</f>
        <v/>
      </c>
      <c r="H225" s="0">
        <f>G225*E225</f>
        <v/>
      </c>
    </row>
    <row r="226">
      <c r="A226" s="0" t="inlineStr">
        <is>
          <t>Structure Storage Bay</t>
        </is>
      </c>
      <c r="B226" s="0" t="inlineStr">
        <is>
          <t>Organic Mortar Applicators</t>
        </is>
      </c>
      <c r="C226" s="0">
        <f>SUMIFS('BOM Cycle Calc'!$D:$D,'BOM Cycle Calc'!$B:$B,A226,'BOM Cycle Calc'!$C:$C,B226)</f>
        <v/>
      </c>
      <c r="D226" s="0">
        <f>VLOOKUP(B226,'Item Tier Lookup'!$A:$B,2,FALSE)</f>
        <v/>
      </c>
      <c r="E226" s="0">
        <f>VLOOKUP(D226,'Tier Params'!$A:$B,2,FALSE)</f>
        <v/>
      </c>
      <c r="F226" s="0">
        <f>VLOOKUP(D226,'Tier Params'!$A:$C,3,FALSE)</f>
        <v/>
      </c>
      <c r="G226" s="0">
        <f>CEILING(C226/F226,1)</f>
        <v/>
      </c>
      <c r="H226" s="0">
        <f>G226*E226</f>
        <v/>
      </c>
    </row>
    <row r="227">
      <c r="A227" s="0" t="inlineStr">
        <is>
          <t>Structure Storage Bay</t>
        </is>
      </c>
      <c r="B227" s="0" t="inlineStr">
        <is>
          <t>Condensates</t>
        </is>
      </c>
      <c r="C227" s="0">
        <f>SUMIFS('BOM Cycle Calc'!$D:$D,'BOM Cycle Calc'!$B:$B,A227,'BOM Cycle Calc'!$C:$C,B227)</f>
        <v/>
      </c>
      <c r="D227" s="0">
        <f>VLOOKUP(B227,'Item Tier Lookup'!$A:$B,2,FALSE)</f>
        <v/>
      </c>
      <c r="E227" s="0">
        <f>VLOOKUP(D227,'Tier Params'!$A:$B,2,FALSE)</f>
        <v/>
      </c>
      <c r="F227" s="0">
        <f>VLOOKUP(D227,'Tier Params'!$A:$C,3,FALSE)</f>
        <v/>
      </c>
      <c r="G227" s="0">
        <f>CEILING(C227/F227,1)</f>
        <v/>
      </c>
      <c r="H227" s="0">
        <f>G227*E227</f>
        <v/>
      </c>
    </row>
    <row r="228">
      <c r="A228" s="0" t="inlineStr">
        <is>
          <t>Structure Storage Bay</t>
        </is>
      </c>
      <c r="B228" s="0" t="inlineStr">
        <is>
          <t>Coolant</t>
        </is>
      </c>
      <c r="C228" s="0">
        <f>SUMIFS('BOM Cycle Calc'!$D:$D,'BOM Cycle Calc'!$B:$B,A228,'BOM Cycle Calc'!$C:$C,B228)</f>
        <v/>
      </c>
      <c r="D228" s="0">
        <f>VLOOKUP(B228,'Item Tier Lookup'!$A:$B,2,FALSE)</f>
        <v/>
      </c>
      <c r="E228" s="0">
        <f>VLOOKUP(D228,'Tier Params'!$A:$B,2,FALSE)</f>
        <v/>
      </c>
      <c r="F228" s="0">
        <f>VLOOKUP(D228,'Tier Params'!$A:$C,3,FALSE)</f>
        <v/>
      </c>
      <c r="G228" s="0">
        <f>CEILING(C228/F228,1)</f>
        <v/>
      </c>
      <c r="H228" s="0">
        <f>G228*E228</f>
        <v/>
      </c>
    </row>
    <row r="229">
      <c r="A229" s="0" t="inlineStr">
        <is>
          <t>Structure Storage Bay</t>
        </is>
      </c>
      <c r="B229" s="0" t="inlineStr">
        <is>
          <t>Robotics</t>
        </is>
      </c>
      <c r="C229" s="0">
        <f>SUMIFS('BOM Cycle Calc'!$D:$D,'BOM Cycle Calc'!$B:$B,A229,'BOM Cycle Calc'!$C:$C,B229)</f>
        <v/>
      </c>
      <c r="D229" s="0">
        <f>VLOOKUP(B229,'Item Tier Lookup'!$A:$B,2,FALSE)</f>
        <v/>
      </c>
      <c r="E229" s="0">
        <f>VLOOKUP(D229,'Tier Params'!$A:$B,2,FALSE)</f>
        <v/>
      </c>
      <c r="F229" s="0">
        <f>VLOOKUP(D229,'Tier Params'!$A:$C,3,FALSE)</f>
        <v/>
      </c>
      <c r="G229" s="0">
        <f>CEILING(C229/F229,1)</f>
        <v/>
      </c>
      <c r="H229" s="0">
        <f>G229*E229</f>
        <v/>
      </c>
    </row>
    <row r="230">
      <c r="A230" s="0" t="inlineStr">
        <is>
          <t>Structure Storage Bay</t>
        </is>
      </c>
      <c r="B230" s="0" t="inlineStr">
        <is>
          <t>Consumer Electronics</t>
        </is>
      </c>
      <c r="C230" s="0">
        <f>SUMIFS('BOM Cycle Calc'!$D:$D,'BOM Cycle Calc'!$B:$B,A230,'BOM Cycle Calc'!$C:$C,B230)</f>
        <v/>
      </c>
      <c r="D230" s="0">
        <f>VLOOKUP(B230,'Item Tier Lookup'!$A:$B,2,FALSE)</f>
        <v/>
      </c>
      <c r="E230" s="0">
        <f>VLOOKUP(D230,'Tier Params'!$A:$B,2,FALSE)</f>
        <v/>
      </c>
      <c r="F230" s="0">
        <f>VLOOKUP(D230,'Tier Params'!$A:$C,3,FALSE)</f>
        <v/>
      </c>
      <c r="G230" s="0">
        <f>CEILING(C230/F230,1)</f>
        <v/>
      </c>
      <c r="H230" s="0">
        <f>G230*E230</f>
        <v/>
      </c>
    </row>
    <row r="231">
      <c r="A231" s="0" t="inlineStr">
        <is>
          <t>Structure Storage Bay</t>
        </is>
      </c>
      <c r="B231" s="0" t="inlineStr">
        <is>
          <t>Toxic Metals</t>
        </is>
      </c>
      <c r="C231" s="0">
        <f>SUMIFS('BOM Cycle Calc'!$D:$D,'BOM Cycle Calc'!$B:$B,A231,'BOM Cycle Calc'!$C:$C,B231)</f>
        <v/>
      </c>
      <c r="D231" s="0">
        <f>VLOOKUP(B231,'Item Tier Lookup'!$A:$B,2,FALSE)</f>
        <v/>
      </c>
      <c r="E231" s="0">
        <f>VLOOKUP(D231,'Tier Params'!$A:$B,2,FALSE)</f>
        <v/>
      </c>
      <c r="F231" s="0">
        <f>VLOOKUP(D231,'Tier Params'!$A:$C,3,FALSE)</f>
        <v/>
      </c>
      <c r="G231" s="0">
        <f>CEILING(C231/F231,1)</f>
        <v/>
      </c>
      <c r="H231" s="0">
        <f>G231*E231</f>
        <v/>
      </c>
    </row>
    <row r="232">
      <c r="A232" s="0" t="inlineStr">
        <is>
          <t>Structure Storage Bay</t>
        </is>
      </c>
      <c r="B232" s="0" t="inlineStr">
        <is>
          <t>Heavy Metals</t>
        </is>
      </c>
      <c r="C232" s="0">
        <f>SUMIFS('BOM Cycle Calc'!$D:$D,'BOM Cycle Calc'!$B:$B,A232,'BOM Cycle Calc'!$C:$C,B232)</f>
        <v/>
      </c>
      <c r="D232" s="0">
        <f>VLOOKUP(B232,'Item Tier Lookup'!$A:$B,2,FALSE)</f>
        <v/>
      </c>
      <c r="E232" s="0">
        <f>VLOOKUP(D232,'Tier Params'!$A:$B,2,FALSE)</f>
        <v/>
      </c>
      <c r="F232" s="0">
        <f>VLOOKUP(D232,'Tier Params'!$A:$C,3,FALSE)</f>
        <v/>
      </c>
      <c r="G232" s="0">
        <f>CEILING(C232/F232,1)</f>
        <v/>
      </c>
      <c r="H232" s="0">
        <f>G232*E232</f>
        <v/>
      </c>
    </row>
    <row r="233">
      <c r="A233" s="0" t="inlineStr">
        <is>
          <t>Structure Storage Bay</t>
        </is>
      </c>
      <c r="B233" s="0" t="inlineStr">
        <is>
          <t>Sterile Conduits</t>
        </is>
      </c>
      <c r="C233" s="0">
        <f>SUMIFS('BOM Cycle Calc'!$D:$D,'BOM Cycle Calc'!$B:$B,A233,'BOM Cycle Calc'!$C:$C,B233)</f>
        <v/>
      </c>
      <c r="D233" s="0">
        <f>VLOOKUP(B233,'Item Tier Lookup'!$A:$B,2,FALSE)</f>
        <v/>
      </c>
      <c r="E233" s="0">
        <f>VLOOKUP(D233,'Tier Params'!$A:$B,2,FALSE)</f>
        <v/>
      </c>
      <c r="F233" s="0">
        <f>VLOOKUP(D233,'Tier Params'!$A:$C,3,FALSE)</f>
        <v/>
      </c>
      <c r="G233" s="0">
        <f>CEILING(C233/F233,1)</f>
        <v/>
      </c>
      <c r="H233" s="0">
        <f>G233*E233</f>
        <v/>
      </c>
    </row>
    <row r="234">
      <c r="A234" s="0" t="inlineStr">
        <is>
          <t>Structure Storage Bay</t>
        </is>
      </c>
      <c r="B234" s="0" t="inlineStr">
        <is>
          <t>Vaccines</t>
        </is>
      </c>
      <c r="C234" s="0">
        <f>SUMIFS('BOM Cycle Calc'!$D:$D,'BOM Cycle Calc'!$B:$B,A234,'BOM Cycle Calc'!$C:$C,B234)</f>
        <v/>
      </c>
      <c r="D234" s="0">
        <f>VLOOKUP(B234,'Item Tier Lookup'!$A:$B,2,FALSE)</f>
        <v/>
      </c>
      <c r="E234" s="0">
        <f>VLOOKUP(D234,'Tier Params'!$A:$B,2,FALSE)</f>
        <v/>
      </c>
      <c r="F234" s="0">
        <f>VLOOKUP(D234,'Tier Params'!$A:$C,3,FALSE)</f>
        <v/>
      </c>
      <c r="G234" s="0">
        <f>CEILING(C234/F234,1)</f>
        <v/>
      </c>
      <c r="H234" s="0">
        <f>G234*E234</f>
        <v/>
      </c>
    </row>
    <row r="235">
      <c r="A235" s="0" t="inlineStr">
        <is>
          <t>Structure Storage Bay</t>
        </is>
      </c>
      <c r="B235" s="0" t="inlineStr">
        <is>
          <t>Livestock</t>
        </is>
      </c>
      <c r="C235" s="0">
        <f>SUMIFS('BOM Cycle Calc'!$D:$D,'BOM Cycle Calc'!$B:$B,A235,'BOM Cycle Calc'!$C:$C,B235)</f>
        <v/>
      </c>
      <c r="D235" s="0">
        <f>VLOOKUP(B235,'Item Tier Lookup'!$A:$B,2,FALSE)</f>
        <v/>
      </c>
      <c r="E235" s="0">
        <f>VLOOKUP(D235,'Tier Params'!$A:$B,2,FALSE)</f>
        <v/>
      </c>
      <c r="F235" s="0">
        <f>VLOOKUP(D235,'Tier Params'!$A:$C,3,FALSE)</f>
        <v/>
      </c>
      <c r="G235" s="0">
        <f>CEILING(C235/F235,1)</f>
        <v/>
      </c>
      <c r="H235" s="0">
        <f>G235*E235</f>
        <v/>
      </c>
    </row>
    <row r="236">
      <c r="A236" s="0" t="inlineStr">
        <is>
          <t>Structure Storage Bay</t>
        </is>
      </c>
      <c r="B236" s="0" t="inlineStr">
        <is>
          <t>Smartfab Units</t>
        </is>
      </c>
      <c r="C236" s="0">
        <f>SUMIFS('BOM Cycle Calc'!$D:$D,'BOM Cycle Calc'!$B:$B,A236,'BOM Cycle Calc'!$C:$C,B236)</f>
        <v/>
      </c>
      <c r="D236" s="0">
        <f>VLOOKUP(B236,'Item Tier Lookup'!$A:$B,2,FALSE)</f>
        <v/>
      </c>
      <c r="E236" s="0">
        <f>VLOOKUP(D236,'Tier Params'!$A:$B,2,FALSE)</f>
        <v/>
      </c>
      <c r="F236" s="0">
        <f>VLOOKUP(D236,'Tier Params'!$A:$C,3,FALSE)</f>
        <v/>
      </c>
      <c r="G236" s="0">
        <f>CEILING(C236/F236,1)</f>
        <v/>
      </c>
      <c r="H236" s="0">
        <f>G236*E236</f>
        <v/>
      </c>
    </row>
    <row r="237">
      <c r="A237" s="0" t="inlineStr">
        <is>
          <t>Structure Storage Bay</t>
        </is>
      </c>
      <c r="B237" s="0" t="inlineStr">
        <is>
          <t>Construction Blocks</t>
        </is>
      </c>
      <c r="C237" s="0">
        <f>SUMIFS('BOM Cycle Calc'!$D:$D,'BOM Cycle Calc'!$B:$B,A237,'BOM Cycle Calc'!$C:$C,B237)</f>
        <v/>
      </c>
      <c r="D237" s="0">
        <f>VLOOKUP(B237,'Item Tier Lookup'!$A:$B,2,FALSE)</f>
        <v/>
      </c>
      <c r="E237" s="0">
        <f>VLOOKUP(D237,'Tier Params'!$A:$B,2,FALSE)</f>
        <v/>
      </c>
      <c r="F237" s="0">
        <f>VLOOKUP(D237,'Tier Params'!$A:$C,3,FALSE)</f>
        <v/>
      </c>
      <c r="G237" s="0">
        <f>CEILING(C237/F237,1)</f>
        <v/>
      </c>
      <c r="H237" s="0">
        <f>G237*E237</f>
        <v/>
      </c>
    </row>
    <row r="238">
      <c r="A238" s="0" t="inlineStr">
        <is>
          <t>Structure Storage Bay</t>
        </is>
      </c>
      <c r="B238" s="0" t="inlineStr">
        <is>
          <t>Wetware Mainframe</t>
        </is>
      </c>
      <c r="C238" s="0">
        <f>SUMIFS('BOM Cycle Calc'!$D:$D,'BOM Cycle Calc'!$B:$B,A238,'BOM Cycle Calc'!$C:$C,B238)</f>
        <v/>
      </c>
      <c r="D238" s="0">
        <f>VLOOKUP(B238,'Item Tier Lookup'!$A:$B,2,FALSE)</f>
        <v/>
      </c>
      <c r="E238" s="0">
        <f>VLOOKUP(D238,'Tier Params'!$A:$B,2,FALSE)</f>
        <v/>
      </c>
      <c r="F238" s="0">
        <f>VLOOKUP(D238,'Tier Params'!$A:$C,3,FALSE)</f>
        <v/>
      </c>
      <c r="G238" s="0">
        <f>CEILING(C238/F238,1)</f>
        <v/>
      </c>
      <c r="H238" s="0">
        <f>G238*E238</f>
        <v/>
      </c>
    </row>
    <row r="239">
      <c r="A239" s="0" t="inlineStr">
        <is>
          <t>Structure Storage Bay</t>
        </is>
      </c>
      <c r="B239" s="0" t="inlineStr">
        <is>
          <t>Supercomputers</t>
        </is>
      </c>
      <c r="C239" s="0">
        <f>SUMIFS('BOM Cycle Calc'!$D:$D,'BOM Cycle Calc'!$B:$B,A239,'BOM Cycle Calc'!$C:$C,B239)</f>
        <v/>
      </c>
      <c r="D239" s="0">
        <f>VLOOKUP(B239,'Item Tier Lookup'!$A:$B,2,FALSE)</f>
        <v/>
      </c>
      <c r="E239" s="0">
        <f>VLOOKUP(D239,'Tier Params'!$A:$B,2,FALSE)</f>
        <v/>
      </c>
      <c r="F239" s="0">
        <f>VLOOKUP(D239,'Tier Params'!$A:$C,3,FALSE)</f>
        <v/>
      </c>
      <c r="G239" s="0">
        <f>CEILING(C239/F239,1)</f>
        <v/>
      </c>
      <c r="H239" s="0">
        <f>G239*E239</f>
        <v/>
      </c>
    </row>
    <row r="240">
      <c r="A240" s="0" t="inlineStr">
        <is>
          <t>Structure Storage Bay</t>
        </is>
      </c>
      <c r="B240" s="0" t="inlineStr">
        <is>
          <t>Water-Cooled CPU</t>
        </is>
      </c>
      <c r="C240" s="0">
        <f>SUMIFS('BOM Cycle Calc'!$D:$D,'BOM Cycle Calc'!$B:$B,A240,'BOM Cycle Calc'!$C:$C,B240)</f>
        <v/>
      </c>
      <c r="D240" s="0">
        <f>VLOOKUP(B240,'Item Tier Lookup'!$A:$B,2,FALSE)</f>
        <v/>
      </c>
      <c r="E240" s="0">
        <f>VLOOKUP(D240,'Tier Params'!$A:$B,2,FALSE)</f>
        <v/>
      </c>
      <c r="F240" s="0">
        <f>VLOOKUP(D240,'Tier Params'!$A:$C,3,FALSE)</f>
        <v/>
      </c>
      <c r="G240" s="0">
        <f>CEILING(C240/F240,1)</f>
        <v/>
      </c>
      <c r="H240" s="0">
        <f>G240*E240</f>
        <v/>
      </c>
    </row>
    <row r="241">
      <c r="A241" s="0" t="inlineStr">
        <is>
          <t>Structure Storage Bay</t>
        </is>
      </c>
      <c r="B241" s="0" t="inlineStr">
        <is>
          <t>Biotech Research Reports</t>
        </is>
      </c>
      <c r="C241" s="0">
        <f>SUMIFS('BOM Cycle Calc'!$D:$D,'BOM Cycle Calc'!$B:$B,A241,'BOM Cycle Calc'!$C:$C,B241)</f>
        <v/>
      </c>
      <c r="D241" s="0">
        <f>VLOOKUP(B241,'Item Tier Lookup'!$A:$B,2,FALSE)</f>
        <v/>
      </c>
      <c r="E241" s="0">
        <f>VLOOKUP(D241,'Tier Params'!$A:$B,2,FALSE)</f>
        <v/>
      </c>
      <c r="F241" s="0">
        <f>VLOOKUP(D241,'Tier Params'!$A:$C,3,FALSE)</f>
        <v/>
      </c>
      <c r="G241" s="0">
        <f>CEILING(C241/F241,1)</f>
        <v/>
      </c>
      <c r="H241" s="0">
        <f>G241*E241</f>
        <v/>
      </c>
    </row>
    <row r="242">
      <c r="A242" s="0" t="inlineStr">
        <is>
          <t>Structure Storage Bay</t>
        </is>
      </c>
      <c r="B242" s="0" t="inlineStr">
        <is>
          <t>Nanites</t>
        </is>
      </c>
      <c r="C242" s="0">
        <f>SUMIFS('BOM Cycle Calc'!$D:$D,'BOM Cycle Calc'!$B:$B,A242,'BOM Cycle Calc'!$C:$C,B242)</f>
        <v/>
      </c>
      <c r="D242" s="0">
        <f>VLOOKUP(B242,'Item Tier Lookup'!$A:$B,2,FALSE)</f>
        <v/>
      </c>
      <c r="E242" s="0">
        <f>VLOOKUP(D242,'Tier Params'!$A:$B,2,FALSE)</f>
        <v/>
      </c>
      <c r="F242" s="0">
        <f>VLOOKUP(D242,'Tier Params'!$A:$C,3,FALSE)</f>
        <v/>
      </c>
      <c r="G242" s="0">
        <f>CEILING(C242/F242,1)</f>
        <v/>
      </c>
      <c r="H242" s="0">
        <f>G242*E242</f>
        <v/>
      </c>
    </row>
    <row r="243">
      <c r="A243" s="0" t="inlineStr">
        <is>
          <t>Structure Storage Bay</t>
        </is>
      </c>
      <c r="B243" s="0" t="inlineStr">
        <is>
          <t>Cryoprotectant Solution</t>
        </is>
      </c>
      <c r="C243" s="0">
        <f>SUMIFS('BOM Cycle Calc'!$D:$D,'BOM Cycle Calc'!$B:$B,A243,'BOM Cycle Calc'!$C:$C,B243)</f>
        <v/>
      </c>
      <c r="D243" s="0">
        <f>VLOOKUP(B243,'Item Tier Lookup'!$A:$B,2,FALSE)</f>
        <v/>
      </c>
      <c r="E243" s="0">
        <f>VLOOKUP(D243,'Tier Params'!$A:$B,2,FALSE)</f>
        <v/>
      </c>
      <c r="F243" s="0">
        <f>VLOOKUP(D243,'Tier Params'!$A:$C,3,FALSE)</f>
        <v/>
      </c>
      <c r="G243" s="0">
        <f>CEILING(C243/F243,1)</f>
        <v/>
      </c>
      <c r="H243" s="0">
        <f>G243*E243</f>
        <v/>
      </c>
    </row>
    <row r="244">
      <c r="A244" s="0" t="inlineStr">
        <is>
          <t>Structure Storage Bay</t>
        </is>
      </c>
      <c r="B244" s="0" t="inlineStr">
        <is>
          <t>Test Cultures</t>
        </is>
      </c>
      <c r="C244" s="0">
        <f>SUMIFS('BOM Cycle Calc'!$D:$D,'BOM Cycle Calc'!$B:$B,A244,'BOM Cycle Calc'!$C:$C,B244)</f>
        <v/>
      </c>
      <c r="D244" s="0">
        <f>VLOOKUP(B244,'Item Tier Lookup'!$A:$B,2,FALSE)</f>
        <v/>
      </c>
      <c r="E244" s="0">
        <f>VLOOKUP(D244,'Tier Params'!$A:$B,2,FALSE)</f>
        <v/>
      </c>
      <c r="F244" s="0">
        <f>VLOOKUP(D244,'Tier Params'!$A:$C,3,FALSE)</f>
        <v/>
      </c>
      <c r="G244" s="0">
        <f>CEILING(C244/F244,1)</f>
        <v/>
      </c>
      <c r="H244" s="0">
        <f>G244*E244</f>
        <v/>
      </c>
    </row>
    <row r="245">
      <c r="A245" s="0" t="inlineStr">
        <is>
          <t>Structure Repair Facility</t>
        </is>
      </c>
      <c r="B245" s="0" t="inlineStr">
        <is>
          <t>Tritanium</t>
        </is>
      </c>
      <c r="C245" s="0">
        <f>SUMIFS('BOM Cycle Calc'!$D:$D,'BOM Cycle Calc'!$B:$B,A245,'BOM Cycle Calc'!$C:$C,B245)</f>
        <v/>
      </c>
      <c r="D245" s="0">
        <f>VLOOKUP(B245,'Item Tier Lookup'!$A:$B,2,FALSE)</f>
        <v/>
      </c>
      <c r="E245" s="0">
        <f>VLOOKUP(D245,'Tier Params'!$A:$B,2,FALSE)</f>
        <v/>
      </c>
      <c r="F245" s="0">
        <f>VLOOKUP(D245,'Tier Params'!$A:$C,3,FALSE)</f>
        <v/>
      </c>
      <c r="G245" s="0">
        <f>CEILING(C245/F245,1)</f>
        <v/>
      </c>
      <c r="H245" s="0">
        <f>G245*E245</f>
        <v/>
      </c>
    </row>
    <row r="246">
      <c r="A246" s="0" t="inlineStr">
        <is>
          <t>Structure Repair Facility</t>
        </is>
      </c>
      <c r="B246" s="0" t="inlineStr">
        <is>
          <t>Pyerite</t>
        </is>
      </c>
      <c r="C246" s="0">
        <f>SUMIFS('BOM Cycle Calc'!$D:$D,'BOM Cycle Calc'!$B:$B,A246,'BOM Cycle Calc'!$C:$C,B246)</f>
        <v/>
      </c>
      <c r="D246" s="0">
        <f>VLOOKUP(B246,'Item Tier Lookup'!$A:$B,2,FALSE)</f>
        <v/>
      </c>
      <c r="E246" s="0">
        <f>VLOOKUP(D246,'Tier Params'!$A:$B,2,FALSE)</f>
        <v/>
      </c>
      <c r="F246" s="0">
        <f>VLOOKUP(D246,'Tier Params'!$A:$C,3,FALSE)</f>
        <v/>
      </c>
      <c r="G246" s="0">
        <f>CEILING(C246/F246,1)</f>
        <v/>
      </c>
      <c r="H246" s="0">
        <f>G246*E246</f>
        <v/>
      </c>
    </row>
    <row r="247">
      <c r="A247" s="0" t="inlineStr">
        <is>
          <t>Structure Repair Facility</t>
        </is>
      </c>
      <c r="B247" s="0" t="inlineStr">
        <is>
          <t>Mexallon</t>
        </is>
      </c>
      <c r="C247" s="0">
        <f>SUMIFS('BOM Cycle Calc'!$D:$D,'BOM Cycle Calc'!$B:$B,A247,'BOM Cycle Calc'!$C:$C,B247)</f>
        <v/>
      </c>
      <c r="D247" s="0">
        <f>VLOOKUP(B247,'Item Tier Lookup'!$A:$B,2,FALSE)</f>
        <v/>
      </c>
      <c r="E247" s="0">
        <f>VLOOKUP(D247,'Tier Params'!$A:$B,2,FALSE)</f>
        <v/>
      </c>
      <c r="F247" s="0">
        <f>VLOOKUP(D247,'Tier Params'!$A:$C,3,FALSE)</f>
        <v/>
      </c>
      <c r="G247" s="0">
        <f>CEILING(C247/F247,1)</f>
        <v/>
      </c>
      <c r="H247" s="0">
        <f>G247*E247</f>
        <v/>
      </c>
    </row>
    <row r="248">
      <c r="A248" s="0" t="inlineStr">
        <is>
          <t>Structure Repair Facility</t>
        </is>
      </c>
      <c r="B248" s="0" t="inlineStr">
        <is>
          <t>Isogen</t>
        </is>
      </c>
      <c r="C248" s="0">
        <f>SUMIFS('BOM Cycle Calc'!$D:$D,'BOM Cycle Calc'!$B:$B,A248,'BOM Cycle Calc'!$C:$C,B248)</f>
        <v/>
      </c>
      <c r="D248" s="0">
        <f>VLOOKUP(B248,'Item Tier Lookup'!$A:$B,2,FALSE)</f>
        <v/>
      </c>
      <c r="E248" s="0">
        <f>VLOOKUP(D248,'Tier Params'!$A:$B,2,FALSE)</f>
        <v/>
      </c>
      <c r="F248" s="0">
        <f>VLOOKUP(D248,'Tier Params'!$A:$C,3,FALSE)</f>
        <v/>
      </c>
      <c r="G248" s="0">
        <f>CEILING(C248/F248,1)</f>
        <v/>
      </c>
      <c r="H248" s="0">
        <f>G248*E248</f>
        <v/>
      </c>
    </row>
    <row r="249">
      <c r="A249" s="0" t="inlineStr">
        <is>
          <t>Structure Repair Facility</t>
        </is>
      </c>
      <c r="B249" s="0" t="inlineStr">
        <is>
          <t>Nocxium</t>
        </is>
      </c>
      <c r="C249" s="0">
        <f>SUMIFS('BOM Cycle Calc'!$D:$D,'BOM Cycle Calc'!$B:$B,A249,'BOM Cycle Calc'!$C:$C,B249)</f>
        <v/>
      </c>
      <c r="D249" s="0">
        <f>VLOOKUP(B249,'Item Tier Lookup'!$A:$B,2,FALSE)</f>
        <v/>
      </c>
      <c r="E249" s="0">
        <f>VLOOKUP(D249,'Tier Params'!$A:$B,2,FALSE)</f>
        <v/>
      </c>
      <c r="F249" s="0">
        <f>VLOOKUP(D249,'Tier Params'!$A:$C,3,FALSE)</f>
        <v/>
      </c>
      <c r="G249" s="0">
        <f>CEILING(C249/F249,1)</f>
        <v/>
      </c>
      <c r="H249" s="0">
        <f>G249*E249</f>
        <v/>
      </c>
    </row>
    <row r="250">
      <c r="A250" s="0" t="inlineStr">
        <is>
          <t>Structure Repair Facility</t>
        </is>
      </c>
      <c r="B250" s="0" t="inlineStr">
        <is>
          <t>Zydrine</t>
        </is>
      </c>
      <c r="C250" s="0">
        <f>SUMIFS('BOM Cycle Calc'!$D:$D,'BOM Cycle Calc'!$B:$B,A250,'BOM Cycle Calc'!$C:$C,B250)</f>
        <v/>
      </c>
      <c r="D250" s="0">
        <f>VLOOKUP(B250,'Item Tier Lookup'!$A:$B,2,FALSE)</f>
        <v/>
      </c>
      <c r="E250" s="0">
        <f>VLOOKUP(D250,'Tier Params'!$A:$B,2,FALSE)</f>
        <v/>
      </c>
      <c r="F250" s="0">
        <f>VLOOKUP(D250,'Tier Params'!$A:$C,3,FALSE)</f>
        <v/>
      </c>
      <c r="G250" s="0">
        <f>CEILING(C250/F250,1)</f>
        <v/>
      </c>
      <c r="H250" s="0">
        <f>G250*E250</f>
        <v/>
      </c>
    </row>
    <row r="251">
      <c r="A251" s="0" t="inlineStr">
        <is>
          <t>Structure Repair Facility</t>
        </is>
      </c>
      <c r="B251" s="0" t="inlineStr">
        <is>
          <t>Megacyte</t>
        </is>
      </c>
      <c r="C251" s="0">
        <f>SUMIFS('BOM Cycle Calc'!$D:$D,'BOM Cycle Calc'!$B:$B,A251,'BOM Cycle Calc'!$C:$C,B251)</f>
        <v/>
      </c>
      <c r="D251" s="0">
        <f>VLOOKUP(B251,'Item Tier Lookup'!$A:$B,2,FALSE)</f>
        <v/>
      </c>
      <c r="E251" s="0">
        <f>VLOOKUP(D251,'Tier Params'!$A:$B,2,FALSE)</f>
        <v/>
      </c>
      <c r="F251" s="0">
        <f>VLOOKUP(D251,'Tier Params'!$A:$C,3,FALSE)</f>
        <v/>
      </c>
      <c r="G251" s="0">
        <f>CEILING(C251/F251,1)</f>
        <v/>
      </c>
      <c r="H251" s="0">
        <f>G251*E251</f>
        <v/>
      </c>
    </row>
    <row r="252">
      <c r="A252" s="0" t="inlineStr">
        <is>
          <t>Structure Repair Facility</t>
        </is>
      </c>
      <c r="B252" s="0" t="inlineStr">
        <is>
          <t>Integrity Response Drones</t>
        </is>
      </c>
      <c r="C252" s="0">
        <f>SUMIFS('BOM Cycle Calc'!$D:$D,'BOM Cycle Calc'!$B:$B,A252,'BOM Cycle Calc'!$C:$C,B252)</f>
        <v/>
      </c>
      <c r="D252" s="0">
        <f>VLOOKUP(B252,'Item Tier Lookup'!$A:$B,2,FALSE)</f>
        <v/>
      </c>
      <c r="E252" s="0">
        <f>VLOOKUP(D252,'Tier Params'!$A:$B,2,FALSE)</f>
        <v/>
      </c>
      <c r="F252" s="0">
        <f>VLOOKUP(D252,'Tier Params'!$A:$C,3,FALSE)</f>
        <v/>
      </c>
      <c r="G252" s="0">
        <f>CEILING(C252/F252,1)</f>
        <v/>
      </c>
      <c r="H252" s="0">
        <f>G252*E252</f>
        <v/>
      </c>
    </row>
    <row r="253">
      <c r="A253" s="0" t="inlineStr">
        <is>
          <t>Structure Repair Facility</t>
        </is>
      </c>
      <c r="B253" s="0" t="inlineStr">
        <is>
          <t>Gel-Matrix Biopaste</t>
        </is>
      </c>
      <c r="C253" s="0">
        <f>SUMIFS('BOM Cycle Calc'!$D:$D,'BOM Cycle Calc'!$B:$B,A253,'BOM Cycle Calc'!$C:$C,B253)</f>
        <v/>
      </c>
      <c r="D253" s="0">
        <f>VLOOKUP(B253,'Item Tier Lookup'!$A:$B,2,FALSE)</f>
        <v/>
      </c>
      <c r="E253" s="0">
        <f>VLOOKUP(D253,'Tier Params'!$A:$B,2,FALSE)</f>
        <v/>
      </c>
      <c r="F253" s="0">
        <f>VLOOKUP(D253,'Tier Params'!$A:$C,3,FALSE)</f>
        <v/>
      </c>
      <c r="G253" s="0">
        <f>CEILING(C253/F253,1)</f>
        <v/>
      </c>
      <c r="H253" s="0">
        <f>G253*E253</f>
        <v/>
      </c>
    </row>
    <row r="254">
      <c r="A254" s="0" t="inlineStr">
        <is>
          <t>Structure Repair Facility</t>
        </is>
      </c>
      <c r="B254" s="0" t="inlineStr">
        <is>
          <t>Biocells</t>
        </is>
      </c>
      <c r="C254" s="0">
        <f>SUMIFS('BOM Cycle Calc'!$D:$D,'BOM Cycle Calc'!$B:$B,A254,'BOM Cycle Calc'!$C:$C,B254)</f>
        <v/>
      </c>
      <c r="D254" s="0">
        <f>VLOOKUP(B254,'Item Tier Lookup'!$A:$B,2,FALSE)</f>
        <v/>
      </c>
      <c r="E254" s="0">
        <f>VLOOKUP(D254,'Tier Params'!$A:$B,2,FALSE)</f>
        <v/>
      </c>
      <c r="F254" s="0">
        <f>VLOOKUP(D254,'Tier Params'!$A:$C,3,FALSE)</f>
        <v/>
      </c>
      <c r="G254" s="0">
        <f>CEILING(C254/F254,1)</f>
        <v/>
      </c>
      <c r="H254" s="0">
        <f>G254*E254</f>
        <v/>
      </c>
    </row>
    <row r="255">
      <c r="A255" s="0" t="inlineStr">
        <is>
          <t>Structure Repair Facility</t>
        </is>
      </c>
      <c r="B255" s="0" t="inlineStr">
        <is>
          <t>Biofuels</t>
        </is>
      </c>
      <c r="C255" s="0">
        <f>SUMIFS('BOM Cycle Calc'!$D:$D,'BOM Cycle Calc'!$B:$B,A255,'BOM Cycle Calc'!$C:$C,B255)</f>
        <v/>
      </c>
      <c r="D255" s="0">
        <f>VLOOKUP(B255,'Item Tier Lookup'!$A:$B,2,FALSE)</f>
        <v/>
      </c>
      <c r="E255" s="0">
        <f>VLOOKUP(D255,'Tier Params'!$A:$B,2,FALSE)</f>
        <v/>
      </c>
      <c r="F255" s="0">
        <f>VLOOKUP(D255,'Tier Params'!$A:$C,3,FALSE)</f>
        <v/>
      </c>
      <c r="G255" s="0">
        <f>CEILING(C255/F255,1)</f>
        <v/>
      </c>
      <c r="H255" s="0">
        <f>G255*E255</f>
        <v/>
      </c>
    </row>
    <row r="256">
      <c r="A256" s="0" t="inlineStr">
        <is>
          <t>Structure Repair Facility</t>
        </is>
      </c>
      <c r="B256" s="0" t="inlineStr">
        <is>
          <t>Carbon Compounds</t>
        </is>
      </c>
      <c r="C256" s="0">
        <f>SUMIFS('BOM Cycle Calc'!$D:$D,'BOM Cycle Calc'!$B:$B,A256,'BOM Cycle Calc'!$C:$C,B256)</f>
        <v/>
      </c>
      <c r="D256" s="0">
        <f>VLOOKUP(B256,'Item Tier Lookup'!$A:$B,2,FALSE)</f>
        <v/>
      </c>
      <c r="E256" s="0">
        <f>VLOOKUP(D256,'Tier Params'!$A:$B,2,FALSE)</f>
        <v/>
      </c>
      <c r="F256" s="0">
        <f>VLOOKUP(D256,'Tier Params'!$A:$C,3,FALSE)</f>
        <v/>
      </c>
      <c r="G256" s="0">
        <f>CEILING(C256/F256,1)</f>
        <v/>
      </c>
      <c r="H256" s="0">
        <f>G256*E256</f>
        <v/>
      </c>
    </row>
    <row r="257">
      <c r="A257" s="0" t="inlineStr">
        <is>
          <t>Structure Repair Facility</t>
        </is>
      </c>
      <c r="B257" s="0" t="inlineStr">
        <is>
          <t>Precious Metals</t>
        </is>
      </c>
      <c r="C257" s="0">
        <f>SUMIFS('BOM Cycle Calc'!$D:$D,'BOM Cycle Calc'!$B:$B,A257,'BOM Cycle Calc'!$C:$C,B257)</f>
        <v/>
      </c>
      <c r="D257" s="0">
        <f>VLOOKUP(B257,'Item Tier Lookup'!$A:$B,2,FALSE)</f>
        <v/>
      </c>
      <c r="E257" s="0">
        <f>VLOOKUP(D257,'Tier Params'!$A:$B,2,FALSE)</f>
        <v/>
      </c>
      <c r="F257" s="0">
        <f>VLOOKUP(D257,'Tier Params'!$A:$C,3,FALSE)</f>
        <v/>
      </c>
      <c r="G257" s="0">
        <f>CEILING(C257/F257,1)</f>
        <v/>
      </c>
      <c r="H257" s="0">
        <f>G257*E257</f>
        <v/>
      </c>
    </row>
    <row r="258">
      <c r="A258" s="0" t="inlineStr">
        <is>
          <t>Structure Repair Facility</t>
        </is>
      </c>
      <c r="B258" s="0" t="inlineStr">
        <is>
          <t>Noble Metals</t>
        </is>
      </c>
      <c r="C258" s="0">
        <f>SUMIFS('BOM Cycle Calc'!$D:$D,'BOM Cycle Calc'!$B:$B,A258,'BOM Cycle Calc'!$C:$C,B258)</f>
        <v/>
      </c>
      <c r="D258" s="0">
        <f>VLOOKUP(B258,'Item Tier Lookup'!$A:$B,2,FALSE)</f>
        <v/>
      </c>
      <c r="E258" s="0">
        <f>VLOOKUP(D258,'Tier Params'!$A:$B,2,FALSE)</f>
        <v/>
      </c>
      <c r="F258" s="0">
        <f>VLOOKUP(D258,'Tier Params'!$A:$C,3,FALSE)</f>
        <v/>
      </c>
      <c r="G258" s="0">
        <f>CEILING(C258/F258,1)</f>
        <v/>
      </c>
      <c r="H258" s="0">
        <f>G258*E258</f>
        <v/>
      </c>
    </row>
    <row r="259">
      <c r="A259" s="0" t="inlineStr">
        <is>
          <t>Structure Repair Facility</t>
        </is>
      </c>
      <c r="B259" s="0" t="inlineStr">
        <is>
          <t>Oxides</t>
        </is>
      </c>
      <c r="C259" s="0">
        <f>SUMIFS('BOM Cycle Calc'!$D:$D,'BOM Cycle Calc'!$B:$B,A259,'BOM Cycle Calc'!$C:$C,B259)</f>
        <v/>
      </c>
      <c r="D259" s="0">
        <f>VLOOKUP(B259,'Item Tier Lookup'!$A:$B,2,FALSE)</f>
        <v/>
      </c>
      <c r="E259" s="0">
        <f>VLOOKUP(D259,'Tier Params'!$A:$B,2,FALSE)</f>
        <v/>
      </c>
      <c r="F259" s="0">
        <f>VLOOKUP(D259,'Tier Params'!$A:$C,3,FALSE)</f>
        <v/>
      </c>
      <c r="G259" s="0">
        <f>CEILING(C259/F259,1)</f>
        <v/>
      </c>
      <c r="H259" s="0">
        <f>G259*E259</f>
        <v/>
      </c>
    </row>
    <row r="260">
      <c r="A260" s="0" t="inlineStr">
        <is>
          <t>Structure Repair Facility</t>
        </is>
      </c>
      <c r="B260" s="0" t="inlineStr">
        <is>
          <t>Oxidizing Compound</t>
        </is>
      </c>
      <c r="C260" s="0">
        <f>SUMIFS('BOM Cycle Calc'!$D:$D,'BOM Cycle Calc'!$B:$B,A260,'BOM Cycle Calc'!$C:$C,B260)</f>
        <v/>
      </c>
      <c r="D260" s="0">
        <f>VLOOKUP(B260,'Item Tier Lookup'!$A:$B,2,FALSE)</f>
        <v/>
      </c>
      <c r="E260" s="0">
        <f>VLOOKUP(D260,'Tier Params'!$A:$B,2,FALSE)</f>
        <v/>
      </c>
      <c r="F260" s="0">
        <f>VLOOKUP(D260,'Tier Params'!$A:$C,3,FALSE)</f>
        <v/>
      </c>
      <c r="G260" s="0">
        <f>CEILING(C260/F260,1)</f>
        <v/>
      </c>
      <c r="H260" s="0">
        <f>G260*E260</f>
        <v/>
      </c>
    </row>
    <row r="261">
      <c r="A261" s="0" t="inlineStr">
        <is>
          <t>Structure Repair Facility</t>
        </is>
      </c>
      <c r="B261" s="0" t="inlineStr">
        <is>
          <t>Reactive Gas</t>
        </is>
      </c>
      <c r="C261" s="0">
        <f>SUMIFS('BOM Cycle Calc'!$D:$D,'BOM Cycle Calc'!$B:$B,A261,'BOM Cycle Calc'!$C:$C,B261)</f>
        <v/>
      </c>
      <c r="D261" s="0">
        <f>VLOOKUP(B261,'Item Tier Lookup'!$A:$B,2,FALSE)</f>
        <v/>
      </c>
      <c r="E261" s="0">
        <f>VLOOKUP(D261,'Tier Params'!$A:$B,2,FALSE)</f>
        <v/>
      </c>
      <c r="F261" s="0">
        <f>VLOOKUP(D261,'Tier Params'!$A:$C,3,FALSE)</f>
        <v/>
      </c>
      <c r="G261" s="0">
        <f>CEILING(C261/F261,1)</f>
        <v/>
      </c>
      <c r="H261" s="0">
        <f>G261*E261</f>
        <v/>
      </c>
    </row>
    <row r="262">
      <c r="A262" s="0" t="inlineStr">
        <is>
          <t>Structure Repair Facility</t>
        </is>
      </c>
      <c r="B262" s="0" t="inlineStr">
        <is>
          <t>Oxygen</t>
        </is>
      </c>
      <c r="C262" s="0">
        <f>SUMIFS('BOM Cycle Calc'!$D:$D,'BOM Cycle Calc'!$B:$B,A262,'BOM Cycle Calc'!$C:$C,B262)</f>
        <v/>
      </c>
      <c r="D262" s="0">
        <f>VLOOKUP(B262,'Item Tier Lookup'!$A:$B,2,FALSE)</f>
        <v/>
      </c>
      <c r="E262" s="0">
        <f>VLOOKUP(D262,'Tier Params'!$A:$B,2,FALSE)</f>
        <v/>
      </c>
      <c r="F262" s="0">
        <f>VLOOKUP(D262,'Tier Params'!$A:$C,3,FALSE)</f>
        <v/>
      </c>
      <c r="G262" s="0">
        <f>CEILING(C262/F262,1)</f>
        <v/>
      </c>
      <c r="H262" s="0">
        <f>G262*E262</f>
        <v/>
      </c>
    </row>
    <row r="263">
      <c r="A263" s="0" t="inlineStr">
        <is>
          <t>Structure Repair Facility</t>
        </is>
      </c>
      <c r="B263" s="0" t="inlineStr">
        <is>
          <t>Noble Gas</t>
        </is>
      </c>
      <c r="C263" s="0">
        <f>SUMIFS('BOM Cycle Calc'!$D:$D,'BOM Cycle Calc'!$B:$B,A263,'BOM Cycle Calc'!$C:$C,B263)</f>
        <v/>
      </c>
      <c r="D263" s="0">
        <f>VLOOKUP(B263,'Item Tier Lookup'!$A:$B,2,FALSE)</f>
        <v/>
      </c>
      <c r="E263" s="0">
        <f>VLOOKUP(D263,'Tier Params'!$A:$B,2,FALSE)</f>
        <v/>
      </c>
      <c r="F263" s="0">
        <f>VLOOKUP(D263,'Tier Params'!$A:$C,3,FALSE)</f>
        <v/>
      </c>
      <c r="G263" s="0">
        <f>CEILING(C263/F263,1)</f>
        <v/>
      </c>
      <c r="H263" s="0">
        <f>G263*E263</f>
        <v/>
      </c>
    </row>
    <row r="264">
      <c r="A264" s="0" t="inlineStr">
        <is>
          <t>Structure Repair Facility</t>
        </is>
      </c>
      <c r="B264" s="0" t="inlineStr">
        <is>
          <t>Superconductors</t>
        </is>
      </c>
      <c r="C264" s="0">
        <f>SUMIFS('BOM Cycle Calc'!$D:$D,'BOM Cycle Calc'!$B:$B,A264,'BOM Cycle Calc'!$C:$C,B264)</f>
        <v/>
      </c>
      <c r="D264" s="0">
        <f>VLOOKUP(B264,'Item Tier Lookup'!$A:$B,2,FALSE)</f>
        <v/>
      </c>
      <c r="E264" s="0">
        <f>VLOOKUP(D264,'Tier Params'!$A:$B,2,FALSE)</f>
        <v/>
      </c>
      <c r="F264" s="0">
        <f>VLOOKUP(D264,'Tier Params'!$A:$C,3,FALSE)</f>
        <v/>
      </c>
      <c r="G264" s="0">
        <f>CEILING(C264/F264,1)</f>
        <v/>
      </c>
      <c r="H264" s="0">
        <f>G264*E264</f>
        <v/>
      </c>
    </row>
    <row r="265">
      <c r="A265" s="0" t="inlineStr">
        <is>
          <t>Structure Repair Facility</t>
        </is>
      </c>
      <c r="B265" s="0" t="inlineStr">
        <is>
          <t>Plasmoids</t>
        </is>
      </c>
      <c r="C265" s="0">
        <f>SUMIFS('BOM Cycle Calc'!$D:$D,'BOM Cycle Calc'!$B:$B,A265,'BOM Cycle Calc'!$C:$C,B265)</f>
        <v/>
      </c>
      <c r="D265" s="0">
        <f>VLOOKUP(B265,'Item Tier Lookup'!$A:$B,2,FALSE)</f>
        <v/>
      </c>
      <c r="E265" s="0">
        <f>VLOOKUP(D265,'Tier Params'!$A:$B,2,FALSE)</f>
        <v/>
      </c>
      <c r="F265" s="0">
        <f>VLOOKUP(D265,'Tier Params'!$A:$C,3,FALSE)</f>
        <v/>
      </c>
      <c r="G265" s="0">
        <f>CEILING(C265/F265,1)</f>
        <v/>
      </c>
      <c r="H265" s="0">
        <f>G265*E265</f>
        <v/>
      </c>
    </row>
    <row r="266">
      <c r="A266" s="0" t="inlineStr">
        <is>
          <t>Structure Repair Facility</t>
        </is>
      </c>
      <c r="B266" s="0" t="inlineStr">
        <is>
          <t>Suspended Plasma</t>
        </is>
      </c>
      <c r="C266" s="0">
        <f>SUMIFS('BOM Cycle Calc'!$D:$D,'BOM Cycle Calc'!$B:$B,A266,'BOM Cycle Calc'!$C:$C,B266)</f>
        <v/>
      </c>
      <c r="D266" s="0">
        <f>VLOOKUP(B266,'Item Tier Lookup'!$A:$B,2,FALSE)</f>
        <v/>
      </c>
      <c r="E266" s="0">
        <f>VLOOKUP(D266,'Tier Params'!$A:$B,2,FALSE)</f>
        <v/>
      </c>
      <c r="F266" s="0">
        <f>VLOOKUP(D266,'Tier Params'!$A:$C,3,FALSE)</f>
        <v/>
      </c>
      <c r="G266" s="0">
        <f>CEILING(C266/F266,1)</f>
        <v/>
      </c>
      <c r="H266" s="0">
        <f>G266*E266</f>
        <v/>
      </c>
    </row>
    <row r="267">
      <c r="A267" s="0" t="inlineStr">
        <is>
          <t>Structure Repair Facility</t>
        </is>
      </c>
      <c r="B267" s="0" t="inlineStr">
        <is>
          <t>Water</t>
        </is>
      </c>
      <c r="C267" s="0">
        <f>SUMIFS('BOM Cycle Calc'!$D:$D,'BOM Cycle Calc'!$B:$B,A267,'BOM Cycle Calc'!$C:$C,B267)</f>
        <v/>
      </c>
      <c r="D267" s="0">
        <f>VLOOKUP(B267,'Item Tier Lookup'!$A:$B,2,FALSE)</f>
        <v/>
      </c>
      <c r="E267" s="0">
        <f>VLOOKUP(D267,'Tier Params'!$A:$B,2,FALSE)</f>
        <v/>
      </c>
      <c r="F267" s="0">
        <f>VLOOKUP(D267,'Tier Params'!$A:$C,3,FALSE)</f>
        <v/>
      </c>
      <c r="G267" s="0">
        <f>CEILING(C267/F267,1)</f>
        <v/>
      </c>
      <c r="H267" s="0">
        <f>G267*E267</f>
        <v/>
      </c>
    </row>
    <row r="268">
      <c r="A268" s="0" t="inlineStr">
        <is>
          <t>Structure Repair Facility</t>
        </is>
      </c>
      <c r="B268" s="0" t="inlineStr">
        <is>
          <t>Aqueous Liquids</t>
        </is>
      </c>
      <c r="C268" s="0">
        <f>SUMIFS('BOM Cycle Calc'!$D:$D,'BOM Cycle Calc'!$B:$B,A268,'BOM Cycle Calc'!$C:$C,B268)</f>
        <v/>
      </c>
      <c r="D268" s="0">
        <f>VLOOKUP(B268,'Item Tier Lookup'!$A:$B,2,FALSE)</f>
        <v/>
      </c>
      <c r="E268" s="0">
        <f>VLOOKUP(D268,'Tier Params'!$A:$B,2,FALSE)</f>
        <v/>
      </c>
      <c r="F268" s="0">
        <f>VLOOKUP(D268,'Tier Params'!$A:$C,3,FALSE)</f>
        <v/>
      </c>
      <c r="G268" s="0">
        <f>CEILING(C268/F268,1)</f>
        <v/>
      </c>
      <c r="H268" s="0">
        <f>G268*E268</f>
        <v/>
      </c>
    </row>
    <row r="269">
      <c r="A269" s="0" t="inlineStr">
        <is>
          <t>Structure Repair Facility</t>
        </is>
      </c>
      <c r="B269" s="0" t="inlineStr">
        <is>
          <t>Hazmat Detection Systems</t>
        </is>
      </c>
      <c r="C269" s="0">
        <f>SUMIFS('BOM Cycle Calc'!$D:$D,'BOM Cycle Calc'!$B:$B,A269,'BOM Cycle Calc'!$C:$C,B269)</f>
        <v/>
      </c>
      <c r="D269" s="0">
        <f>VLOOKUP(B269,'Item Tier Lookup'!$A:$B,2,FALSE)</f>
        <v/>
      </c>
      <c r="E269" s="0">
        <f>VLOOKUP(D269,'Tier Params'!$A:$B,2,FALSE)</f>
        <v/>
      </c>
      <c r="F269" s="0">
        <f>VLOOKUP(D269,'Tier Params'!$A:$C,3,FALSE)</f>
        <v/>
      </c>
      <c r="G269" s="0">
        <f>CEILING(C269/F269,1)</f>
        <v/>
      </c>
      <c r="H269" s="0">
        <f>G269*E269</f>
        <v/>
      </c>
    </row>
    <row r="270">
      <c r="A270" s="0" t="inlineStr">
        <is>
          <t>Structure Repair Facility</t>
        </is>
      </c>
      <c r="B270" s="0" t="inlineStr">
        <is>
          <t>Transmitter</t>
        </is>
      </c>
      <c r="C270" s="0">
        <f>SUMIFS('BOM Cycle Calc'!$D:$D,'BOM Cycle Calc'!$B:$B,A270,'BOM Cycle Calc'!$C:$C,B270)</f>
        <v/>
      </c>
      <c r="D270" s="0">
        <f>VLOOKUP(B270,'Item Tier Lookup'!$A:$B,2,FALSE)</f>
        <v/>
      </c>
      <c r="E270" s="0">
        <f>VLOOKUP(D270,'Tier Params'!$A:$B,2,FALSE)</f>
        <v/>
      </c>
      <c r="F270" s="0">
        <f>VLOOKUP(D270,'Tier Params'!$A:$C,3,FALSE)</f>
        <v/>
      </c>
      <c r="G270" s="0">
        <f>CEILING(C270/F270,1)</f>
        <v/>
      </c>
      <c r="H270" s="0">
        <f>G270*E270</f>
        <v/>
      </c>
    </row>
    <row r="271">
      <c r="A271" s="0" t="inlineStr">
        <is>
          <t>Structure Repair Facility</t>
        </is>
      </c>
      <c r="B271" s="0" t="inlineStr">
        <is>
          <t>Chiral Structures</t>
        </is>
      </c>
      <c r="C271" s="0">
        <f>SUMIFS('BOM Cycle Calc'!$D:$D,'BOM Cycle Calc'!$B:$B,A271,'BOM Cycle Calc'!$C:$C,B271)</f>
        <v/>
      </c>
      <c r="D271" s="0">
        <f>VLOOKUP(B271,'Item Tier Lookup'!$A:$B,2,FALSE)</f>
        <v/>
      </c>
      <c r="E271" s="0">
        <f>VLOOKUP(D271,'Tier Params'!$A:$B,2,FALSE)</f>
        <v/>
      </c>
      <c r="F271" s="0">
        <f>VLOOKUP(D271,'Tier Params'!$A:$C,3,FALSE)</f>
        <v/>
      </c>
      <c r="G271" s="0">
        <f>CEILING(C271/F271,1)</f>
        <v/>
      </c>
      <c r="H271" s="0">
        <f>G271*E271</f>
        <v/>
      </c>
    </row>
    <row r="272">
      <c r="A272" s="0" t="inlineStr">
        <is>
          <t>Structure Repair Facility</t>
        </is>
      </c>
      <c r="B272" s="0" t="inlineStr">
        <is>
          <t>Non-CS Crystals</t>
        </is>
      </c>
      <c r="C272" s="0">
        <f>SUMIFS('BOM Cycle Calc'!$D:$D,'BOM Cycle Calc'!$B:$B,A272,'BOM Cycle Calc'!$C:$C,B272)</f>
        <v/>
      </c>
      <c r="D272" s="0">
        <f>VLOOKUP(B272,'Item Tier Lookup'!$A:$B,2,FALSE)</f>
        <v/>
      </c>
      <c r="E272" s="0">
        <f>VLOOKUP(D272,'Tier Params'!$A:$B,2,FALSE)</f>
        <v/>
      </c>
      <c r="F272" s="0">
        <f>VLOOKUP(D272,'Tier Params'!$A:$C,3,FALSE)</f>
        <v/>
      </c>
      <c r="G272" s="0">
        <f>CEILING(C272/F272,1)</f>
        <v/>
      </c>
      <c r="H272" s="0">
        <f>G272*E272</f>
        <v/>
      </c>
    </row>
    <row r="273">
      <c r="A273" s="0" t="inlineStr">
        <is>
          <t>Structure Repair Facility</t>
        </is>
      </c>
      <c r="B273" s="0" t="inlineStr">
        <is>
          <t>Polytextiles</t>
        </is>
      </c>
      <c r="C273" s="0">
        <f>SUMIFS('BOM Cycle Calc'!$D:$D,'BOM Cycle Calc'!$B:$B,A273,'BOM Cycle Calc'!$C:$C,B273)</f>
        <v/>
      </c>
      <c r="D273" s="0">
        <f>VLOOKUP(B273,'Item Tier Lookup'!$A:$B,2,FALSE)</f>
        <v/>
      </c>
      <c r="E273" s="0">
        <f>VLOOKUP(D273,'Tier Params'!$A:$B,2,FALSE)</f>
        <v/>
      </c>
      <c r="F273" s="0">
        <f>VLOOKUP(D273,'Tier Params'!$A:$C,3,FALSE)</f>
        <v/>
      </c>
      <c r="G273" s="0">
        <f>CEILING(C273/F273,1)</f>
        <v/>
      </c>
      <c r="H273" s="0">
        <f>G273*E273</f>
        <v/>
      </c>
    </row>
    <row r="274">
      <c r="A274" s="0" t="inlineStr">
        <is>
          <t>Structure Repair Facility</t>
        </is>
      </c>
      <c r="B274" s="0" t="inlineStr">
        <is>
          <t>Industrial Fibers</t>
        </is>
      </c>
      <c r="C274" s="0">
        <f>SUMIFS('BOM Cycle Calc'!$D:$D,'BOM Cycle Calc'!$B:$B,A274,'BOM Cycle Calc'!$C:$C,B274)</f>
        <v/>
      </c>
      <c r="D274" s="0">
        <f>VLOOKUP(B274,'Item Tier Lookup'!$A:$B,2,FALSE)</f>
        <v/>
      </c>
      <c r="E274" s="0">
        <f>VLOOKUP(D274,'Tier Params'!$A:$B,2,FALSE)</f>
        <v/>
      </c>
      <c r="F274" s="0">
        <f>VLOOKUP(D274,'Tier Params'!$A:$C,3,FALSE)</f>
        <v/>
      </c>
      <c r="G274" s="0">
        <f>CEILING(C274/F274,1)</f>
        <v/>
      </c>
      <c r="H274" s="0">
        <f>G274*E274</f>
        <v/>
      </c>
    </row>
    <row r="275">
      <c r="A275" s="0" t="inlineStr">
        <is>
          <t>Structure Repair Facility</t>
        </is>
      </c>
      <c r="B275" s="0" t="inlineStr">
        <is>
          <t>Autotrophs</t>
        </is>
      </c>
      <c r="C275" s="0">
        <f>SUMIFS('BOM Cycle Calc'!$D:$D,'BOM Cycle Calc'!$B:$B,A275,'BOM Cycle Calc'!$C:$C,B275)</f>
        <v/>
      </c>
      <c r="D275" s="0">
        <f>VLOOKUP(B275,'Item Tier Lookup'!$A:$B,2,FALSE)</f>
        <v/>
      </c>
      <c r="E275" s="0">
        <f>VLOOKUP(D275,'Tier Params'!$A:$B,2,FALSE)</f>
        <v/>
      </c>
      <c r="F275" s="0">
        <f>VLOOKUP(D275,'Tier Params'!$A:$C,3,FALSE)</f>
        <v/>
      </c>
      <c r="G275" s="0">
        <f>CEILING(C275/F275,1)</f>
        <v/>
      </c>
      <c r="H275" s="0">
        <f>G275*E275</f>
        <v/>
      </c>
    </row>
    <row r="276">
      <c r="A276" s="0" t="inlineStr">
        <is>
          <t>Structure Repair Facility</t>
        </is>
      </c>
      <c r="B276" s="0" t="inlineStr">
        <is>
          <t>Viral Agent</t>
        </is>
      </c>
      <c r="C276" s="0">
        <f>SUMIFS('BOM Cycle Calc'!$D:$D,'BOM Cycle Calc'!$B:$B,A276,'BOM Cycle Calc'!$C:$C,B276)</f>
        <v/>
      </c>
      <c r="D276" s="0">
        <f>VLOOKUP(B276,'Item Tier Lookup'!$A:$B,2,FALSE)</f>
        <v/>
      </c>
      <c r="E276" s="0">
        <f>VLOOKUP(D276,'Tier Params'!$A:$B,2,FALSE)</f>
        <v/>
      </c>
      <c r="F276" s="0">
        <f>VLOOKUP(D276,'Tier Params'!$A:$C,3,FALSE)</f>
        <v/>
      </c>
      <c r="G276" s="0">
        <f>CEILING(C276/F276,1)</f>
        <v/>
      </c>
      <c r="H276" s="0">
        <f>G276*E276</f>
        <v/>
      </c>
    </row>
    <row r="277">
      <c r="A277" s="0" t="inlineStr">
        <is>
          <t>Structure Repair Facility</t>
        </is>
      </c>
      <c r="B277" s="0" t="inlineStr">
        <is>
          <t>Bacteria</t>
        </is>
      </c>
      <c r="C277" s="0">
        <f>SUMIFS('BOM Cycle Calc'!$D:$D,'BOM Cycle Calc'!$B:$B,A277,'BOM Cycle Calc'!$C:$C,B277)</f>
        <v/>
      </c>
      <c r="D277" s="0">
        <f>VLOOKUP(B277,'Item Tier Lookup'!$A:$B,2,FALSE)</f>
        <v/>
      </c>
      <c r="E277" s="0">
        <f>VLOOKUP(D277,'Tier Params'!$A:$B,2,FALSE)</f>
        <v/>
      </c>
      <c r="F277" s="0">
        <f>VLOOKUP(D277,'Tier Params'!$A:$C,3,FALSE)</f>
        <v/>
      </c>
      <c r="G277" s="0">
        <f>CEILING(C277/F277,1)</f>
        <v/>
      </c>
      <c r="H277" s="0">
        <f>G277*E277</f>
        <v/>
      </c>
    </row>
    <row r="278">
      <c r="A278" s="0" t="inlineStr">
        <is>
          <t>Structure Repair Facility</t>
        </is>
      </c>
      <c r="B278" s="0" t="inlineStr">
        <is>
          <t>Microorganisms</t>
        </is>
      </c>
      <c r="C278" s="0">
        <f>SUMIFS('BOM Cycle Calc'!$D:$D,'BOM Cycle Calc'!$B:$B,A278,'BOM Cycle Calc'!$C:$C,B278)</f>
        <v/>
      </c>
      <c r="D278" s="0">
        <f>VLOOKUP(B278,'Item Tier Lookup'!$A:$B,2,FALSE)</f>
        <v/>
      </c>
      <c r="E278" s="0">
        <f>VLOOKUP(D278,'Tier Params'!$A:$B,2,FALSE)</f>
        <v/>
      </c>
      <c r="F278" s="0">
        <f>VLOOKUP(D278,'Tier Params'!$A:$C,3,FALSE)</f>
        <v/>
      </c>
      <c r="G278" s="0">
        <f>CEILING(C278/F278,1)</f>
        <v/>
      </c>
      <c r="H278" s="0">
        <f>G278*E278</f>
        <v/>
      </c>
    </row>
    <row r="279">
      <c r="A279" s="0" t="inlineStr">
        <is>
          <t>Structure Repair Facility</t>
        </is>
      </c>
      <c r="B279" s="0" t="inlineStr">
        <is>
          <t>Biomass</t>
        </is>
      </c>
      <c r="C279" s="0">
        <f>SUMIFS('BOM Cycle Calc'!$D:$D,'BOM Cycle Calc'!$B:$B,A279,'BOM Cycle Calc'!$C:$C,B279)</f>
        <v/>
      </c>
      <c r="D279" s="0">
        <f>VLOOKUP(B279,'Item Tier Lookup'!$A:$B,2,FALSE)</f>
        <v/>
      </c>
      <c r="E279" s="0">
        <f>VLOOKUP(D279,'Tier Params'!$A:$B,2,FALSE)</f>
        <v/>
      </c>
      <c r="F279" s="0">
        <f>VLOOKUP(D279,'Tier Params'!$A:$C,3,FALSE)</f>
        <v/>
      </c>
      <c r="G279" s="0">
        <f>CEILING(C279/F279,1)</f>
        <v/>
      </c>
      <c r="H279" s="0">
        <f>G279*E279</f>
        <v/>
      </c>
    </row>
    <row r="280">
      <c r="A280" s="0" t="inlineStr">
        <is>
          <t>Structure Repair Facility</t>
        </is>
      </c>
      <c r="B280" s="0" t="inlineStr">
        <is>
          <t>Planktic Colonies</t>
        </is>
      </c>
      <c r="C280" s="0">
        <f>SUMIFS('BOM Cycle Calc'!$D:$D,'BOM Cycle Calc'!$B:$B,A280,'BOM Cycle Calc'!$C:$C,B280)</f>
        <v/>
      </c>
      <c r="D280" s="0">
        <f>VLOOKUP(B280,'Item Tier Lookup'!$A:$B,2,FALSE)</f>
        <v/>
      </c>
      <c r="E280" s="0">
        <f>VLOOKUP(D280,'Tier Params'!$A:$B,2,FALSE)</f>
        <v/>
      </c>
      <c r="F280" s="0">
        <f>VLOOKUP(D280,'Tier Params'!$A:$C,3,FALSE)</f>
        <v/>
      </c>
      <c r="G280" s="0">
        <f>CEILING(C280/F280,1)</f>
        <v/>
      </c>
      <c r="H280" s="0">
        <f>G280*E280</f>
        <v/>
      </c>
    </row>
    <row r="281">
      <c r="A281" s="0" t="inlineStr">
        <is>
          <t>Structure Repair Facility</t>
        </is>
      </c>
      <c r="B281" s="0" t="inlineStr">
        <is>
          <t>Planetary Vehicles</t>
        </is>
      </c>
      <c r="C281" s="0">
        <f>SUMIFS('BOM Cycle Calc'!$D:$D,'BOM Cycle Calc'!$B:$B,A281,'BOM Cycle Calc'!$C:$C,B281)</f>
        <v/>
      </c>
      <c r="D281" s="0">
        <f>VLOOKUP(B281,'Item Tier Lookup'!$A:$B,2,FALSE)</f>
        <v/>
      </c>
      <c r="E281" s="0">
        <f>VLOOKUP(D281,'Tier Params'!$A:$B,2,FALSE)</f>
        <v/>
      </c>
      <c r="F281" s="0">
        <f>VLOOKUP(D281,'Tier Params'!$A:$C,3,FALSE)</f>
        <v/>
      </c>
      <c r="G281" s="0">
        <f>CEILING(C281/F281,1)</f>
        <v/>
      </c>
      <c r="H281" s="0">
        <f>G281*E281</f>
        <v/>
      </c>
    </row>
    <row r="282">
      <c r="A282" s="0" t="inlineStr">
        <is>
          <t>Structure Repair Facility</t>
        </is>
      </c>
      <c r="B282" s="0" t="inlineStr">
        <is>
          <t>Supertensile Plastics</t>
        </is>
      </c>
      <c r="C282" s="0">
        <f>SUMIFS('BOM Cycle Calc'!$D:$D,'BOM Cycle Calc'!$B:$B,A282,'BOM Cycle Calc'!$C:$C,B282)</f>
        <v/>
      </c>
      <c r="D282" s="0">
        <f>VLOOKUP(B282,'Item Tier Lookup'!$A:$B,2,FALSE)</f>
        <v/>
      </c>
      <c r="E282" s="0">
        <f>VLOOKUP(D282,'Tier Params'!$A:$B,2,FALSE)</f>
        <v/>
      </c>
      <c r="F282" s="0">
        <f>VLOOKUP(D282,'Tier Params'!$A:$C,3,FALSE)</f>
        <v/>
      </c>
      <c r="G282" s="0">
        <f>CEILING(C282/F282,1)</f>
        <v/>
      </c>
      <c r="H282" s="0">
        <f>G282*E282</f>
        <v/>
      </c>
    </row>
    <row r="283">
      <c r="A283" s="0" t="inlineStr">
        <is>
          <t>Structure Repair Facility</t>
        </is>
      </c>
      <c r="B283" s="0" t="inlineStr">
        <is>
          <t>Mechanical Parts</t>
        </is>
      </c>
      <c r="C283" s="0">
        <f>SUMIFS('BOM Cycle Calc'!$D:$D,'BOM Cycle Calc'!$B:$B,A283,'BOM Cycle Calc'!$C:$C,B283)</f>
        <v/>
      </c>
      <c r="D283" s="0">
        <f>VLOOKUP(B283,'Item Tier Lookup'!$A:$B,2,FALSE)</f>
        <v/>
      </c>
      <c r="E283" s="0">
        <f>VLOOKUP(D283,'Tier Params'!$A:$B,2,FALSE)</f>
        <v/>
      </c>
      <c r="F283" s="0">
        <f>VLOOKUP(D283,'Tier Params'!$A:$C,3,FALSE)</f>
        <v/>
      </c>
      <c r="G283" s="0">
        <f>CEILING(C283/F283,1)</f>
        <v/>
      </c>
      <c r="H283" s="0">
        <f>G283*E283</f>
        <v/>
      </c>
    </row>
    <row r="284">
      <c r="A284" s="0" t="inlineStr">
        <is>
          <t>Structure Repair Facility</t>
        </is>
      </c>
      <c r="B284" s="0" t="inlineStr">
        <is>
          <t>Reactive Metals</t>
        </is>
      </c>
      <c r="C284" s="0">
        <f>SUMIFS('BOM Cycle Calc'!$D:$D,'BOM Cycle Calc'!$B:$B,A284,'BOM Cycle Calc'!$C:$C,B284)</f>
        <v/>
      </c>
      <c r="D284" s="0">
        <f>VLOOKUP(B284,'Item Tier Lookup'!$A:$B,2,FALSE)</f>
        <v/>
      </c>
      <c r="E284" s="0">
        <f>VLOOKUP(D284,'Tier Params'!$A:$B,2,FALSE)</f>
        <v/>
      </c>
      <c r="F284" s="0">
        <f>VLOOKUP(D284,'Tier Params'!$A:$C,3,FALSE)</f>
        <v/>
      </c>
      <c r="G284" s="0">
        <f>CEILING(C284/F284,1)</f>
        <v/>
      </c>
      <c r="H284" s="0">
        <f>G284*E284</f>
        <v/>
      </c>
    </row>
    <row r="285">
      <c r="A285" s="0" t="inlineStr">
        <is>
          <t>Structure Repair Facility</t>
        </is>
      </c>
      <c r="B285" s="0" t="inlineStr">
        <is>
          <t>Base Metals</t>
        </is>
      </c>
      <c r="C285" s="0">
        <f>SUMIFS('BOM Cycle Calc'!$D:$D,'BOM Cycle Calc'!$B:$B,A285,'BOM Cycle Calc'!$C:$C,B285)</f>
        <v/>
      </c>
      <c r="D285" s="0">
        <f>VLOOKUP(B285,'Item Tier Lookup'!$A:$B,2,FALSE)</f>
        <v/>
      </c>
      <c r="E285" s="0">
        <f>VLOOKUP(D285,'Tier Params'!$A:$B,2,FALSE)</f>
        <v/>
      </c>
      <c r="F285" s="0">
        <f>VLOOKUP(D285,'Tier Params'!$A:$C,3,FALSE)</f>
        <v/>
      </c>
      <c r="G285" s="0">
        <f>CEILING(C285/F285,1)</f>
        <v/>
      </c>
      <c r="H285" s="0">
        <f>G285*E285</f>
        <v/>
      </c>
    </row>
    <row r="286">
      <c r="A286" s="0" t="inlineStr">
        <is>
          <t>Structure Repair Facility</t>
        </is>
      </c>
      <c r="B286" s="0" t="inlineStr">
        <is>
          <t>Miniature Electronics</t>
        </is>
      </c>
      <c r="C286" s="0">
        <f>SUMIFS('BOM Cycle Calc'!$D:$D,'BOM Cycle Calc'!$B:$B,A286,'BOM Cycle Calc'!$C:$C,B286)</f>
        <v/>
      </c>
      <c r="D286" s="0">
        <f>VLOOKUP(B286,'Item Tier Lookup'!$A:$B,2,FALSE)</f>
        <v/>
      </c>
      <c r="E286" s="0">
        <f>VLOOKUP(D286,'Tier Params'!$A:$B,2,FALSE)</f>
        <v/>
      </c>
      <c r="F286" s="0">
        <f>VLOOKUP(D286,'Tier Params'!$A:$C,3,FALSE)</f>
        <v/>
      </c>
      <c r="G286" s="0">
        <f>CEILING(C286/F286,1)</f>
        <v/>
      </c>
      <c r="H286" s="0">
        <f>G286*E286</f>
        <v/>
      </c>
    </row>
    <row r="287">
      <c r="A287" s="0" t="inlineStr">
        <is>
          <t>Structure Repair Facility</t>
        </is>
      </c>
      <c r="B287" s="0" t="inlineStr">
        <is>
          <t>Silicon</t>
        </is>
      </c>
      <c r="C287" s="0">
        <f>SUMIFS('BOM Cycle Calc'!$D:$D,'BOM Cycle Calc'!$B:$B,A287,'BOM Cycle Calc'!$C:$C,B287)</f>
        <v/>
      </c>
      <c r="D287" s="0">
        <f>VLOOKUP(B287,'Item Tier Lookup'!$A:$B,2,FALSE)</f>
        <v/>
      </c>
      <c r="E287" s="0">
        <f>VLOOKUP(D287,'Tier Params'!$A:$B,2,FALSE)</f>
        <v/>
      </c>
      <c r="F287" s="0">
        <f>VLOOKUP(D287,'Tier Params'!$A:$C,3,FALSE)</f>
        <v/>
      </c>
      <c r="G287" s="0">
        <f>CEILING(C287/F287,1)</f>
        <v/>
      </c>
      <c r="H287" s="0">
        <f>G287*E287</f>
        <v/>
      </c>
    </row>
    <row r="288">
      <c r="A288" s="0" t="inlineStr">
        <is>
          <t>Structure Repair Facility</t>
        </is>
      </c>
      <c r="B288" s="0" t="inlineStr">
        <is>
          <t>Felsic Magma</t>
        </is>
      </c>
      <c r="C288" s="0">
        <f>SUMIFS('BOM Cycle Calc'!$D:$D,'BOM Cycle Calc'!$B:$B,A288,'BOM Cycle Calc'!$C:$C,B288)</f>
        <v/>
      </c>
      <c r="D288" s="0">
        <f>VLOOKUP(B288,'Item Tier Lookup'!$A:$B,2,FALSE)</f>
        <v/>
      </c>
      <c r="E288" s="0">
        <f>VLOOKUP(D288,'Tier Params'!$A:$B,2,FALSE)</f>
        <v/>
      </c>
      <c r="F288" s="0">
        <f>VLOOKUP(D288,'Tier Params'!$A:$C,3,FALSE)</f>
        <v/>
      </c>
      <c r="G288" s="0">
        <f>CEILING(C288/F288,1)</f>
        <v/>
      </c>
      <c r="H288" s="0">
        <f>G288*E288</f>
        <v/>
      </c>
    </row>
    <row r="289">
      <c r="A289" s="0" t="inlineStr">
        <is>
          <t>Structure Repair Facility</t>
        </is>
      </c>
      <c r="B289" s="0" t="inlineStr">
        <is>
          <t>Nano-Factory</t>
        </is>
      </c>
      <c r="C289" s="0">
        <f>SUMIFS('BOM Cycle Calc'!$D:$D,'BOM Cycle Calc'!$B:$B,A289,'BOM Cycle Calc'!$C:$C,B289)</f>
        <v/>
      </c>
      <c r="D289" s="0">
        <f>VLOOKUP(B289,'Item Tier Lookup'!$A:$B,2,FALSE)</f>
        <v/>
      </c>
      <c r="E289" s="0">
        <f>VLOOKUP(D289,'Tier Params'!$A:$B,2,FALSE)</f>
        <v/>
      </c>
      <c r="F289" s="0">
        <f>VLOOKUP(D289,'Tier Params'!$A:$C,3,FALSE)</f>
        <v/>
      </c>
      <c r="G289" s="0">
        <f>CEILING(C289/F289,1)</f>
        <v/>
      </c>
      <c r="H289" s="0">
        <f>G289*E289</f>
        <v/>
      </c>
    </row>
    <row r="290">
      <c r="A290" s="0" t="inlineStr">
        <is>
          <t>Structure Repair Facility</t>
        </is>
      </c>
      <c r="B290" s="0" t="inlineStr">
        <is>
          <t>Industrial Explosives</t>
        </is>
      </c>
      <c r="C290" s="0">
        <f>SUMIFS('BOM Cycle Calc'!$D:$D,'BOM Cycle Calc'!$B:$B,A290,'BOM Cycle Calc'!$C:$C,B290)</f>
        <v/>
      </c>
      <c r="D290" s="0">
        <f>VLOOKUP(B290,'Item Tier Lookup'!$A:$B,2,FALSE)</f>
        <v/>
      </c>
      <c r="E290" s="0">
        <f>VLOOKUP(D290,'Tier Params'!$A:$B,2,FALSE)</f>
        <v/>
      </c>
      <c r="F290" s="0">
        <f>VLOOKUP(D290,'Tier Params'!$A:$C,3,FALSE)</f>
        <v/>
      </c>
      <c r="G290" s="0">
        <f>CEILING(C290/F290,1)</f>
        <v/>
      </c>
      <c r="H290" s="0">
        <f>G290*E290</f>
        <v/>
      </c>
    </row>
    <row r="291">
      <c r="A291" s="0" t="inlineStr">
        <is>
          <t>Structure Repair Facility</t>
        </is>
      </c>
      <c r="B291" s="0" t="inlineStr">
        <is>
          <t>Fertilizer</t>
        </is>
      </c>
      <c r="C291" s="0">
        <f>SUMIFS('BOM Cycle Calc'!$D:$D,'BOM Cycle Calc'!$B:$B,A291,'BOM Cycle Calc'!$C:$C,B291)</f>
        <v/>
      </c>
      <c r="D291" s="0">
        <f>VLOOKUP(B291,'Item Tier Lookup'!$A:$B,2,FALSE)</f>
        <v/>
      </c>
      <c r="E291" s="0">
        <f>VLOOKUP(D291,'Tier Params'!$A:$B,2,FALSE)</f>
        <v/>
      </c>
      <c r="F291" s="0">
        <f>VLOOKUP(D291,'Tier Params'!$A:$C,3,FALSE)</f>
        <v/>
      </c>
      <c r="G291" s="0">
        <f>CEILING(C291/F291,1)</f>
        <v/>
      </c>
      <c r="H291" s="0">
        <f>G291*E291</f>
        <v/>
      </c>
    </row>
    <row r="292">
      <c r="A292" s="0" t="inlineStr">
        <is>
          <t>Structure Repair Facility</t>
        </is>
      </c>
      <c r="B292" s="0" t="inlineStr">
        <is>
          <t>Proteins</t>
        </is>
      </c>
      <c r="C292" s="0">
        <f>SUMIFS('BOM Cycle Calc'!$D:$D,'BOM Cycle Calc'!$B:$B,A292,'BOM Cycle Calc'!$C:$C,B292)</f>
        <v/>
      </c>
      <c r="D292" s="0">
        <f>VLOOKUP(B292,'Item Tier Lookup'!$A:$B,2,FALSE)</f>
        <v/>
      </c>
      <c r="E292" s="0">
        <f>VLOOKUP(D292,'Tier Params'!$A:$B,2,FALSE)</f>
        <v/>
      </c>
      <c r="F292" s="0">
        <f>VLOOKUP(D292,'Tier Params'!$A:$C,3,FALSE)</f>
        <v/>
      </c>
      <c r="G292" s="0">
        <f>CEILING(C292/F292,1)</f>
        <v/>
      </c>
      <c r="H292" s="0">
        <f>G292*E292</f>
        <v/>
      </c>
    </row>
    <row r="293">
      <c r="A293" s="0" t="inlineStr">
        <is>
          <t>Structure Repair Facility</t>
        </is>
      </c>
      <c r="B293" s="0" t="inlineStr">
        <is>
          <t>Complex Organisms</t>
        </is>
      </c>
      <c r="C293" s="0">
        <f>SUMIFS('BOM Cycle Calc'!$D:$D,'BOM Cycle Calc'!$B:$B,A293,'BOM Cycle Calc'!$C:$C,B293)</f>
        <v/>
      </c>
      <c r="D293" s="0">
        <f>VLOOKUP(B293,'Item Tier Lookup'!$A:$B,2,FALSE)</f>
        <v/>
      </c>
      <c r="E293" s="0">
        <f>VLOOKUP(D293,'Tier Params'!$A:$B,2,FALSE)</f>
        <v/>
      </c>
      <c r="F293" s="0">
        <f>VLOOKUP(D293,'Tier Params'!$A:$C,3,FALSE)</f>
        <v/>
      </c>
      <c r="G293" s="0">
        <f>CEILING(C293/F293,1)</f>
        <v/>
      </c>
      <c r="H293" s="0">
        <f>G293*E293</f>
        <v/>
      </c>
    </row>
    <row r="294">
      <c r="A294" s="0" t="inlineStr">
        <is>
          <t>Structure Repair Facility</t>
        </is>
      </c>
      <c r="B294" s="0" t="inlineStr">
        <is>
          <t>Ukomi Superconductors</t>
        </is>
      </c>
      <c r="C294" s="0">
        <f>SUMIFS('BOM Cycle Calc'!$D:$D,'BOM Cycle Calc'!$B:$B,A294,'BOM Cycle Calc'!$C:$C,B294)</f>
        <v/>
      </c>
      <c r="D294" s="0">
        <f>VLOOKUP(B294,'Item Tier Lookup'!$A:$B,2,FALSE)</f>
        <v/>
      </c>
      <c r="E294" s="0">
        <f>VLOOKUP(D294,'Tier Params'!$A:$B,2,FALSE)</f>
        <v/>
      </c>
      <c r="F294" s="0">
        <f>VLOOKUP(D294,'Tier Params'!$A:$C,3,FALSE)</f>
        <v/>
      </c>
      <c r="G294" s="0">
        <f>CEILING(C294/F294,1)</f>
        <v/>
      </c>
      <c r="H294" s="0">
        <f>G294*E294</f>
        <v/>
      </c>
    </row>
    <row r="295">
      <c r="A295" s="0" t="inlineStr">
        <is>
          <t>Structure Repair Facility</t>
        </is>
      </c>
      <c r="B295" s="0" t="inlineStr">
        <is>
          <t>Synthetic Oil</t>
        </is>
      </c>
      <c r="C295" s="0">
        <f>SUMIFS('BOM Cycle Calc'!$D:$D,'BOM Cycle Calc'!$B:$B,A295,'BOM Cycle Calc'!$C:$C,B295)</f>
        <v/>
      </c>
      <c r="D295" s="0">
        <f>VLOOKUP(B295,'Item Tier Lookup'!$A:$B,2,FALSE)</f>
        <v/>
      </c>
      <c r="E295" s="0">
        <f>VLOOKUP(D295,'Tier Params'!$A:$B,2,FALSE)</f>
        <v/>
      </c>
      <c r="F295" s="0">
        <f>VLOOKUP(D295,'Tier Params'!$A:$C,3,FALSE)</f>
        <v/>
      </c>
      <c r="G295" s="0">
        <f>CEILING(C295/F295,1)</f>
        <v/>
      </c>
      <c r="H295" s="0">
        <f>G295*E295</f>
        <v/>
      </c>
    </row>
    <row r="296">
      <c r="A296" s="0" t="inlineStr">
        <is>
          <t>Structure Repair Facility</t>
        </is>
      </c>
      <c r="B296" s="0" t="inlineStr">
        <is>
          <t>Electrolytes</t>
        </is>
      </c>
      <c r="C296" s="0">
        <f>SUMIFS('BOM Cycle Calc'!$D:$D,'BOM Cycle Calc'!$B:$B,A296,'BOM Cycle Calc'!$C:$C,B296)</f>
        <v/>
      </c>
      <c r="D296" s="0">
        <f>VLOOKUP(B296,'Item Tier Lookup'!$A:$B,2,FALSE)</f>
        <v/>
      </c>
      <c r="E296" s="0">
        <f>VLOOKUP(D296,'Tier Params'!$A:$B,2,FALSE)</f>
        <v/>
      </c>
      <c r="F296" s="0">
        <f>VLOOKUP(D296,'Tier Params'!$A:$C,3,FALSE)</f>
        <v/>
      </c>
      <c r="G296" s="0">
        <f>CEILING(C296/F296,1)</f>
        <v/>
      </c>
      <c r="H296" s="0">
        <f>G296*E296</f>
        <v/>
      </c>
    </row>
    <row r="297">
      <c r="A297" s="0" t="inlineStr">
        <is>
          <t>Structure Repair Facility</t>
        </is>
      </c>
      <c r="B297" s="0" t="inlineStr">
        <is>
          <t>Ionic Solutions</t>
        </is>
      </c>
      <c r="C297" s="0">
        <f>SUMIFS('BOM Cycle Calc'!$D:$D,'BOM Cycle Calc'!$B:$B,A297,'BOM Cycle Calc'!$C:$C,B297)</f>
        <v/>
      </c>
      <c r="D297" s="0">
        <f>VLOOKUP(B297,'Item Tier Lookup'!$A:$B,2,FALSE)</f>
        <v/>
      </c>
      <c r="E297" s="0">
        <f>VLOOKUP(D297,'Tier Params'!$A:$B,2,FALSE)</f>
        <v/>
      </c>
      <c r="F297" s="0">
        <f>VLOOKUP(D297,'Tier Params'!$A:$C,3,FALSE)</f>
        <v/>
      </c>
      <c r="G297" s="0">
        <f>CEILING(C297/F297,1)</f>
        <v/>
      </c>
      <c r="H297" s="0">
        <f>G297*E297</f>
        <v/>
      </c>
    </row>
    <row r="298">
      <c r="A298" s="0" t="inlineStr">
        <is>
          <t>Structure Repair Facility</t>
        </is>
      </c>
      <c r="B298" s="0" t="inlineStr">
        <is>
          <t>Organic Mortar Applicators</t>
        </is>
      </c>
      <c r="C298" s="0">
        <f>SUMIFS('BOM Cycle Calc'!$D:$D,'BOM Cycle Calc'!$B:$B,A298,'BOM Cycle Calc'!$C:$C,B298)</f>
        <v/>
      </c>
      <c r="D298" s="0">
        <f>VLOOKUP(B298,'Item Tier Lookup'!$A:$B,2,FALSE)</f>
        <v/>
      </c>
      <c r="E298" s="0">
        <f>VLOOKUP(D298,'Tier Params'!$A:$B,2,FALSE)</f>
        <v/>
      </c>
      <c r="F298" s="0">
        <f>VLOOKUP(D298,'Tier Params'!$A:$C,3,FALSE)</f>
        <v/>
      </c>
      <c r="G298" s="0">
        <f>CEILING(C298/F298,1)</f>
        <v/>
      </c>
      <c r="H298" s="0">
        <f>G298*E298</f>
        <v/>
      </c>
    </row>
    <row r="299">
      <c r="A299" s="0" t="inlineStr">
        <is>
          <t>Structure Repair Facility</t>
        </is>
      </c>
      <c r="B299" s="0" t="inlineStr">
        <is>
          <t>Condensates</t>
        </is>
      </c>
      <c r="C299" s="0">
        <f>SUMIFS('BOM Cycle Calc'!$D:$D,'BOM Cycle Calc'!$B:$B,A299,'BOM Cycle Calc'!$C:$C,B299)</f>
        <v/>
      </c>
      <c r="D299" s="0">
        <f>VLOOKUP(B299,'Item Tier Lookup'!$A:$B,2,FALSE)</f>
        <v/>
      </c>
      <c r="E299" s="0">
        <f>VLOOKUP(D299,'Tier Params'!$A:$B,2,FALSE)</f>
        <v/>
      </c>
      <c r="F299" s="0">
        <f>VLOOKUP(D299,'Tier Params'!$A:$C,3,FALSE)</f>
        <v/>
      </c>
      <c r="G299" s="0">
        <f>CEILING(C299/F299,1)</f>
        <v/>
      </c>
      <c r="H299" s="0">
        <f>G299*E299</f>
        <v/>
      </c>
    </row>
    <row r="300">
      <c r="A300" s="0" t="inlineStr">
        <is>
          <t>Structure Repair Facility</t>
        </is>
      </c>
      <c r="B300" s="0" t="inlineStr">
        <is>
          <t>Coolant</t>
        </is>
      </c>
      <c r="C300" s="0">
        <f>SUMIFS('BOM Cycle Calc'!$D:$D,'BOM Cycle Calc'!$B:$B,A300,'BOM Cycle Calc'!$C:$C,B300)</f>
        <v/>
      </c>
      <c r="D300" s="0">
        <f>VLOOKUP(B300,'Item Tier Lookup'!$A:$B,2,FALSE)</f>
        <v/>
      </c>
      <c r="E300" s="0">
        <f>VLOOKUP(D300,'Tier Params'!$A:$B,2,FALSE)</f>
        <v/>
      </c>
      <c r="F300" s="0">
        <f>VLOOKUP(D300,'Tier Params'!$A:$C,3,FALSE)</f>
        <v/>
      </c>
      <c r="G300" s="0">
        <f>CEILING(C300/F300,1)</f>
        <v/>
      </c>
      <c r="H300" s="0">
        <f>G300*E300</f>
        <v/>
      </c>
    </row>
    <row r="301">
      <c r="A301" s="0" t="inlineStr">
        <is>
          <t>Structure Repair Facility</t>
        </is>
      </c>
      <c r="B301" s="0" t="inlineStr">
        <is>
          <t>Robotics</t>
        </is>
      </c>
      <c r="C301" s="0">
        <f>SUMIFS('BOM Cycle Calc'!$D:$D,'BOM Cycle Calc'!$B:$B,A301,'BOM Cycle Calc'!$C:$C,B301)</f>
        <v/>
      </c>
      <c r="D301" s="0">
        <f>VLOOKUP(B301,'Item Tier Lookup'!$A:$B,2,FALSE)</f>
        <v/>
      </c>
      <c r="E301" s="0">
        <f>VLOOKUP(D301,'Tier Params'!$A:$B,2,FALSE)</f>
        <v/>
      </c>
      <c r="F301" s="0">
        <f>VLOOKUP(D301,'Tier Params'!$A:$C,3,FALSE)</f>
        <v/>
      </c>
      <c r="G301" s="0">
        <f>CEILING(C301/F301,1)</f>
        <v/>
      </c>
      <c r="H301" s="0">
        <f>G301*E301</f>
        <v/>
      </c>
    </row>
    <row r="302">
      <c r="A302" s="0" t="inlineStr">
        <is>
          <t>Structure Repair Facility</t>
        </is>
      </c>
      <c r="B302" s="0" t="inlineStr">
        <is>
          <t>Consumer Electronics</t>
        </is>
      </c>
      <c r="C302" s="0">
        <f>SUMIFS('BOM Cycle Calc'!$D:$D,'BOM Cycle Calc'!$B:$B,A302,'BOM Cycle Calc'!$C:$C,B302)</f>
        <v/>
      </c>
      <c r="D302" s="0">
        <f>VLOOKUP(B302,'Item Tier Lookup'!$A:$B,2,FALSE)</f>
        <v/>
      </c>
      <c r="E302" s="0">
        <f>VLOOKUP(D302,'Tier Params'!$A:$B,2,FALSE)</f>
        <v/>
      </c>
      <c r="F302" s="0">
        <f>VLOOKUP(D302,'Tier Params'!$A:$C,3,FALSE)</f>
        <v/>
      </c>
      <c r="G302" s="0">
        <f>CEILING(C302/F302,1)</f>
        <v/>
      </c>
      <c r="H302" s="0">
        <f>G302*E302</f>
        <v/>
      </c>
    </row>
    <row r="303">
      <c r="A303" s="0" t="inlineStr">
        <is>
          <t>Structure Repair Facility</t>
        </is>
      </c>
      <c r="B303" s="0" t="inlineStr">
        <is>
          <t>Toxic Metals</t>
        </is>
      </c>
      <c r="C303" s="0">
        <f>SUMIFS('BOM Cycle Calc'!$D:$D,'BOM Cycle Calc'!$B:$B,A303,'BOM Cycle Calc'!$C:$C,B303)</f>
        <v/>
      </c>
      <c r="D303" s="0">
        <f>VLOOKUP(B303,'Item Tier Lookup'!$A:$B,2,FALSE)</f>
        <v/>
      </c>
      <c r="E303" s="0">
        <f>VLOOKUP(D303,'Tier Params'!$A:$B,2,FALSE)</f>
        <v/>
      </c>
      <c r="F303" s="0">
        <f>VLOOKUP(D303,'Tier Params'!$A:$C,3,FALSE)</f>
        <v/>
      </c>
      <c r="G303" s="0">
        <f>CEILING(C303/F303,1)</f>
        <v/>
      </c>
      <c r="H303" s="0">
        <f>G303*E303</f>
        <v/>
      </c>
    </row>
    <row r="304">
      <c r="A304" s="0" t="inlineStr">
        <is>
          <t>Structure Repair Facility</t>
        </is>
      </c>
      <c r="B304" s="0" t="inlineStr">
        <is>
          <t>Heavy Metals</t>
        </is>
      </c>
      <c r="C304" s="0">
        <f>SUMIFS('BOM Cycle Calc'!$D:$D,'BOM Cycle Calc'!$B:$B,A304,'BOM Cycle Calc'!$C:$C,B304)</f>
        <v/>
      </c>
      <c r="D304" s="0">
        <f>VLOOKUP(B304,'Item Tier Lookup'!$A:$B,2,FALSE)</f>
        <v/>
      </c>
      <c r="E304" s="0">
        <f>VLOOKUP(D304,'Tier Params'!$A:$B,2,FALSE)</f>
        <v/>
      </c>
      <c r="F304" s="0">
        <f>VLOOKUP(D304,'Tier Params'!$A:$C,3,FALSE)</f>
        <v/>
      </c>
      <c r="G304" s="0">
        <f>CEILING(C304/F304,1)</f>
        <v/>
      </c>
      <c r="H304" s="0">
        <f>G304*E304</f>
        <v/>
      </c>
    </row>
    <row r="305">
      <c r="A305" s="0" t="inlineStr">
        <is>
          <t>Structure Repair Facility</t>
        </is>
      </c>
      <c r="B305" s="0" t="inlineStr">
        <is>
          <t>Recursive Computing Module</t>
        </is>
      </c>
      <c r="C305" s="0">
        <f>SUMIFS('BOM Cycle Calc'!$D:$D,'BOM Cycle Calc'!$B:$B,A305,'BOM Cycle Calc'!$C:$C,B305)</f>
        <v/>
      </c>
      <c r="D305" s="0">
        <f>VLOOKUP(B305,'Item Tier Lookup'!$A:$B,2,FALSE)</f>
        <v/>
      </c>
      <c r="E305" s="0">
        <f>VLOOKUP(D305,'Tier Params'!$A:$B,2,FALSE)</f>
        <v/>
      </c>
      <c r="F305" s="0">
        <f>VLOOKUP(D305,'Tier Params'!$A:$C,3,FALSE)</f>
        <v/>
      </c>
      <c r="G305" s="0">
        <f>CEILING(C305/F305,1)</f>
        <v/>
      </c>
      <c r="H305" s="0">
        <f>G305*E305</f>
        <v/>
      </c>
    </row>
    <row r="306">
      <c r="A306" s="0" t="inlineStr">
        <is>
          <t>Structure Repair Facility</t>
        </is>
      </c>
      <c r="B306" s="0" t="inlineStr">
        <is>
          <t>Synthetic Synapses</t>
        </is>
      </c>
      <c r="C306" s="0">
        <f>SUMIFS('BOM Cycle Calc'!$D:$D,'BOM Cycle Calc'!$B:$B,A306,'BOM Cycle Calc'!$C:$C,B306)</f>
        <v/>
      </c>
      <c r="D306" s="0">
        <f>VLOOKUP(B306,'Item Tier Lookup'!$A:$B,2,FALSE)</f>
        <v/>
      </c>
      <c r="E306" s="0">
        <f>VLOOKUP(D306,'Tier Params'!$A:$B,2,FALSE)</f>
        <v/>
      </c>
      <c r="F306" s="0">
        <f>VLOOKUP(D306,'Tier Params'!$A:$C,3,FALSE)</f>
        <v/>
      </c>
      <c r="G306" s="0">
        <f>CEILING(C306/F306,1)</f>
        <v/>
      </c>
      <c r="H306" s="0">
        <f>G306*E306</f>
        <v/>
      </c>
    </row>
    <row r="307">
      <c r="A307" s="0" t="inlineStr">
        <is>
          <t>Structure Repair Facility</t>
        </is>
      </c>
      <c r="B307" s="0" t="inlineStr">
        <is>
          <t>Test Cultures</t>
        </is>
      </c>
      <c r="C307" s="0">
        <f>SUMIFS('BOM Cycle Calc'!$D:$D,'BOM Cycle Calc'!$B:$B,A307,'BOM Cycle Calc'!$C:$C,B307)</f>
        <v/>
      </c>
      <c r="D307" s="0">
        <f>VLOOKUP(B307,'Item Tier Lookup'!$A:$B,2,FALSE)</f>
        <v/>
      </c>
      <c r="E307" s="0">
        <f>VLOOKUP(D307,'Tier Params'!$A:$B,2,FALSE)</f>
        <v/>
      </c>
      <c r="F307" s="0">
        <f>VLOOKUP(D307,'Tier Params'!$A:$C,3,FALSE)</f>
        <v/>
      </c>
      <c r="G307" s="0">
        <f>CEILING(C307/F307,1)</f>
        <v/>
      </c>
      <c r="H307" s="0">
        <f>G307*E307</f>
        <v/>
      </c>
    </row>
    <row r="308">
      <c r="A308" s="0" t="inlineStr">
        <is>
          <t>Structure Repair Facility</t>
        </is>
      </c>
      <c r="B308" s="0" t="inlineStr">
        <is>
          <t>Transcranial Microcontrollers</t>
        </is>
      </c>
      <c r="C308" s="0">
        <f>SUMIFS('BOM Cycle Calc'!$D:$D,'BOM Cycle Calc'!$B:$B,A308,'BOM Cycle Calc'!$C:$C,B308)</f>
        <v/>
      </c>
      <c r="D308" s="0">
        <f>VLOOKUP(B308,'Item Tier Lookup'!$A:$B,2,FALSE)</f>
        <v/>
      </c>
      <c r="E308" s="0">
        <f>VLOOKUP(D308,'Tier Params'!$A:$B,2,FALSE)</f>
        <v/>
      </c>
      <c r="F308" s="0">
        <f>VLOOKUP(D308,'Tier Params'!$A:$C,3,FALSE)</f>
        <v/>
      </c>
      <c r="G308" s="0">
        <f>CEILING(C308/F308,1)</f>
        <v/>
      </c>
      <c r="H308" s="0">
        <f>G308*E308</f>
        <v/>
      </c>
    </row>
    <row r="309">
      <c r="A309" s="0" t="inlineStr">
        <is>
          <t>Structure Repair Facility</t>
        </is>
      </c>
      <c r="B309" s="0" t="inlineStr">
        <is>
          <t>Nanites</t>
        </is>
      </c>
      <c r="C309" s="0">
        <f>SUMIFS('BOM Cycle Calc'!$D:$D,'BOM Cycle Calc'!$B:$B,A309,'BOM Cycle Calc'!$C:$C,B309)</f>
        <v/>
      </c>
      <c r="D309" s="0">
        <f>VLOOKUP(B309,'Item Tier Lookup'!$A:$B,2,FALSE)</f>
        <v/>
      </c>
      <c r="E309" s="0">
        <f>VLOOKUP(D309,'Tier Params'!$A:$B,2,FALSE)</f>
        <v/>
      </c>
      <c r="F309" s="0">
        <f>VLOOKUP(D309,'Tier Params'!$A:$C,3,FALSE)</f>
        <v/>
      </c>
      <c r="G309" s="0">
        <f>CEILING(C309/F309,1)</f>
        <v/>
      </c>
      <c r="H309" s="0">
        <f>G309*E309</f>
        <v/>
      </c>
    </row>
    <row r="310">
      <c r="A310" s="0" t="inlineStr">
        <is>
          <t>Structure Repair Facility</t>
        </is>
      </c>
      <c r="B310" s="0" t="inlineStr">
        <is>
          <t>Guidance Systems</t>
        </is>
      </c>
      <c r="C310" s="0">
        <f>SUMIFS('BOM Cycle Calc'!$D:$D,'BOM Cycle Calc'!$B:$B,A310,'BOM Cycle Calc'!$C:$C,B310)</f>
        <v/>
      </c>
      <c r="D310" s="0">
        <f>VLOOKUP(B310,'Item Tier Lookup'!$A:$B,2,FALSE)</f>
        <v/>
      </c>
      <c r="E310" s="0">
        <f>VLOOKUP(D310,'Tier Params'!$A:$B,2,FALSE)</f>
        <v/>
      </c>
      <c r="F310" s="0">
        <f>VLOOKUP(D310,'Tier Params'!$A:$C,3,FALSE)</f>
        <v/>
      </c>
      <c r="G310" s="0">
        <f>CEILING(C310/F310,1)</f>
        <v/>
      </c>
      <c r="H310" s="0">
        <f>G310*E310</f>
        <v/>
      </c>
    </row>
    <row r="311">
      <c r="A311" s="0" t="inlineStr">
        <is>
          <t>Structure Repair Facility</t>
        </is>
      </c>
      <c r="B311" s="0" t="inlineStr">
        <is>
          <t>Water-Cooled CPU</t>
        </is>
      </c>
      <c r="C311" s="0">
        <f>SUMIFS('BOM Cycle Calc'!$D:$D,'BOM Cycle Calc'!$B:$B,A311,'BOM Cycle Calc'!$C:$C,B311)</f>
        <v/>
      </c>
      <c r="D311" s="0">
        <f>VLOOKUP(B311,'Item Tier Lookup'!$A:$B,2,FALSE)</f>
        <v/>
      </c>
      <c r="E311" s="0">
        <f>VLOOKUP(D311,'Tier Params'!$A:$B,2,FALSE)</f>
        <v/>
      </c>
      <c r="F311" s="0">
        <f>VLOOKUP(D311,'Tier Params'!$A:$C,3,FALSE)</f>
        <v/>
      </c>
      <c r="G311" s="0">
        <f>CEILING(C311/F311,1)</f>
        <v/>
      </c>
      <c r="H311" s="0">
        <f>G311*E311</f>
        <v/>
      </c>
    </row>
    <row r="312">
      <c r="A312" s="0" t="inlineStr">
        <is>
          <t>Structure Repair Facility</t>
        </is>
      </c>
      <c r="B312" s="0" t="inlineStr">
        <is>
          <t>Self-Harmonizing Power Core</t>
        </is>
      </c>
      <c r="C312" s="0">
        <f>SUMIFS('BOM Cycle Calc'!$D:$D,'BOM Cycle Calc'!$B:$B,A312,'BOM Cycle Calc'!$C:$C,B312)</f>
        <v/>
      </c>
      <c r="D312" s="0">
        <f>VLOOKUP(B312,'Item Tier Lookup'!$A:$B,2,FALSE)</f>
        <v/>
      </c>
      <c r="E312" s="0">
        <f>VLOOKUP(D312,'Tier Params'!$A:$B,2,FALSE)</f>
        <v/>
      </c>
      <c r="F312" s="0">
        <f>VLOOKUP(D312,'Tier Params'!$A:$C,3,FALSE)</f>
        <v/>
      </c>
      <c r="G312" s="0">
        <f>CEILING(C312/F312,1)</f>
        <v/>
      </c>
      <c r="H312" s="0">
        <f>G312*E312</f>
        <v/>
      </c>
    </row>
    <row r="313">
      <c r="A313" s="0" t="inlineStr">
        <is>
          <t>Structure Repair Facility</t>
        </is>
      </c>
      <c r="B313" s="0" t="inlineStr">
        <is>
          <t>Nuclear Reactors</t>
        </is>
      </c>
      <c r="C313" s="0">
        <f>SUMIFS('BOM Cycle Calc'!$D:$D,'BOM Cycle Calc'!$B:$B,A313,'BOM Cycle Calc'!$C:$C,B313)</f>
        <v/>
      </c>
      <c r="D313" s="0">
        <f>VLOOKUP(B313,'Item Tier Lookup'!$A:$B,2,FALSE)</f>
        <v/>
      </c>
      <c r="E313" s="0">
        <f>VLOOKUP(D313,'Tier Params'!$A:$B,2,FALSE)</f>
        <v/>
      </c>
      <c r="F313" s="0">
        <f>VLOOKUP(D313,'Tier Params'!$A:$C,3,FALSE)</f>
        <v/>
      </c>
      <c r="G313" s="0">
        <f>CEILING(C313/F313,1)</f>
        <v/>
      </c>
      <c r="H313" s="0">
        <f>G313*E313</f>
        <v/>
      </c>
    </row>
    <row r="314">
      <c r="A314" s="0" t="inlineStr">
        <is>
          <t>Structure Repair Facility</t>
        </is>
      </c>
      <c r="B314" s="0" t="inlineStr">
        <is>
          <t>Enriched Uranium</t>
        </is>
      </c>
      <c r="C314" s="0">
        <f>SUMIFS('BOM Cycle Calc'!$D:$D,'BOM Cycle Calc'!$B:$B,A314,'BOM Cycle Calc'!$C:$C,B314)</f>
        <v/>
      </c>
      <c r="D314" s="0">
        <f>VLOOKUP(B314,'Item Tier Lookup'!$A:$B,2,FALSE)</f>
        <v/>
      </c>
      <c r="E314" s="0">
        <f>VLOOKUP(D314,'Tier Params'!$A:$B,2,FALSE)</f>
        <v/>
      </c>
      <c r="F314" s="0">
        <f>VLOOKUP(D314,'Tier Params'!$A:$C,3,FALSE)</f>
        <v/>
      </c>
      <c r="G314" s="0">
        <f>CEILING(C314/F314,1)</f>
        <v/>
      </c>
      <c r="H314" s="0">
        <f>G314*E314</f>
        <v/>
      </c>
    </row>
    <row r="315">
      <c r="A315" s="0" t="inlineStr">
        <is>
          <t>Structure Repair Facility</t>
        </is>
      </c>
      <c r="B315" s="0" t="inlineStr">
        <is>
          <t>Microfiber Shielding</t>
        </is>
      </c>
      <c r="C315" s="0">
        <f>SUMIFS('BOM Cycle Calc'!$D:$D,'BOM Cycle Calc'!$B:$B,A315,'BOM Cycle Calc'!$C:$C,B315)</f>
        <v/>
      </c>
      <c r="D315" s="0">
        <f>VLOOKUP(B315,'Item Tier Lookup'!$A:$B,2,FALSE)</f>
        <v/>
      </c>
      <c r="E315" s="0">
        <f>VLOOKUP(D315,'Tier Params'!$A:$B,2,FALSE)</f>
        <v/>
      </c>
      <c r="F315" s="0">
        <f>VLOOKUP(D315,'Tier Params'!$A:$C,3,FALSE)</f>
        <v/>
      </c>
      <c r="G315" s="0">
        <f>CEILING(C315/F315,1)</f>
        <v/>
      </c>
      <c r="H315" s="0">
        <f>G315*E315</f>
        <v/>
      </c>
    </row>
    <row r="316">
      <c r="A316" s="0" t="inlineStr">
        <is>
          <t>Structure Repair Facility</t>
        </is>
      </c>
      <c r="B316" s="0" t="inlineStr">
        <is>
          <t>Camera Drones</t>
        </is>
      </c>
      <c r="C316" s="0">
        <f>SUMIFS('BOM Cycle Calc'!$D:$D,'BOM Cycle Calc'!$B:$B,A316,'BOM Cycle Calc'!$C:$C,B316)</f>
        <v/>
      </c>
      <c r="D316" s="0">
        <f>VLOOKUP(B316,'Item Tier Lookup'!$A:$B,2,FALSE)</f>
        <v/>
      </c>
      <c r="E316" s="0">
        <f>VLOOKUP(D316,'Tier Params'!$A:$B,2,FALSE)</f>
        <v/>
      </c>
      <c r="F316" s="0">
        <f>VLOOKUP(D316,'Tier Params'!$A:$C,3,FALSE)</f>
        <v/>
      </c>
      <c r="G316" s="0">
        <f>CEILING(C316/F316,1)</f>
        <v/>
      </c>
      <c r="H316" s="0">
        <f>G316*E316</f>
        <v/>
      </c>
    </row>
    <row r="317">
      <c r="A317" s="0" t="inlineStr">
        <is>
          <t>Structure Repair Facility</t>
        </is>
      </c>
      <c r="B317" s="0" t="inlineStr">
        <is>
          <t>Rocket Fuel</t>
        </is>
      </c>
      <c r="C317" s="0">
        <f>SUMIFS('BOM Cycle Calc'!$D:$D,'BOM Cycle Calc'!$B:$B,A317,'BOM Cycle Calc'!$C:$C,B317)</f>
        <v/>
      </c>
      <c r="D317" s="0">
        <f>VLOOKUP(B317,'Item Tier Lookup'!$A:$B,2,FALSE)</f>
        <v/>
      </c>
      <c r="E317" s="0">
        <f>VLOOKUP(D317,'Tier Params'!$A:$B,2,FALSE)</f>
        <v/>
      </c>
      <c r="F317" s="0">
        <f>VLOOKUP(D317,'Tier Params'!$A:$C,3,FALSE)</f>
        <v/>
      </c>
      <c r="G317" s="0">
        <f>CEILING(C317/F317,1)</f>
        <v/>
      </c>
      <c r="H317" s="0">
        <f>G317*E317</f>
        <v/>
      </c>
    </row>
    <row r="318">
      <c r="A318" s="0" t="inlineStr">
        <is>
          <t>Structure Repair Facility</t>
        </is>
      </c>
      <c r="B318" s="0" t="inlineStr">
        <is>
          <t>Silicate Glass</t>
        </is>
      </c>
      <c r="C318" s="0">
        <f>SUMIFS('BOM Cycle Calc'!$D:$D,'BOM Cycle Calc'!$B:$B,A318,'BOM Cycle Calc'!$C:$C,B318)</f>
        <v/>
      </c>
      <c r="D318" s="0">
        <f>VLOOKUP(B318,'Item Tier Lookup'!$A:$B,2,FALSE)</f>
        <v/>
      </c>
      <c r="E318" s="0">
        <f>VLOOKUP(D318,'Tier Params'!$A:$B,2,FALSE)</f>
        <v/>
      </c>
      <c r="F318" s="0">
        <f>VLOOKUP(D318,'Tier Params'!$A:$C,3,FALSE)</f>
        <v/>
      </c>
      <c r="G318" s="0">
        <f>CEILING(C318/F318,1)</f>
        <v/>
      </c>
      <c r="H318" s="0">
        <f>G318*E318</f>
        <v/>
      </c>
    </row>
    <row r="319">
      <c r="A319" s="0" t="inlineStr">
        <is>
          <t>Structure Repair Facility</t>
        </is>
      </c>
      <c r="B319" s="0" t="inlineStr">
        <is>
          <t>Hermetic Membranes</t>
        </is>
      </c>
      <c r="C319" s="0">
        <f>SUMIFS('BOM Cycle Calc'!$D:$D,'BOM Cycle Calc'!$B:$B,A319,'BOM Cycle Calc'!$C:$C,B319)</f>
        <v/>
      </c>
      <c r="D319" s="0">
        <f>VLOOKUP(B319,'Item Tier Lookup'!$A:$B,2,FALSE)</f>
        <v/>
      </c>
      <c r="E319" s="0">
        <f>VLOOKUP(D319,'Tier Params'!$A:$B,2,FALSE)</f>
        <v/>
      </c>
      <c r="F319" s="0">
        <f>VLOOKUP(D319,'Tier Params'!$A:$C,3,FALSE)</f>
        <v/>
      </c>
      <c r="G319" s="0">
        <f>CEILING(C319/F319,1)</f>
        <v/>
      </c>
      <c r="H319" s="0">
        <f>G319*E319</f>
        <v/>
      </c>
    </row>
    <row r="320">
      <c r="A320" s="0" t="inlineStr">
        <is>
          <t>Structure Repair Facility</t>
        </is>
      </c>
      <c r="B320" s="0" t="inlineStr">
        <is>
          <t>Polyaramids</t>
        </is>
      </c>
      <c r="C320" s="0">
        <f>SUMIFS('BOM Cycle Calc'!$D:$D,'BOM Cycle Calc'!$B:$B,A320,'BOM Cycle Calc'!$C:$C,B320)</f>
        <v/>
      </c>
      <c r="D320" s="0">
        <f>VLOOKUP(B320,'Item Tier Lookup'!$A:$B,2,FALSE)</f>
        <v/>
      </c>
      <c r="E320" s="0">
        <f>VLOOKUP(D320,'Tier Params'!$A:$B,2,FALSE)</f>
        <v/>
      </c>
      <c r="F320" s="0">
        <f>VLOOKUP(D320,'Tier Params'!$A:$C,3,FALSE)</f>
        <v/>
      </c>
      <c r="G320" s="0">
        <f>CEILING(C320/F320,1)</f>
        <v/>
      </c>
      <c r="H320" s="0">
        <f>G320*E320</f>
        <v/>
      </c>
    </row>
    <row r="321">
      <c r="A321" s="0" t="inlineStr">
        <is>
          <t>Structure Repair Facility</t>
        </is>
      </c>
      <c r="B321" s="0" t="inlineStr">
        <is>
          <t>Genetically Enhanced Livestock</t>
        </is>
      </c>
      <c r="C321" s="0">
        <f>SUMIFS('BOM Cycle Calc'!$D:$D,'BOM Cycle Calc'!$B:$B,A321,'BOM Cycle Calc'!$C:$C,B321)</f>
        <v/>
      </c>
      <c r="D321" s="0">
        <f>VLOOKUP(B321,'Item Tier Lookup'!$A:$B,2,FALSE)</f>
        <v/>
      </c>
      <c r="E321" s="0">
        <f>VLOOKUP(D321,'Tier Params'!$A:$B,2,FALSE)</f>
        <v/>
      </c>
      <c r="F321" s="0">
        <f>VLOOKUP(D321,'Tier Params'!$A:$C,3,FALSE)</f>
        <v/>
      </c>
      <c r="G321" s="0">
        <f>CEILING(C321/F321,1)</f>
        <v/>
      </c>
      <c r="H321" s="0">
        <f>G321*E321</f>
        <v/>
      </c>
    </row>
    <row r="322">
      <c r="A322" s="0" t="inlineStr">
        <is>
          <t>Structure Repair Facility</t>
        </is>
      </c>
      <c r="B322" s="0" t="inlineStr">
        <is>
          <t>Sterile Conduits</t>
        </is>
      </c>
      <c r="C322" s="0">
        <f>SUMIFS('BOM Cycle Calc'!$D:$D,'BOM Cycle Calc'!$B:$B,A322,'BOM Cycle Calc'!$C:$C,B322)</f>
        <v/>
      </c>
      <c r="D322" s="0">
        <f>VLOOKUP(B322,'Item Tier Lookup'!$A:$B,2,FALSE)</f>
        <v/>
      </c>
      <c r="E322" s="0">
        <f>VLOOKUP(D322,'Tier Params'!$A:$B,2,FALSE)</f>
        <v/>
      </c>
      <c r="F322" s="0">
        <f>VLOOKUP(D322,'Tier Params'!$A:$C,3,FALSE)</f>
        <v/>
      </c>
      <c r="G322" s="0">
        <f>CEILING(C322/F322,1)</f>
        <v/>
      </c>
      <c r="H322" s="0">
        <f>G322*E322</f>
        <v/>
      </c>
    </row>
    <row r="323">
      <c r="A323" s="0" t="inlineStr">
        <is>
          <t>Structure Repair Facility</t>
        </is>
      </c>
      <c r="B323" s="0" t="inlineStr">
        <is>
          <t>Vaccines</t>
        </is>
      </c>
      <c r="C323" s="0">
        <f>SUMIFS('BOM Cycle Calc'!$D:$D,'BOM Cycle Calc'!$B:$B,A323,'BOM Cycle Calc'!$C:$C,B323)</f>
        <v/>
      </c>
      <c r="D323" s="0">
        <f>VLOOKUP(B323,'Item Tier Lookup'!$A:$B,2,FALSE)</f>
        <v/>
      </c>
      <c r="E323" s="0">
        <f>VLOOKUP(D323,'Tier Params'!$A:$B,2,FALSE)</f>
        <v/>
      </c>
      <c r="F323" s="0">
        <f>VLOOKUP(D323,'Tier Params'!$A:$C,3,FALSE)</f>
        <v/>
      </c>
      <c r="G323" s="0">
        <f>CEILING(C323/F323,1)</f>
        <v/>
      </c>
      <c r="H323" s="0">
        <f>G323*E323</f>
        <v/>
      </c>
    </row>
    <row r="324">
      <c r="A324" s="0" t="inlineStr">
        <is>
          <t>Structure Repair Facility</t>
        </is>
      </c>
      <c r="B324" s="0" t="inlineStr">
        <is>
          <t>Livestock</t>
        </is>
      </c>
      <c r="C324" s="0">
        <f>SUMIFS('BOM Cycle Calc'!$D:$D,'BOM Cycle Calc'!$B:$B,A324,'BOM Cycle Calc'!$C:$C,B324)</f>
        <v/>
      </c>
      <c r="D324" s="0">
        <f>VLOOKUP(B324,'Item Tier Lookup'!$A:$B,2,FALSE)</f>
        <v/>
      </c>
      <c r="E324" s="0">
        <f>VLOOKUP(D324,'Tier Params'!$A:$B,2,FALSE)</f>
        <v/>
      </c>
      <c r="F324" s="0">
        <f>VLOOKUP(D324,'Tier Params'!$A:$C,3,FALSE)</f>
        <v/>
      </c>
      <c r="G324" s="0">
        <f>CEILING(C324/F324,1)</f>
        <v/>
      </c>
      <c r="H324" s="0">
        <f>G324*E324</f>
        <v/>
      </c>
    </row>
    <row r="325">
      <c r="A325" s="0" t="inlineStr">
        <is>
          <t>Structure Repair Facility</t>
        </is>
      </c>
      <c r="B325" s="0" t="inlineStr">
        <is>
          <t>Smartfab Units</t>
        </is>
      </c>
      <c r="C325" s="0">
        <f>SUMIFS('BOM Cycle Calc'!$D:$D,'BOM Cycle Calc'!$B:$B,A325,'BOM Cycle Calc'!$C:$C,B325)</f>
        <v/>
      </c>
      <c r="D325" s="0">
        <f>VLOOKUP(B325,'Item Tier Lookup'!$A:$B,2,FALSE)</f>
        <v/>
      </c>
      <c r="E325" s="0">
        <f>VLOOKUP(D325,'Tier Params'!$A:$B,2,FALSE)</f>
        <v/>
      </c>
      <c r="F325" s="0">
        <f>VLOOKUP(D325,'Tier Params'!$A:$C,3,FALSE)</f>
        <v/>
      </c>
      <c r="G325" s="0">
        <f>CEILING(C325/F325,1)</f>
        <v/>
      </c>
      <c r="H325" s="0">
        <f>G325*E325</f>
        <v/>
      </c>
    </row>
    <row r="326">
      <c r="A326" s="0" t="inlineStr">
        <is>
          <t>Structure Repair Facility</t>
        </is>
      </c>
      <c r="B326" s="0" t="inlineStr">
        <is>
          <t>Construction Blocks</t>
        </is>
      </c>
      <c r="C326" s="0">
        <f>SUMIFS('BOM Cycle Calc'!$D:$D,'BOM Cycle Calc'!$B:$B,A326,'BOM Cycle Calc'!$C:$C,B326)</f>
        <v/>
      </c>
      <c r="D326" s="0">
        <f>VLOOKUP(B326,'Item Tier Lookup'!$A:$B,2,FALSE)</f>
        <v/>
      </c>
      <c r="E326" s="0">
        <f>VLOOKUP(D326,'Tier Params'!$A:$B,2,FALSE)</f>
        <v/>
      </c>
      <c r="F326" s="0">
        <f>VLOOKUP(D326,'Tier Params'!$A:$C,3,FALSE)</f>
        <v/>
      </c>
      <c r="G326" s="0">
        <f>CEILING(C326/F326,1)</f>
        <v/>
      </c>
      <c r="H326" s="0">
        <f>G326*E326</f>
        <v/>
      </c>
    </row>
    <row r="327">
      <c r="A327" s="0" t="inlineStr">
        <is>
          <t>Structure Docking Bay</t>
        </is>
      </c>
      <c r="B327" s="0" t="inlineStr">
        <is>
          <t>Tritanium</t>
        </is>
      </c>
      <c r="C327" s="0">
        <f>SUMIFS('BOM Cycle Calc'!$D:$D,'BOM Cycle Calc'!$B:$B,A327,'BOM Cycle Calc'!$C:$C,B327)</f>
        <v/>
      </c>
      <c r="D327" s="0">
        <f>VLOOKUP(B327,'Item Tier Lookup'!$A:$B,2,FALSE)</f>
        <v/>
      </c>
      <c r="E327" s="0">
        <f>VLOOKUP(D327,'Tier Params'!$A:$B,2,FALSE)</f>
        <v/>
      </c>
      <c r="F327" s="0">
        <f>VLOOKUP(D327,'Tier Params'!$A:$C,3,FALSE)</f>
        <v/>
      </c>
      <c r="G327" s="0">
        <f>CEILING(C327/F327,1)</f>
        <v/>
      </c>
      <c r="H327" s="0">
        <f>G327*E327</f>
        <v/>
      </c>
    </row>
    <row r="328">
      <c r="A328" s="0" t="inlineStr">
        <is>
          <t>Structure Docking Bay</t>
        </is>
      </c>
      <c r="B328" s="0" t="inlineStr">
        <is>
          <t>Pyerite</t>
        </is>
      </c>
      <c r="C328" s="0">
        <f>SUMIFS('BOM Cycle Calc'!$D:$D,'BOM Cycle Calc'!$B:$B,A328,'BOM Cycle Calc'!$C:$C,B328)</f>
        <v/>
      </c>
      <c r="D328" s="0">
        <f>VLOOKUP(B328,'Item Tier Lookup'!$A:$B,2,FALSE)</f>
        <v/>
      </c>
      <c r="E328" s="0">
        <f>VLOOKUP(D328,'Tier Params'!$A:$B,2,FALSE)</f>
        <v/>
      </c>
      <c r="F328" s="0">
        <f>VLOOKUP(D328,'Tier Params'!$A:$C,3,FALSE)</f>
        <v/>
      </c>
      <c r="G328" s="0">
        <f>CEILING(C328/F328,1)</f>
        <v/>
      </c>
      <c r="H328" s="0">
        <f>G328*E328</f>
        <v/>
      </c>
    </row>
    <row r="329">
      <c r="A329" s="0" t="inlineStr">
        <is>
          <t>Structure Docking Bay</t>
        </is>
      </c>
      <c r="B329" s="0" t="inlineStr">
        <is>
          <t>Mexallon</t>
        </is>
      </c>
      <c r="C329" s="0">
        <f>SUMIFS('BOM Cycle Calc'!$D:$D,'BOM Cycle Calc'!$B:$B,A329,'BOM Cycle Calc'!$C:$C,B329)</f>
        <v/>
      </c>
      <c r="D329" s="0">
        <f>VLOOKUP(B329,'Item Tier Lookup'!$A:$B,2,FALSE)</f>
        <v/>
      </c>
      <c r="E329" s="0">
        <f>VLOOKUP(D329,'Tier Params'!$A:$B,2,FALSE)</f>
        <v/>
      </c>
      <c r="F329" s="0">
        <f>VLOOKUP(D329,'Tier Params'!$A:$C,3,FALSE)</f>
        <v/>
      </c>
      <c r="G329" s="0">
        <f>CEILING(C329/F329,1)</f>
        <v/>
      </c>
      <c r="H329" s="0">
        <f>G329*E329</f>
        <v/>
      </c>
    </row>
    <row r="330">
      <c r="A330" s="0" t="inlineStr">
        <is>
          <t>Structure Docking Bay</t>
        </is>
      </c>
      <c r="B330" s="0" t="inlineStr">
        <is>
          <t>Isogen</t>
        </is>
      </c>
      <c r="C330" s="0">
        <f>SUMIFS('BOM Cycle Calc'!$D:$D,'BOM Cycle Calc'!$B:$B,A330,'BOM Cycle Calc'!$C:$C,B330)</f>
        <v/>
      </c>
      <c r="D330" s="0">
        <f>VLOOKUP(B330,'Item Tier Lookup'!$A:$B,2,FALSE)</f>
        <v/>
      </c>
      <c r="E330" s="0">
        <f>VLOOKUP(D330,'Tier Params'!$A:$B,2,FALSE)</f>
        <v/>
      </c>
      <c r="F330" s="0">
        <f>VLOOKUP(D330,'Tier Params'!$A:$C,3,FALSE)</f>
        <v/>
      </c>
      <c r="G330" s="0">
        <f>CEILING(C330/F330,1)</f>
        <v/>
      </c>
      <c r="H330" s="0">
        <f>G330*E330</f>
        <v/>
      </c>
    </row>
    <row r="331">
      <c r="A331" s="0" t="inlineStr">
        <is>
          <t>Structure Docking Bay</t>
        </is>
      </c>
      <c r="B331" s="0" t="inlineStr">
        <is>
          <t>Nocxium</t>
        </is>
      </c>
      <c r="C331" s="0">
        <f>SUMIFS('BOM Cycle Calc'!$D:$D,'BOM Cycle Calc'!$B:$B,A331,'BOM Cycle Calc'!$C:$C,B331)</f>
        <v/>
      </c>
      <c r="D331" s="0">
        <f>VLOOKUP(B331,'Item Tier Lookup'!$A:$B,2,FALSE)</f>
        <v/>
      </c>
      <c r="E331" s="0">
        <f>VLOOKUP(D331,'Tier Params'!$A:$B,2,FALSE)</f>
        <v/>
      </c>
      <c r="F331" s="0">
        <f>VLOOKUP(D331,'Tier Params'!$A:$C,3,FALSE)</f>
        <v/>
      </c>
      <c r="G331" s="0">
        <f>CEILING(C331/F331,1)</f>
        <v/>
      </c>
      <c r="H331" s="0">
        <f>G331*E331</f>
        <v/>
      </c>
    </row>
    <row r="332">
      <c r="A332" s="0" t="inlineStr">
        <is>
          <t>Structure Docking Bay</t>
        </is>
      </c>
      <c r="B332" s="0" t="inlineStr">
        <is>
          <t>Zydrine</t>
        </is>
      </c>
      <c r="C332" s="0">
        <f>SUMIFS('BOM Cycle Calc'!$D:$D,'BOM Cycle Calc'!$B:$B,A332,'BOM Cycle Calc'!$C:$C,B332)</f>
        <v/>
      </c>
      <c r="D332" s="0">
        <f>VLOOKUP(B332,'Item Tier Lookup'!$A:$B,2,FALSE)</f>
        <v/>
      </c>
      <c r="E332" s="0">
        <f>VLOOKUP(D332,'Tier Params'!$A:$B,2,FALSE)</f>
        <v/>
      </c>
      <c r="F332" s="0">
        <f>VLOOKUP(D332,'Tier Params'!$A:$C,3,FALSE)</f>
        <v/>
      </c>
      <c r="G332" s="0">
        <f>CEILING(C332/F332,1)</f>
        <v/>
      </c>
      <c r="H332" s="0">
        <f>G332*E332</f>
        <v/>
      </c>
    </row>
    <row r="333">
      <c r="A333" s="0" t="inlineStr">
        <is>
          <t>Structure Docking Bay</t>
        </is>
      </c>
      <c r="B333" s="0" t="inlineStr">
        <is>
          <t>Megacyte</t>
        </is>
      </c>
      <c r="C333" s="0">
        <f>SUMIFS('BOM Cycle Calc'!$D:$D,'BOM Cycle Calc'!$B:$B,A333,'BOM Cycle Calc'!$C:$C,B333)</f>
        <v/>
      </c>
      <c r="D333" s="0">
        <f>VLOOKUP(B333,'Item Tier Lookup'!$A:$B,2,FALSE)</f>
        <v/>
      </c>
      <c r="E333" s="0">
        <f>VLOOKUP(D333,'Tier Params'!$A:$B,2,FALSE)</f>
        <v/>
      </c>
      <c r="F333" s="0">
        <f>VLOOKUP(D333,'Tier Params'!$A:$C,3,FALSE)</f>
        <v/>
      </c>
      <c r="G333" s="0">
        <f>CEILING(C333/F333,1)</f>
        <v/>
      </c>
      <c r="H333" s="0">
        <f>G333*E333</f>
        <v/>
      </c>
    </row>
    <row r="334">
      <c r="A334" s="0" t="inlineStr">
        <is>
          <t>Structure Docking Bay</t>
        </is>
      </c>
      <c r="B334" s="0" t="inlineStr">
        <is>
          <t>Broadcast Node</t>
        </is>
      </c>
      <c r="C334" s="0">
        <f>SUMIFS('BOM Cycle Calc'!$D:$D,'BOM Cycle Calc'!$B:$B,A334,'BOM Cycle Calc'!$C:$C,B334)</f>
        <v/>
      </c>
      <c r="D334" s="0">
        <f>VLOOKUP(B334,'Item Tier Lookup'!$A:$B,2,FALSE)</f>
        <v/>
      </c>
      <c r="E334" s="0">
        <f>VLOOKUP(D334,'Tier Params'!$A:$B,2,FALSE)</f>
        <v/>
      </c>
      <c r="F334" s="0">
        <f>VLOOKUP(D334,'Tier Params'!$A:$C,3,FALSE)</f>
        <v/>
      </c>
      <c r="G334" s="0">
        <f>CEILING(C334/F334,1)</f>
        <v/>
      </c>
      <c r="H334" s="0">
        <f>G334*E334</f>
        <v/>
      </c>
    </row>
    <row r="335">
      <c r="A335" s="0" t="inlineStr">
        <is>
          <t>Structure Docking Bay</t>
        </is>
      </c>
      <c r="B335" s="0" t="inlineStr">
        <is>
          <t>Data Chips</t>
        </is>
      </c>
      <c r="C335" s="0">
        <f>SUMIFS('BOM Cycle Calc'!$D:$D,'BOM Cycle Calc'!$B:$B,A335,'BOM Cycle Calc'!$C:$C,B335)</f>
        <v/>
      </c>
      <c r="D335" s="0">
        <f>VLOOKUP(B335,'Item Tier Lookup'!$A:$B,2,FALSE)</f>
        <v/>
      </c>
      <c r="E335" s="0">
        <f>VLOOKUP(D335,'Tier Params'!$A:$B,2,FALSE)</f>
        <v/>
      </c>
      <c r="F335" s="0">
        <f>VLOOKUP(D335,'Tier Params'!$A:$C,3,FALSE)</f>
        <v/>
      </c>
      <c r="G335" s="0">
        <f>CEILING(C335/F335,1)</f>
        <v/>
      </c>
      <c r="H335" s="0">
        <f>G335*E335</f>
        <v/>
      </c>
    </row>
    <row r="336">
      <c r="A336" s="0" t="inlineStr">
        <is>
          <t>Structure Docking Bay</t>
        </is>
      </c>
      <c r="B336" s="0" t="inlineStr">
        <is>
          <t>Supertensile Plastics</t>
        </is>
      </c>
      <c r="C336" s="0">
        <f>SUMIFS('BOM Cycle Calc'!$D:$D,'BOM Cycle Calc'!$B:$B,A336,'BOM Cycle Calc'!$C:$C,B336)</f>
        <v/>
      </c>
      <c r="D336" s="0">
        <f>VLOOKUP(B336,'Item Tier Lookup'!$A:$B,2,FALSE)</f>
        <v/>
      </c>
      <c r="E336" s="0">
        <f>VLOOKUP(D336,'Tier Params'!$A:$B,2,FALSE)</f>
        <v/>
      </c>
      <c r="F336" s="0">
        <f>VLOOKUP(D336,'Tier Params'!$A:$C,3,FALSE)</f>
        <v/>
      </c>
      <c r="G336" s="0">
        <f>CEILING(C336/F336,1)</f>
        <v/>
      </c>
      <c r="H336" s="0">
        <f>G336*E336</f>
        <v/>
      </c>
    </row>
    <row r="337">
      <c r="A337" s="0" t="inlineStr">
        <is>
          <t>Structure Docking Bay</t>
        </is>
      </c>
      <c r="B337" s="0" t="inlineStr">
        <is>
          <t>Oxygen</t>
        </is>
      </c>
      <c r="C337" s="0">
        <f>SUMIFS('BOM Cycle Calc'!$D:$D,'BOM Cycle Calc'!$B:$B,A337,'BOM Cycle Calc'!$C:$C,B337)</f>
        <v/>
      </c>
      <c r="D337" s="0">
        <f>VLOOKUP(B337,'Item Tier Lookup'!$A:$B,2,FALSE)</f>
        <v/>
      </c>
      <c r="E337" s="0">
        <f>VLOOKUP(D337,'Tier Params'!$A:$B,2,FALSE)</f>
        <v/>
      </c>
      <c r="F337" s="0">
        <f>VLOOKUP(D337,'Tier Params'!$A:$C,3,FALSE)</f>
        <v/>
      </c>
      <c r="G337" s="0">
        <f>CEILING(C337/F337,1)</f>
        <v/>
      </c>
      <c r="H337" s="0">
        <f>G337*E337</f>
        <v/>
      </c>
    </row>
    <row r="338">
      <c r="A338" s="0" t="inlineStr">
        <is>
          <t>Structure Docking Bay</t>
        </is>
      </c>
      <c r="B338" s="0" t="inlineStr">
        <is>
          <t>Noble Gas</t>
        </is>
      </c>
      <c r="C338" s="0">
        <f>SUMIFS('BOM Cycle Calc'!$D:$D,'BOM Cycle Calc'!$B:$B,A338,'BOM Cycle Calc'!$C:$C,B338)</f>
        <v/>
      </c>
      <c r="D338" s="0">
        <f>VLOOKUP(B338,'Item Tier Lookup'!$A:$B,2,FALSE)</f>
        <v/>
      </c>
      <c r="E338" s="0">
        <f>VLOOKUP(D338,'Tier Params'!$A:$B,2,FALSE)</f>
        <v/>
      </c>
      <c r="F338" s="0">
        <f>VLOOKUP(D338,'Tier Params'!$A:$C,3,FALSE)</f>
        <v/>
      </c>
      <c r="G338" s="0">
        <f>CEILING(C338/F338,1)</f>
        <v/>
      </c>
      <c r="H338" s="0">
        <f>G338*E338</f>
        <v/>
      </c>
    </row>
    <row r="339">
      <c r="A339" s="0" t="inlineStr">
        <is>
          <t>Structure Docking Bay</t>
        </is>
      </c>
      <c r="B339" s="0" t="inlineStr">
        <is>
          <t>Biomass</t>
        </is>
      </c>
      <c r="C339" s="0">
        <f>SUMIFS('BOM Cycle Calc'!$D:$D,'BOM Cycle Calc'!$B:$B,A339,'BOM Cycle Calc'!$C:$C,B339)</f>
        <v/>
      </c>
      <c r="D339" s="0">
        <f>VLOOKUP(B339,'Item Tier Lookup'!$A:$B,2,FALSE)</f>
        <v/>
      </c>
      <c r="E339" s="0">
        <f>VLOOKUP(D339,'Tier Params'!$A:$B,2,FALSE)</f>
        <v/>
      </c>
      <c r="F339" s="0">
        <f>VLOOKUP(D339,'Tier Params'!$A:$C,3,FALSE)</f>
        <v/>
      </c>
      <c r="G339" s="0">
        <f>CEILING(C339/F339,1)</f>
        <v/>
      </c>
      <c r="H339" s="0">
        <f>G339*E339</f>
        <v/>
      </c>
    </row>
    <row r="340">
      <c r="A340" s="0" t="inlineStr">
        <is>
          <t>Structure Docking Bay</t>
        </is>
      </c>
      <c r="B340" s="0" t="inlineStr">
        <is>
          <t>Planktic Colonies</t>
        </is>
      </c>
      <c r="C340" s="0">
        <f>SUMIFS('BOM Cycle Calc'!$D:$D,'BOM Cycle Calc'!$B:$B,A340,'BOM Cycle Calc'!$C:$C,B340)</f>
        <v/>
      </c>
      <c r="D340" s="0">
        <f>VLOOKUP(B340,'Item Tier Lookup'!$A:$B,2,FALSE)</f>
        <v/>
      </c>
      <c r="E340" s="0">
        <f>VLOOKUP(D340,'Tier Params'!$A:$B,2,FALSE)</f>
        <v/>
      </c>
      <c r="F340" s="0">
        <f>VLOOKUP(D340,'Tier Params'!$A:$C,3,FALSE)</f>
        <v/>
      </c>
      <c r="G340" s="0">
        <f>CEILING(C340/F340,1)</f>
        <v/>
      </c>
      <c r="H340" s="0">
        <f>G340*E340</f>
        <v/>
      </c>
    </row>
    <row r="341">
      <c r="A341" s="0" t="inlineStr">
        <is>
          <t>Structure Docking Bay</t>
        </is>
      </c>
      <c r="B341" s="0" t="inlineStr">
        <is>
          <t>Microfiber Shielding</t>
        </is>
      </c>
      <c r="C341" s="0">
        <f>SUMIFS('BOM Cycle Calc'!$D:$D,'BOM Cycle Calc'!$B:$B,A341,'BOM Cycle Calc'!$C:$C,B341)</f>
        <v/>
      </c>
      <c r="D341" s="0">
        <f>VLOOKUP(B341,'Item Tier Lookup'!$A:$B,2,FALSE)</f>
        <v/>
      </c>
      <c r="E341" s="0">
        <f>VLOOKUP(D341,'Tier Params'!$A:$B,2,FALSE)</f>
        <v/>
      </c>
      <c r="F341" s="0">
        <f>VLOOKUP(D341,'Tier Params'!$A:$C,3,FALSE)</f>
        <v/>
      </c>
      <c r="G341" s="0">
        <f>CEILING(C341/F341,1)</f>
        <v/>
      </c>
      <c r="H341" s="0">
        <f>G341*E341</f>
        <v/>
      </c>
    </row>
    <row r="342">
      <c r="A342" s="0" t="inlineStr">
        <is>
          <t>Structure Docking Bay</t>
        </is>
      </c>
      <c r="B342" s="0" t="inlineStr">
        <is>
          <t>Silicon</t>
        </is>
      </c>
      <c r="C342" s="0">
        <f>SUMIFS('BOM Cycle Calc'!$D:$D,'BOM Cycle Calc'!$B:$B,A342,'BOM Cycle Calc'!$C:$C,B342)</f>
        <v/>
      </c>
      <c r="D342" s="0">
        <f>VLOOKUP(B342,'Item Tier Lookup'!$A:$B,2,FALSE)</f>
        <v/>
      </c>
      <c r="E342" s="0">
        <f>VLOOKUP(D342,'Tier Params'!$A:$B,2,FALSE)</f>
        <v/>
      </c>
      <c r="F342" s="0">
        <f>VLOOKUP(D342,'Tier Params'!$A:$C,3,FALSE)</f>
        <v/>
      </c>
      <c r="G342" s="0">
        <f>CEILING(C342/F342,1)</f>
        <v/>
      </c>
      <c r="H342" s="0">
        <f>G342*E342</f>
        <v/>
      </c>
    </row>
    <row r="343">
      <c r="A343" s="0" t="inlineStr">
        <is>
          <t>Structure Docking Bay</t>
        </is>
      </c>
      <c r="B343" s="0" t="inlineStr">
        <is>
          <t>Felsic Magma</t>
        </is>
      </c>
      <c r="C343" s="0">
        <f>SUMIFS('BOM Cycle Calc'!$D:$D,'BOM Cycle Calc'!$B:$B,A343,'BOM Cycle Calc'!$C:$C,B343)</f>
        <v/>
      </c>
      <c r="D343" s="0">
        <f>VLOOKUP(B343,'Item Tier Lookup'!$A:$B,2,FALSE)</f>
        <v/>
      </c>
      <c r="E343" s="0">
        <f>VLOOKUP(D343,'Tier Params'!$A:$B,2,FALSE)</f>
        <v/>
      </c>
      <c r="F343" s="0">
        <f>VLOOKUP(D343,'Tier Params'!$A:$C,3,FALSE)</f>
        <v/>
      </c>
      <c r="G343" s="0">
        <f>CEILING(C343/F343,1)</f>
        <v/>
      </c>
      <c r="H343" s="0">
        <f>G343*E343</f>
        <v/>
      </c>
    </row>
    <row r="344">
      <c r="A344" s="0" t="inlineStr">
        <is>
          <t>Structure Docking Bay</t>
        </is>
      </c>
      <c r="B344" s="0" t="inlineStr">
        <is>
          <t>Industrial Fibers</t>
        </is>
      </c>
      <c r="C344" s="0">
        <f>SUMIFS('BOM Cycle Calc'!$D:$D,'BOM Cycle Calc'!$B:$B,A344,'BOM Cycle Calc'!$C:$C,B344)</f>
        <v/>
      </c>
      <c r="D344" s="0">
        <f>VLOOKUP(B344,'Item Tier Lookup'!$A:$B,2,FALSE)</f>
        <v/>
      </c>
      <c r="E344" s="0">
        <f>VLOOKUP(D344,'Tier Params'!$A:$B,2,FALSE)</f>
        <v/>
      </c>
      <c r="F344" s="0">
        <f>VLOOKUP(D344,'Tier Params'!$A:$C,3,FALSE)</f>
        <v/>
      </c>
      <c r="G344" s="0">
        <f>CEILING(C344/F344,1)</f>
        <v/>
      </c>
      <c r="H344" s="0">
        <f>G344*E344</f>
        <v/>
      </c>
    </row>
    <row r="345">
      <c r="A345" s="0" t="inlineStr">
        <is>
          <t>Structure Docking Bay</t>
        </is>
      </c>
      <c r="B345" s="0" t="inlineStr">
        <is>
          <t>Autotrophs</t>
        </is>
      </c>
      <c r="C345" s="0">
        <f>SUMIFS('BOM Cycle Calc'!$D:$D,'BOM Cycle Calc'!$B:$B,A345,'BOM Cycle Calc'!$C:$C,B345)</f>
        <v/>
      </c>
      <c r="D345" s="0">
        <f>VLOOKUP(B345,'Item Tier Lookup'!$A:$B,2,FALSE)</f>
        <v/>
      </c>
      <c r="E345" s="0">
        <f>VLOOKUP(D345,'Tier Params'!$A:$B,2,FALSE)</f>
        <v/>
      </c>
      <c r="F345" s="0">
        <f>VLOOKUP(D345,'Tier Params'!$A:$C,3,FALSE)</f>
        <v/>
      </c>
      <c r="G345" s="0">
        <f>CEILING(C345/F345,1)</f>
        <v/>
      </c>
      <c r="H345" s="0">
        <f>G345*E345</f>
        <v/>
      </c>
    </row>
    <row r="346">
      <c r="A346" s="0" t="inlineStr">
        <is>
          <t>Structure Docking Bay</t>
        </is>
      </c>
      <c r="B346" s="0" t="inlineStr">
        <is>
          <t>Neocoms</t>
        </is>
      </c>
      <c r="C346" s="0">
        <f>SUMIFS('BOM Cycle Calc'!$D:$D,'BOM Cycle Calc'!$B:$B,A346,'BOM Cycle Calc'!$C:$C,B346)</f>
        <v/>
      </c>
      <c r="D346" s="0">
        <f>VLOOKUP(B346,'Item Tier Lookup'!$A:$B,2,FALSE)</f>
        <v/>
      </c>
      <c r="E346" s="0">
        <f>VLOOKUP(D346,'Tier Params'!$A:$B,2,FALSE)</f>
        <v/>
      </c>
      <c r="F346" s="0">
        <f>VLOOKUP(D346,'Tier Params'!$A:$C,3,FALSE)</f>
        <v/>
      </c>
      <c r="G346" s="0">
        <f>CEILING(C346/F346,1)</f>
        <v/>
      </c>
      <c r="H346" s="0">
        <f>G346*E346</f>
        <v/>
      </c>
    </row>
    <row r="347">
      <c r="A347" s="0" t="inlineStr">
        <is>
          <t>Structure Docking Bay</t>
        </is>
      </c>
      <c r="B347" s="0" t="inlineStr">
        <is>
          <t>Biocells</t>
        </is>
      </c>
      <c r="C347" s="0">
        <f>SUMIFS('BOM Cycle Calc'!$D:$D,'BOM Cycle Calc'!$B:$B,A347,'BOM Cycle Calc'!$C:$C,B347)</f>
        <v/>
      </c>
      <c r="D347" s="0">
        <f>VLOOKUP(B347,'Item Tier Lookup'!$A:$B,2,FALSE)</f>
        <v/>
      </c>
      <c r="E347" s="0">
        <f>VLOOKUP(D347,'Tier Params'!$A:$B,2,FALSE)</f>
        <v/>
      </c>
      <c r="F347" s="0">
        <f>VLOOKUP(D347,'Tier Params'!$A:$C,3,FALSE)</f>
        <v/>
      </c>
      <c r="G347" s="0">
        <f>CEILING(C347/F347,1)</f>
        <v/>
      </c>
      <c r="H347" s="0">
        <f>G347*E347</f>
        <v/>
      </c>
    </row>
    <row r="348">
      <c r="A348" s="0" t="inlineStr">
        <is>
          <t>Structure Docking Bay</t>
        </is>
      </c>
      <c r="B348" s="0" t="inlineStr">
        <is>
          <t>Biofuels</t>
        </is>
      </c>
      <c r="C348" s="0">
        <f>SUMIFS('BOM Cycle Calc'!$D:$D,'BOM Cycle Calc'!$B:$B,A348,'BOM Cycle Calc'!$C:$C,B348)</f>
        <v/>
      </c>
      <c r="D348" s="0">
        <f>VLOOKUP(B348,'Item Tier Lookup'!$A:$B,2,FALSE)</f>
        <v/>
      </c>
      <c r="E348" s="0">
        <f>VLOOKUP(D348,'Tier Params'!$A:$B,2,FALSE)</f>
        <v/>
      </c>
      <c r="F348" s="0">
        <f>VLOOKUP(D348,'Tier Params'!$A:$C,3,FALSE)</f>
        <v/>
      </c>
      <c r="G348" s="0">
        <f>CEILING(C348/F348,1)</f>
        <v/>
      </c>
      <c r="H348" s="0">
        <f>G348*E348</f>
        <v/>
      </c>
    </row>
    <row r="349">
      <c r="A349" s="0" t="inlineStr">
        <is>
          <t>Structure Docking Bay</t>
        </is>
      </c>
      <c r="B349" s="0" t="inlineStr">
        <is>
          <t>Carbon Compounds</t>
        </is>
      </c>
      <c r="C349" s="0">
        <f>SUMIFS('BOM Cycle Calc'!$D:$D,'BOM Cycle Calc'!$B:$B,A349,'BOM Cycle Calc'!$C:$C,B349)</f>
        <v/>
      </c>
      <c r="D349" s="0">
        <f>VLOOKUP(B349,'Item Tier Lookup'!$A:$B,2,FALSE)</f>
        <v/>
      </c>
      <c r="E349" s="0">
        <f>VLOOKUP(D349,'Tier Params'!$A:$B,2,FALSE)</f>
        <v/>
      </c>
      <c r="F349" s="0">
        <f>VLOOKUP(D349,'Tier Params'!$A:$C,3,FALSE)</f>
        <v/>
      </c>
      <c r="G349" s="0">
        <f>CEILING(C349/F349,1)</f>
        <v/>
      </c>
      <c r="H349" s="0">
        <f>G349*E349</f>
        <v/>
      </c>
    </row>
    <row r="350">
      <c r="A350" s="0" t="inlineStr">
        <is>
          <t>Structure Docking Bay</t>
        </is>
      </c>
      <c r="B350" s="0" t="inlineStr">
        <is>
          <t>Precious Metals</t>
        </is>
      </c>
      <c r="C350" s="0">
        <f>SUMIFS('BOM Cycle Calc'!$D:$D,'BOM Cycle Calc'!$B:$B,A350,'BOM Cycle Calc'!$C:$C,B350)</f>
        <v/>
      </c>
      <c r="D350" s="0">
        <f>VLOOKUP(B350,'Item Tier Lookup'!$A:$B,2,FALSE)</f>
        <v/>
      </c>
      <c r="E350" s="0">
        <f>VLOOKUP(D350,'Tier Params'!$A:$B,2,FALSE)</f>
        <v/>
      </c>
      <c r="F350" s="0">
        <f>VLOOKUP(D350,'Tier Params'!$A:$C,3,FALSE)</f>
        <v/>
      </c>
      <c r="G350" s="0">
        <f>CEILING(C350/F350,1)</f>
        <v/>
      </c>
      <c r="H350" s="0">
        <f>G350*E350</f>
        <v/>
      </c>
    </row>
    <row r="351">
      <c r="A351" s="0" t="inlineStr">
        <is>
          <t>Structure Docking Bay</t>
        </is>
      </c>
      <c r="B351" s="0" t="inlineStr">
        <is>
          <t>Noble Metals</t>
        </is>
      </c>
      <c r="C351" s="0">
        <f>SUMIFS('BOM Cycle Calc'!$D:$D,'BOM Cycle Calc'!$B:$B,A351,'BOM Cycle Calc'!$C:$C,B351)</f>
        <v/>
      </c>
      <c r="D351" s="0">
        <f>VLOOKUP(B351,'Item Tier Lookup'!$A:$B,2,FALSE)</f>
        <v/>
      </c>
      <c r="E351" s="0">
        <f>VLOOKUP(D351,'Tier Params'!$A:$B,2,FALSE)</f>
        <v/>
      </c>
      <c r="F351" s="0">
        <f>VLOOKUP(D351,'Tier Params'!$A:$C,3,FALSE)</f>
        <v/>
      </c>
      <c r="G351" s="0">
        <f>CEILING(C351/F351,1)</f>
        <v/>
      </c>
      <c r="H351" s="0">
        <f>G351*E351</f>
        <v/>
      </c>
    </row>
    <row r="352">
      <c r="A352" s="0" t="inlineStr">
        <is>
          <t>Structure Docking Bay</t>
        </is>
      </c>
      <c r="B352" s="0" t="inlineStr">
        <is>
          <t>Silicate Glass</t>
        </is>
      </c>
      <c r="C352" s="0">
        <f>SUMIFS('BOM Cycle Calc'!$D:$D,'BOM Cycle Calc'!$B:$B,A352,'BOM Cycle Calc'!$C:$C,B352)</f>
        <v/>
      </c>
      <c r="D352" s="0">
        <f>VLOOKUP(B352,'Item Tier Lookup'!$A:$B,2,FALSE)</f>
        <v/>
      </c>
      <c r="E352" s="0">
        <f>VLOOKUP(D352,'Tier Params'!$A:$B,2,FALSE)</f>
        <v/>
      </c>
      <c r="F352" s="0">
        <f>VLOOKUP(D352,'Tier Params'!$A:$C,3,FALSE)</f>
        <v/>
      </c>
      <c r="G352" s="0">
        <f>CEILING(C352/F352,1)</f>
        <v/>
      </c>
      <c r="H352" s="0">
        <f>G352*E352</f>
        <v/>
      </c>
    </row>
    <row r="353">
      <c r="A353" s="0" t="inlineStr">
        <is>
          <t>Structure Docking Bay</t>
        </is>
      </c>
      <c r="B353" s="0" t="inlineStr">
        <is>
          <t>Oxidizing Compound</t>
        </is>
      </c>
      <c r="C353" s="0">
        <f>SUMIFS('BOM Cycle Calc'!$D:$D,'BOM Cycle Calc'!$B:$B,A353,'BOM Cycle Calc'!$C:$C,B353)</f>
        <v/>
      </c>
      <c r="D353" s="0">
        <f>VLOOKUP(B353,'Item Tier Lookup'!$A:$B,2,FALSE)</f>
        <v/>
      </c>
      <c r="E353" s="0">
        <f>VLOOKUP(D353,'Tier Params'!$A:$B,2,FALSE)</f>
        <v/>
      </c>
      <c r="F353" s="0">
        <f>VLOOKUP(D353,'Tier Params'!$A:$C,3,FALSE)</f>
        <v/>
      </c>
      <c r="G353" s="0">
        <f>CEILING(C353/F353,1)</f>
        <v/>
      </c>
      <c r="H353" s="0">
        <f>G353*E353</f>
        <v/>
      </c>
    </row>
    <row r="354">
      <c r="A354" s="0" t="inlineStr">
        <is>
          <t>Structure Docking Bay</t>
        </is>
      </c>
      <c r="B354" s="0" t="inlineStr">
        <is>
          <t>Reactive Gas</t>
        </is>
      </c>
      <c r="C354" s="0">
        <f>SUMIFS('BOM Cycle Calc'!$D:$D,'BOM Cycle Calc'!$B:$B,A354,'BOM Cycle Calc'!$C:$C,B354)</f>
        <v/>
      </c>
      <c r="D354" s="0">
        <f>VLOOKUP(B354,'Item Tier Lookup'!$A:$B,2,FALSE)</f>
        <v/>
      </c>
      <c r="E354" s="0">
        <f>VLOOKUP(D354,'Tier Params'!$A:$B,2,FALSE)</f>
        <v/>
      </c>
      <c r="F354" s="0">
        <f>VLOOKUP(D354,'Tier Params'!$A:$C,3,FALSE)</f>
        <v/>
      </c>
      <c r="G354" s="0">
        <f>CEILING(C354/F354,1)</f>
        <v/>
      </c>
      <c r="H354" s="0">
        <f>G354*E354</f>
        <v/>
      </c>
    </row>
    <row r="355">
      <c r="A355" s="0" t="inlineStr">
        <is>
          <t>Structure Docking Bay</t>
        </is>
      </c>
      <c r="B355" s="0" t="inlineStr">
        <is>
          <t>High-Tech Transmitters</t>
        </is>
      </c>
      <c r="C355" s="0">
        <f>SUMIFS('BOM Cycle Calc'!$D:$D,'BOM Cycle Calc'!$B:$B,A355,'BOM Cycle Calc'!$C:$C,B355)</f>
        <v/>
      </c>
      <c r="D355" s="0">
        <f>VLOOKUP(B355,'Item Tier Lookup'!$A:$B,2,FALSE)</f>
        <v/>
      </c>
      <c r="E355" s="0">
        <f>VLOOKUP(D355,'Tier Params'!$A:$B,2,FALSE)</f>
        <v/>
      </c>
      <c r="F355" s="0">
        <f>VLOOKUP(D355,'Tier Params'!$A:$C,3,FALSE)</f>
        <v/>
      </c>
      <c r="G355" s="0">
        <f>CEILING(C355/F355,1)</f>
        <v/>
      </c>
      <c r="H355" s="0">
        <f>G355*E355</f>
        <v/>
      </c>
    </row>
    <row r="356">
      <c r="A356" s="0" t="inlineStr">
        <is>
          <t>Structure Docking Bay</t>
        </is>
      </c>
      <c r="B356" s="0" t="inlineStr">
        <is>
          <t>Transmitter</t>
        </is>
      </c>
      <c r="C356" s="0">
        <f>SUMIFS('BOM Cycle Calc'!$D:$D,'BOM Cycle Calc'!$B:$B,A356,'BOM Cycle Calc'!$C:$C,B356)</f>
        <v/>
      </c>
      <c r="D356" s="0">
        <f>VLOOKUP(B356,'Item Tier Lookup'!$A:$B,2,FALSE)</f>
        <v/>
      </c>
      <c r="E356" s="0">
        <f>VLOOKUP(D356,'Tier Params'!$A:$B,2,FALSE)</f>
        <v/>
      </c>
      <c r="F356" s="0">
        <f>VLOOKUP(D356,'Tier Params'!$A:$C,3,FALSE)</f>
        <v/>
      </c>
      <c r="G356" s="0">
        <f>CEILING(C356/F356,1)</f>
        <v/>
      </c>
      <c r="H356" s="0">
        <f>G356*E356</f>
        <v/>
      </c>
    </row>
    <row r="357">
      <c r="A357" s="0" t="inlineStr">
        <is>
          <t>Structure Docking Bay</t>
        </is>
      </c>
      <c r="B357" s="0" t="inlineStr">
        <is>
          <t>Chiral Structures</t>
        </is>
      </c>
      <c r="C357" s="0">
        <f>SUMIFS('BOM Cycle Calc'!$D:$D,'BOM Cycle Calc'!$B:$B,A357,'BOM Cycle Calc'!$C:$C,B357)</f>
        <v/>
      </c>
      <c r="D357" s="0">
        <f>VLOOKUP(B357,'Item Tier Lookup'!$A:$B,2,FALSE)</f>
        <v/>
      </c>
      <c r="E357" s="0">
        <f>VLOOKUP(D357,'Tier Params'!$A:$B,2,FALSE)</f>
        <v/>
      </c>
      <c r="F357" s="0">
        <f>VLOOKUP(D357,'Tier Params'!$A:$C,3,FALSE)</f>
        <v/>
      </c>
      <c r="G357" s="0">
        <f>CEILING(C357/F357,1)</f>
        <v/>
      </c>
      <c r="H357" s="0">
        <f>G357*E357</f>
        <v/>
      </c>
    </row>
    <row r="358">
      <c r="A358" s="0" t="inlineStr">
        <is>
          <t>Structure Docking Bay</t>
        </is>
      </c>
      <c r="B358" s="0" t="inlineStr">
        <is>
          <t>Non-CS Crystals</t>
        </is>
      </c>
      <c r="C358" s="0">
        <f>SUMIFS('BOM Cycle Calc'!$D:$D,'BOM Cycle Calc'!$B:$B,A358,'BOM Cycle Calc'!$C:$C,B358)</f>
        <v/>
      </c>
      <c r="D358" s="0">
        <f>VLOOKUP(B358,'Item Tier Lookup'!$A:$B,2,FALSE)</f>
        <v/>
      </c>
      <c r="E358" s="0">
        <f>VLOOKUP(D358,'Tier Params'!$A:$B,2,FALSE)</f>
        <v/>
      </c>
      <c r="F358" s="0">
        <f>VLOOKUP(D358,'Tier Params'!$A:$C,3,FALSE)</f>
        <v/>
      </c>
      <c r="G358" s="0">
        <f>CEILING(C358/F358,1)</f>
        <v/>
      </c>
      <c r="H358" s="0">
        <f>G358*E358</f>
        <v/>
      </c>
    </row>
    <row r="359">
      <c r="A359" s="0" t="inlineStr">
        <is>
          <t>Structure Docking Bay</t>
        </is>
      </c>
      <c r="B359" s="0" t="inlineStr">
        <is>
          <t>Plasmoids</t>
        </is>
      </c>
      <c r="C359" s="0">
        <f>SUMIFS('BOM Cycle Calc'!$D:$D,'BOM Cycle Calc'!$B:$B,A359,'BOM Cycle Calc'!$C:$C,B359)</f>
        <v/>
      </c>
      <c r="D359" s="0">
        <f>VLOOKUP(B359,'Item Tier Lookup'!$A:$B,2,FALSE)</f>
        <v/>
      </c>
      <c r="E359" s="0">
        <f>VLOOKUP(D359,'Tier Params'!$A:$B,2,FALSE)</f>
        <v/>
      </c>
      <c r="F359" s="0">
        <f>VLOOKUP(D359,'Tier Params'!$A:$C,3,FALSE)</f>
        <v/>
      </c>
      <c r="G359" s="0">
        <f>CEILING(C359/F359,1)</f>
        <v/>
      </c>
      <c r="H359" s="0">
        <f>G359*E359</f>
        <v/>
      </c>
    </row>
    <row r="360">
      <c r="A360" s="0" t="inlineStr">
        <is>
          <t>Structure Docking Bay</t>
        </is>
      </c>
      <c r="B360" s="0" t="inlineStr">
        <is>
          <t>Suspended Plasma</t>
        </is>
      </c>
      <c r="C360" s="0">
        <f>SUMIFS('BOM Cycle Calc'!$D:$D,'BOM Cycle Calc'!$B:$B,A360,'BOM Cycle Calc'!$C:$C,B360)</f>
        <v/>
      </c>
      <c r="D360" s="0">
        <f>VLOOKUP(B360,'Item Tier Lookup'!$A:$B,2,FALSE)</f>
        <v/>
      </c>
      <c r="E360" s="0">
        <f>VLOOKUP(D360,'Tier Params'!$A:$B,2,FALSE)</f>
        <v/>
      </c>
      <c r="F360" s="0">
        <f>VLOOKUP(D360,'Tier Params'!$A:$C,3,FALSE)</f>
        <v/>
      </c>
      <c r="G360" s="0">
        <f>CEILING(C360/F360,1)</f>
        <v/>
      </c>
      <c r="H360" s="0">
        <f>G360*E360</f>
        <v/>
      </c>
    </row>
    <row r="361">
      <c r="A361" s="0" t="inlineStr">
        <is>
          <t>Structure Docking Bay</t>
        </is>
      </c>
      <c r="B361" s="0" t="inlineStr">
        <is>
          <t>Polyaramids</t>
        </is>
      </c>
      <c r="C361" s="0">
        <f>SUMIFS('BOM Cycle Calc'!$D:$D,'BOM Cycle Calc'!$B:$B,A361,'BOM Cycle Calc'!$C:$C,B361)</f>
        <v/>
      </c>
      <c r="D361" s="0">
        <f>VLOOKUP(B361,'Item Tier Lookup'!$A:$B,2,FALSE)</f>
        <v/>
      </c>
      <c r="E361" s="0">
        <f>VLOOKUP(D361,'Tier Params'!$A:$B,2,FALSE)</f>
        <v/>
      </c>
      <c r="F361" s="0">
        <f>VLOOKUP(D361,'Tier Params'!$A:$C,3,FALSE)</f>
        <v/>
      </c>
      <c r="G361" s="0">
        <f>CEILING(C361/F361,1)</f>
        <v/>
      </c>
      <c r="H361" s="0">
        <f>G361*E361</f>
        <v/>
      </c>
    </row>
    <row r="362">
      <c r="A362" s="0" t="inlineStr">
        <is>
          <t>Structure Docking Bay</t>
        </is>
      </c>
      <c r="B362" s="0" t="inlineStr">
        <is>
          <t>Integrity Response Drones</t>
        </is>
      </c>
      <c r="C362" s="0">
        <f>SUMIFS('BOM Cycle Calc'!$D:$D,'BOM Cycle Calc'!$B:$B,A362,'BOM Cycle Calc'!$C:$C,B362)</f>
        <v/>
      </c>
      <c r="D362" s="0">
        <f>VLOOKUP(B362,'Item Tier Lookup'!$A:$B,2,FALSE)</f>
        <v/>
      </c>
      <c r="E362" s="0">
        <f>VLOOKUP(D362,'Tier Params'!$A:$B,2,FALSE)</f>
        <v/>
      </c>
      <c r="F362" s="0">
        <f>VLOOKUP(D362,'Tier Params'!$A:$C,3,FALSE)</f>
        <v/>
      </c>
      <c r="G362" s="0">
        <f>CEILING(C362/F362,1)</f>
        <v/>
      </c>
      <c r="H362" s="0">
        <f>G362*E362</f>
        <v/>
      </c>
    </row>
    <row r="363">
      <c r="A363" s="0" t="inlineStr">
        <is>
          <t>Structure Docking Bay</t>
        </is>
      </c>
      <c r="B363" s="0" t="inlineStr">
        <is>
          <t>Gel-Matrix Biopaste</t>
        </is>
      </c>
      <c r="C363" s="0">
        <f>SUMIFS('BOM Cycle Calc'!$D:$D,'BOM Cycle Calc'!$B:$B,A363,'BOM Cycle Calc'!$C:$C,B363)</f>
        <v/>
      </c>
      <c r="D363" s="0">
        <f>VLOOKUP(B363,'Item Tier Lookup'!$A:$B,2,FALSE)</f>
        <v/>
      </c>
      <c r="E363" s="0">
        <f>VLOOKUP(D363,'Tier Params'!$A:$B,2,FALSE)</f>
        <v/>
      </c>
      <c r="F363" s="0">
        <f>VLOOKUP(D363,'Tier Params'!$A:$C,3,FALSE)</f>
        <v/>
      </c>
      <c r="G363" s="0">
        <f>CEILING(C363/F363,1)</f>
        <v/>
      </c>
      <c r="H363" s="0">
        <f>G363*E363</f>
        <v/>
      </c>
    </row>
    <row r="364">
      <c r="A364" s="0" t="inlineStr">
        <is>
          <t>Structure Docking Bay</t>
        </is>
      </c>
      <c r="B364" s="0" t="inlineStr">
        <is>
          <t>Oxides</t>
        </is>
      </c>
      <c r="C364" s="0">
        <f>SUMIFS('BOM Cycle Calc'!$D:$D,'BOM Cycle Calc'!$B:$B,A364,'BOM Cycle Calc'!$C:$C,B364)</f>
        <v/>
      </c>
      <c r="D364" s="0">
        <f>VLOOKUP(B364,'Item Tier Lookup'!$A:$B,2,FALSE)</f>
        <v/>
      </c>
      <c r="E364" s="0">
        <f>VLOOKUP(D364,'Tier Params'!$A:$B,2,FALSE)</f>
        <v/>
      </c>
      <c r="F364" s="0">
        <f>VLOOKUP(D364,'Tier Params'!$A:$C,3,FALSE)</f>
        <v/>
      </c>
      <c r="G364" s="0">
        <f>CEILING(C364/F364,1)</f>
        <v/>
      </c>
      <c r="H364" s="0">
        <f>G364*E364</f>
        <v/>
      </c>
    </row>
    <row r="365">
      <c r="A365" s="0" t="inlineStr">
        <is>
          <t>Structure Docking Bay</t>
        </is>
      </c>
      <c r="B365" s="0" t="inlineStr">
        <is>
          <t>Superconductors</t>
        </is>
      </c>
      <c r="C365" s="0">
        <f>SUMIFS('BOM Cycle Calc'!$D:$D,'BOM Cycle Calc'!$B:$B,A365,'BOM Cycle Calc'!$C:$C,B365)</f>
        <v/>
      </c>
      <c r="D365" s="0">
        <f>VLOOKUP(B365,'Item Tier Lookup'!$A:$B,2,FALSE)</f>
        <v/>
      </c>
      <c r="E365" s="0">
        <f>VLOOKUP(D365,'Tier Params'!$A:$B,2,FALSE)</f>
        <v/>
      </c>
      <c r="F365" s="0">
        <f>VLOOKUP(D365,'Tier Params'!$A:$C,3,FALSE)</f>
        <v/>
      </c>
      <c r="G365" s="0">
        <f>CEILING(C365/F365,1)</f>
        <v/>
      </c>
      <c r="H365" s="0">
        <f>G365*E365</f>
        <v/>
      </c>
    </row>
    <row r="366">
      <c r="A366" s="0" t="inlineStr">
        <is>
          <t>Structure Docking Bay</t>
        </is>
      </c>
      <c r="B366" s="0" t="inlineStr">
        <is>
          <t>Water</t>
        </is>
      </c>
      <c r="C366" s="0">
        <f>SUMIFS('BOM Cycle Calc'!$D:$D,'BOM Cycle Calc'!$B:$B,A366,'BOM Cycle Calc'!$C:$C,B366)</f>
        <v/>
      </c>
      <c r="D366" s="0">
        <f>VLOOKUP(B366,'Item Tier Lookup'!$A:$B,2,FALSE)</f>
        <v/>
      </c>
      <c r="E366" s="0">
        <f>VLOOKUP(D366,'Tier Params'!$A:$B,2,FALSE)</f>
        <v/>
      </c>
      <c r="F366" s="0">
        <f>VLOOKUP(D366,'Tier Params'!$A:$C,3,FALSE)</f>
        <v/>
      </c>
      <c r="G366" s="0">
        <f>CEILING(C366/F366,1)</f>
        <v/>
      </c>
      <c r="H366" s="0">
        <f>G366*E366</f>
        <v/>
      </c>
    </row>
    <row r="367">
      <c r="A367" s="0" t="inlineStr">
        <is>
          <t>Structure Docking Bay</t>
        </is>
      </c>
      <c r="B367" s="0" t="inlineStr">
        <is>
          <t>Aqueous Liquids</t>
        </is>
      </c>
      <c r="C367" s="0">
        <f>SUMIFS('BOM Cycle Calc'!$D:$D,'BOM Cycle Calc'!$B:$B,A367,'BOM Cycle Calc'!$C:$C,B367)</f>
        <v/>
      </c>
      <c r="D367" s="0">
        <f>VLOOKUP(B367,'Item Tier Lookup'!$A:$B,2,FALSE)</f>
        <v/>
      </c>
      <c r="E367" s="0">
        <f>VLOOKUP(D367,'Tier Params'!$A:$B,2,FALSE)</f>
        <v/>
      </c>
      <c r="F367" s="0">
        <f>VLOOKUP(D367,'Tier Params'!$A:$C,3,FALSE)</f>
        <v/>
      </c>
      <c r="G367" s="0">
        <f>CEILING(C367/F367,1)</f>
        <v/>
      </c>
      <c r="H367" s="0">
        <f>G367*E367</f>
        <v/>
      </c>
    </row>
    <row r="368">
      <c r="A368" s="0" t="inlineStr">
        <is>
          <t>Structure Docking Bay</t>
        </is>
      </c>
      <c r="B368" s="0" t="inlineStr">
        <is>
          <t>Hazmat Detection Systems</t>
        </is>
      </c>
      <c r="C368" s="0">
        <f>SUMIFS('BOM Cycle Calc'!$D:$D,'BOM Cycle Calc'!$B:$B,A368,'BOM Cycle Calc'!$C:$C,B368)</f>
        <v/>
      </c>
      <c r="D368" s="0">
        <f>VLOOKUP(B368,'Item Tier Lookup'!$A:$B,2,FALSE)</f>
        <v/>
      </c>
      <c r="E368" s="0">
        <f>VLOOKUP(D368,'Tier Params'!$A:$B,2,FALSE)</f>
        <v/>
      </c>
      <c r="F368" s="0">
        <f>VLOOKUP(D368,'Tier Params'!$A:$C,3,FALSE)</f>
        <v/>
      </c>
      <c r="G368" s="0">
        <f>CEILING(C368/F368,1)</f>
        <v/>
      </c>
      <c r="H368" s="0">
        <f>G368*E368</f>
        <v/>
      </c>
    </row>
    <row r="369">
      <c r="A369" s="0" t="inlineStr">
        <is>
          <t>Structure Docking Bay</t>
        </is>
      </c>
      <c r="B369" s="0" t="inlineStr">
        <is>
          <t>Polytextiles</t>
        </is>
      </c>
      <c r="C369" s="0">
        <f>SUMIFS('BOM Cycle Calc'!$D:$D,'BOM Cycle Calc'!$B:$B,A369,'BOM Cycle Calc'!$C:$C,B369)</f>
        <v/>
      </c>
      <c r="D369" s="0">
        <f>VLOOKUP(B369,'Item Tier Lookup'!$A:$B,2,FALSE)</f>
        <v/>
      </c>
      <c r="E369" s="0">
        <f>VLOOKUP(D369,'Tier Params'!$A:$B,2,FALSE)</f>
        <v/>
      </c>
      <c r="F369" s="0">
        <f>VLOOKUP(D369,'Tier Params'!$A:$C,3,FALSE)</f>
        <v/>
      </c>
      <c r="G369" s="0">
        <f>CEILING(C369/F369,1)</f>
        <v/>
      </c>
      <c r="H369" s="0">
        <f>G369*E369</f>
        <v/>
      </c>
    </row>
    <row r="370">
      <c r="A370" s="0" t="inlineStr">
        <is>
          <t>Structure Docking Bay</t>
        </is>
      </c>
      <c r="B370" s="0" t="inlineStr">
        <is>
          <t>Viral Agent</t>
        </is>
      </c>
      <c r="C370" s="0">
        <f>SUMIFS('BOM Cycle Calc'!$D:$D,'BOM Cycle Calc'!$B:$B,A370,'BOM Cycle Calc'!$C:$C,B370)</f>
        <v/>
      </c>
      <c r="D370" s="0">
        <f>VLOOKUP(B370,'Item Tier Lookup'!$A:$B,2,FALSE)</f>
        <v/>
      </c>
      <c r="E370" s="0">
        <f>VLOOKUP(D370,'Tier Params'!$A:$B,2,FALSE)</f>
        <v/>
      </c>
      <c r="F370" s="0">
        <f>VLOOKUP(D370,'Tier Params'!$A:$C,3,FALSE)</f>
        <v/>
      </c>
      <c r="G370" s="0">
        <f>CEILING(C370/F370,1)</f>
        <v/>
      </c>
      <c r="H370" s="0">
        <f>G370*E370</f>
        <v/>
      </c>
    </row>
    <row r="371">
      <c r="A371" s="0" t="inlineStr">
        <is>
          <t>Structure Docking Bay</t>
        </is>
      </c>
      <c r="B371" s="0" t="inlineStr">
        <is>
          <t>Bacteria</t>
        </is>
      </c>
      <c r="C371" s="0">
        <f>SUMIFS('BOM Cycle Calc'!$D:$D,'BOM Cycle Calc'!$B:$B,A371,'BOM Cycle Calc'!$C:$C,B371)</f>
        <v/>
      </c>
      <c r="D371" s="0">
        <f>VLOOKUP(B371,'Item Tier Lookup'!$A:$B,2,FALSE)</f>
        <v/>
      </c>
      <c r="E371" s="0">
        <f>VLOOKUP(D371,'Tier Params'!$A:$B,2,FALSE)</f>
        <v/>
      </c>
      <c r="F371" s="0">
        <f>VLOOKUP(D371,'Tier Params'!$A:$C,3,FALSE)</f>
        <v/>
      </c>
      <c r="G371" s="0">
        <f>CEILING(C371/F371,1)</f>
        <v/>
      </c>
      <c r="H371" s="0">
        <f>G371*E371</f>
        <v/>
      </c>
    </row>
    <row r="372">
      <c r="A372" s="0" t="inlineStr">
        <is>
          <t>Structure Docking Bay</t>
        </is>
      </c>
      <c r="B372" s="0" t="inlineStr">
        <is>
          <t>Microorganisms</t>
        </is>
      </c>
      <c r="C372" s="0">
        <f>SUMIFS('BOM Cycle Calc'!$D:$D,'BOM Cycle Calc'!$B:$B,A372,'BOM Cycle Calc'!$C:$C,B372)</f>
        <v/>
      </c>
      <c r="D372" s="0">
        <f>VLOOKUP(B372,'Item Tier Lookup'!$A:$B,2,FALSE)</f>
        <v/>
      </c>
      <c r="E372" s="0">
        <f>VLOOKUP(D372,'Tier Params'!$A:$B,2,FALSE)</f>
        <v/>
      </c>
      <c r="F372" s="0">
        <f>VLOOKUP(D372,'Tier Params'!$A:$C,3,FALSE)</f>
        <v/>
      </c>
      <c r="G372" s="0">
        <f>CEILING(C372/F372,1)</f>
        <v/>
      </c>
      <c r="H372" s="0">
        <f>G372*E372</f>
        <v/>
      </c>
    </row>
    <row r="373">
      <c r="A373" s="0" t="inlineStr">
        <is>
          <t>Structure Docking Bay</t>
        </is>
      </c>
      <c r="B373" s="0" t="inlineStr">
        <is>
          <t>Planetary Vehicles</t>
        </is>
      </c>
      <c r="C373" s="0">
        <f>SUMIFS('BOM Cycle Calc'!$D:$D,'BOM Cycle Calc'!$B:$B,A373,'BOM Cycle Calc'!$C:$C,B373)</f>
        <v/>
      </c>
      <c r="D373" s="0">
        <f>VLOOKUP(B373,'Item Tier Lookup'!$A:$B,2,FALSE)</f>
        <v/>
      </c>
      <c r="E373" s="0">
        <f>VLOOKUP(D373,'Tier Params'!$A:$B,2,FALSE)</f>
        <v/>
      </c>
      <c r="F373" s="0">
        <f>VLOOKUP(D373,'Tier Params'!$A:$C,3,FALSE)</f>
        <v/>
      </c>
      <c r="G373" s="0">
        <f>CEILING(C373/F373,1)</f>
        <v/>
      </c>
      <c r="H373" s="0">
        <f>G373*E373</f>
        <v/>
      </c>
    </row>
    <row r="374">
      <c r="A374" s="0" t="inlineStr">
        <is>
          <t>Structure Docking Bay</t>
        </is>
      </c>
      <c r="B374" s="0" t="inlineStr">
        <is>
          <t>Mechanical Parts</t>
        </is>
      </c>
      <c r="C374" s="0">
        <f>SUMIFS('BOM Cycle Calc'!$D:$D,'BOM Cycle Calc'!$B:$B,A374,'BOM Cycle Calc'!$C:$C,B374)</f>
        <v/>
      </c>
      <c r="D374" s="0">
        <f>VLOOKUP(B374,'Item Tier Lookup'!$A:$B,2,FALSE)</f>
        <v/>
      </c>
      <c r="E374" s="0">
        <f>VLOOKUP(D374,'Tier Params'!$A:$B,2,FALSE)</f>
        <v/>
      </c>
      <c r="F374" s="0">
        <f>VLOOKUP(D374,'Tier Params'!$A:$C,3,FALSE)</f>
        <v/>
      </c>
      <c r="G374" s="0">
        <f>CEILING(C374/F374,1)</f>
        <v/>
      </c>
      <c r="H374" s="0">
        <f>G374*E374</f>
        <v/>
      </c>
    </row>
    <row r="375">
      <c r="A375" s="0" t="inlineStr">
        <is>
          <t>Structure Docking Bay</t>
        </is>
      </c>
      <c r="B375" s="0" t="inlineStr">
        <is>
          <t>Reactive Metals</t>
        </is>
      </c>
      <c r="C375" s="0">
        <f>SUMIFS('BOM Cycle Calc'!$D:$D,'BOM Cycle Calc'!$B:$B,A375,'BOM Cycle Calc'!$C:$C,B375)</f>
        <v/>
      </c>
      <c r="D375" s="0">
        <f>VLOOKUP(B375,'Item Tier Lookup'!$A:$B,2,FALSE)</f>
        <v/>
      </c>
      <c r="E375" s="0">
        <f>VLOOKUP(D375,'Tier Params'!$A:$B,2,FALSE)</f>
        <v/>
      </c>
      <c r="F375" s="0">
        <f>VLOOKUP(D375,'Tier Params'!$A:$C,3,FALSE)</f>
        <v/>
      </c>
      <c r="G375" s="0">
        <f>CEILING(C375/F375,1)</f>
        <v/>
      </c>
      <c r="H375" s="0">
        <f>G375*E375</f>
        <v/>
      </c>
    </row>
    <row r="376">
      <c r="A376" s="0" t="inlineStr">
        <is>
          <t>Structure Docking Bay</t>
        </is>
      </c>
      <c r="B376" s="0" t="inlineStr">
        <is>
          <t>Base Metals</t>
        </is>
      </c>
      <c r="C376" s="0">
        <f>SUMIFS('BOM Cycle Calc'!$D:$D,'BOM Cycle Calc'!$B:$B,A376,'BOM Cycle Calc'!$C:$C,B376)</f>
        <v/>
      </c>
      <c r="D376" s="0">
        <f>VLOOKUP(B376,'Item Tier Lookup'!$A:$B,2,FALSE)</f>
        <v/>
      </c>
      <c r="E376" s="0">
        <f>VLOOKUP(D376,'Tier Params'!$A:$B,2,FALSE)</f>
        <v/>
      </c>
      <c r="F376" s="0">
        <f>VLOOKUP(D376,'Tier Params'!$A:$C,3,FALSE)</f>
        <v/>
      </c>
      <c r="G376" s="0">
        <f>CEILING(C376/F376,1)</f>
        <v/>
      </c>
      <c r="H376" s="0">
        <f>G376*E376</f>
        <v/>
      </c>
    </row>
    <row r="377">
      <c r="A377" s="0" t="inlineStr">
        <is>
          <t>Structure Docking Bay</t>
        </is>
      </c>
      <c r="B377" s="0" t="inlineStr">
        <is>
          <t>Miniature Electronics</t>
        </is>
      </c>
      <c r="C377" s="0">
        <f>SUMIFS('BOM Cycle Calc'!$D:$D,'BOM Cycle Calc'!$B:$B,A377,'BOM Cycle Calc'!$C:$C,B377)</f>
        <v/>
      </c>
      <c r="D377" s="0">
        <f>VLOOKUP(B377,'Item Tier Lookup'!$A:$B,2,FALSE)</f>
        <v/>
      </c>
      <c r="E377" s="0">
        <f>VLOOKUP(D377,'Tier Params'!$A:$B,2,FALSE)</f>
        <v/>
      </c>
      <c r="F377" s="0">
        <f>VLOOKUP(D377,'Tier Params'!$A:$C,3,FALSE)</f>
        <v/>
      </c>
      <c r="G377" s="0">
        <f>CEILING(C377/F377,1)</f>
        <v/>
      </c>
      <c r="H377" s="0">
        <f>G377*E377</f>
        <v/>
      </c>
    </row>
    <row r="378">
      <c r="A378" s="0" t="inlineStr">
        <is>
          <t>Structure Docking Bay</t>
        </is>
      </c>
      <c r="B378" s="0" t="inlineStr">
        <is>
          <t>Organic Mortar Applicators</t>
        </is>
      </c>
      <c r="C378" s="0">
        <f>SUMIFS('BOM Cycle Calc'!$D:$D,'BOM Cycle Calc'!$B:$B,A378,'BOM Cycle Calc'!$C:$C,B378)</f>
        <v/>
      </c>
      <c r="D378" s="0">
        <f>VLOOKUP(B378,'Item Tier Lookup'!$A:$B,2,FALSE)</f>
        <v/>
      </c>
      <c r="E378" s="0">
        <f>VLOOKUP(D378,'Tier Params'!$A:$B,2,FALSE)</f>
        <v/>
      </c>
      <c r="F378" s="0">
        <f>VLOOKUP(D378,'Tier Params'!$A:$C,3,FALSE)</f>
        <v/>
      </c>
      <c r="G378" s="0">
        <f>CEILING(C378/F378,1)</f>
        <v/>
      </c>
      <c r="H378" s="0">
        <f>G378*E378</f>
        <v/>
      </c>
    </row>
    <row r="379">
      <c r="A379" s="0" t="inlineStr">
        <is>
          <t>Structure Docking Bay</t>
        </is>
      </c>
      <c r="B379" s="0" t="inlineStr">
        <is>
          <t>Condensates</t>
        </is>
      </c>
      <c r="C379" s="0">
        <f>SUMIFS('BOM Cycle Calc'!$D:$D,'BOM Cycle Calc'!$B:$B,A379,'BOM Cycle Calc'!$C:$C,B379)</f>
        <v/>
      </c>
      <c r="D379" s="0">
        <f>VLOOKUP(B379,'Item Tier Lookup'!$A:$B,2,FALSE)</f>
        <v/>
      </c>
      <c r="E379" s="0">
        <f>VLOOKUP(D379,'Tier Params'!$A:$B,2,FALSE)</f>
        <v/>
      </c>
      <c r="F379" s="0">
        <f>VLOOKUP(D379,'Tier Params'!$A:$C,3,FALSE)</f>
        <v/>
      </c>
      <c r="G379" s="0">
        <f>CEILING(C379/F379,1)</f>
        <v/>
      </c>
      <c r="H379" s="0">
        <f>G379*E379</f>
        <v/>
      </c>
    </row>
    <row r="380">
      <c r="A380" s="0" t="inlineStr">
        <is>
          <t>Structure Docking Bay</t>
        </is>
      </c>
      <c r="B380" s="0" t="inlineStr">
        <is>
          <t>Coolant</t>
        </is>
      </c>
      <c r="C380" s="0">
        <f>SUMIFS('BOM Cycle Calc'!$D:$D,'BOM Cycle Calc'!$B:$B,A380,'BOM Cycle Calc'!$C:$C,B380)</f>
        <v/>
      </c>
      <c r="D380" s="0">
        <f>VLOOKUP(B380,'Item Tier Lookup'!$A:$B,2,FALSE)</f>
        <v/>
      </c>
      <c r="E380" s="0">
        <f>VLOOKUP(D380,'Tier Params'!$A:$B,2,FALSE)</f>
        <v/>
      </c>
      <c r="F380" s="0">
        <f>VLOOKUP(D380,'Tier Params'!$A:$C,3,FALSE)</f>
        <v/>
      </c>
      <c r="G380" s="0">
        <f>CEILING(C380/F380,1)</f>
        <v/>
      </c>
      <c r="H380" s="0">
        <f>G380*E380</f>
        <v/>
      </c>
    </row>
    <row r="381">
      <c r="A381" s="0" t="inlineStr">
        <is>
          <t>Structure Docking Bay</t>
        </is>
      </c>
      <c r="B381" s="0" t="inlineStr">
        <is>
          <t>Electrolytes</t>
        </is>
      </c>
      <c r="C381" s="0">
        <f>SUMIFS('BOM Cycle Calc'!$D:$D,'BOM Cycle Calc'!$B:$B,A381,'BOM Cycle Calc'!$C:$C,B381)</f>
        <v/>
      </c>
      <c r="D381" s="0">
        <f>VLOOKUP(B381,'Item Tier Lookup'!$A:$B,2,FALSE)</f>
        <v/>
      </c>
      <c r="E381" s="0">
        <f>VLOOKUP(D381,'Tier Params'!$A:$B,2,FALSE)</f>
        <v/>
      </c>
      <c r="F381" s="0">
        <f>VLOOKUP(D381,'Tier Params'!$A:$C,3,FALSE)</f>
        <v/>
      </c>
      <c r="G381" s="0">
        <f>CEILING(C381/F381,1)</f>
        <v/>
      </c>
      <c r="H381" s="0">
        <f>G381*E381</f>
        <v/>
      </c>
    </row>
    <row r="382">
      <c r="A382" s="0" t="inlineStr">
        <is>
          <t>Structure Docking Bay</t>
        </is>
      </c>
      <c r="B382" s="0" t="inlineStr">
        <is>
          <t>Ionic Solutions</t>
        </is>
      </c>
      <c r="C382" s="0">
        <f>SUMIFS('BOM Cycle Calc'!$D:$D,'BOM Cycle Calc'!$B:$B,A382,'BOM Cycle Calc'!$C:$C,B382)</f>
        <v/>
      </c>
      <c r="D382" s="0">
        <f>VLOOKUP(B382,'Item Tier Lookup'!$A:$B,2,FALSE)</f>
        <v/>
      </c>
      <c r="E382" s="0">
        <f>VLOOKUP(D382,'Tier Params'!$A:$B,2,FALSE)</f>
        <v/>
      </c>
      <c r="F382" s="0">
        <f>VLOOKUP(D382,'Tier Params'!$A:$C,3,FALSE)</f>
        <v/>
      </c>
      <c r="G382" s="0">
        <f>CEILING(C382/F382,1)</f>
        <v/>
      </c>
      <c r="H382" s="0">
        <f>G382*E382</f>
        <v/>
      </c>
    </row>
    <row r="383">
      <c r="A383" s="0" t="inlineStr">
        <is>
          <t>Structure Docking Bay</t>
        </is>
      </c>
      <c r="B383" s="0" t="inlineStr">
        <is>
          <t>Robotics</t>
        </is>
      </c>
      <c r="C383" s="0">
        <f>SUMIFS('BOM Cycle Calc'!$D:$D,'BOM Cycle Calc'!$B:$B,A383,'BOM Cycle Calc'!$C:$C,B383)</f>
        <v/>
      </c>
      <c r="D383" s="0">
        <f>VLOOKUP(B383,'Item Tier Lookup'!$A:$B,2,FALSE)</f>
        <v/>
      </c>
      <c r="E383" s="0">
        <f>VLOOKUP(D383,'Tier Params'!$A:$B,2,FALSE)</f>
        <v/>
      </c>
      <c r="F383" s="0">
        <f>VLOOKUP(D383,'Tier Params'!$A:$C,3,FALSE)</f>
        <v/>
      </c>
      <c r="G383" s="0">
        <f>CEILING(C383/F383,1)</f>
        <v/>
      </c>
      <c r="H383" s="0">
        <f>G383*E383</f>
        <v/>
      </c>
    </row>
    <row r="384">
      <c r="A384" s="0" t="inlineStr">
        <is>
          <t>Structure Docking Bay</t>
        </is>
      </c>
      <c r="B384" s="0" t="inlineStr">
        <is>
          <t>Consumer Electronics</t>
        </is>
      </c>
      <c r="C384" s="0">
        <f>SUMIFS('BOM Cycle Calc'!$D:$D,'BOM Cycle Calc'!$B:$B,A384,'BOM Cycle Calc'!$C:$C,B384)</f>
        <v/>
      </c>
      <c r="D384" s="0">
        <f>VLOOKUP(B384,'Item Tier Lookup'!$A:$B,2,FALSE)</f>
        <v/>
      </c>
      <c r="E384" s="0">
        <f>VLOOKUP(D384,'Tier Params'!$A:$B,2,FALSE)</f>
        <v/>
      </c>
      <c r="F384" s="0">
        <f>VLOOKUP(D384,'Tier Params'!$A:$C,3,FALSE)</f>
        <v/>
      </c>
      <c r="G384" s="0">
        <f>CEILING(C384/F384,1)</f>
        <v/>
      </c>
      <c r="H384" s="0">
        <f>G384*E384</f>
        <v/>
      </c>
    </row>
    <row r="385">
      <c r="A385" s="0" t="inlineStr">
        <is>
          <t>Structure Docking Bay</t>
        </is>
      </c>
      <c r="B385" s="0" t="inlineStr">
        <is>
          <t>Toxic Metals</t>
        </is>
      </c>
      <c r="C385" s="0">
        <f>SUMIFS('BOM Cycle Calc'!$D:$D,'BOM Cycle Calc'!$B:$B,A385,'BOM Cycle Calc'!$C:$C,B385)</f>
        <v/>
      </c>
      <c r="D385" s="0">
        <f>VLOOKUP(B385,'Item Tier Lookup'!$A:$B,2,FALSE)</f>
        <v/>
      </c>
      <c r="E385" s="0">
        <f>VLOOKUP(D385,'Tier Params'!$A:$B,2,FALSE)</f>
        <v/>
      </c>
      <c r="F385" s="0">
        <f>VLOOKUP(D385,'Tier Params'!$A:$C,3,FALSE)</f>
        <v/>
      </c>
      <c r="G385" s="0">
        <f>CEILING(C385/F385,1)</f>
        <v/>
      </c>
      <c r="H385" s="0">
        <f>G385*E385</f>
        <v/>
      </c>
    </row>
    <row r="386">
      <c r="A386" s="0" t="inlineStr">
        <is>
          <t>Structure Docking Bay</t>
        </is>
      </c>
      <c r="B386" s="0" t="inlineStr">
        <is>
          <t>Heavy Metals</t>
        </is>
      </c>
      <c r="C386" s="0">
        <f>SUMIFS('BOM Cycle Calc'!$D:$D,'BOM Cycle Calc'!$B:$B,A386,'BOM Cycle Calc'!$C:$C,B386)</f>
        <v/>
      </c>
      <c r="D386" s="0">
        <f>VLOOKUP(B386,'Item Tier Lookup'!$A:$B,2,FALSE)</f>
        <v/>
      </c>
      <c r="E386" s="0">
        <f>VLOOKUP(D386,'Tier Params'!$A:$B,2,FALSE)</f>
        <v/>
      </c>
      <c r="F386" s="0">
        <f>VLOOKUP(D386,'Tier Params'!$A:$C,3,FALSE)</f>
        <v/>
      </c>
      <c r="G386" s="0">
        <f>CEILING(C386/F386,1)</f>
        <v/>
      </c>
      <c r="H386" s="0">
        <f>G386*E386</f>
        <v/>
      </c>
    </row>
    <row r="387">
      <c r="A387" s="0" t="inlineStr">
        <is>
          <t>Structure Docking Bay</t>
        </is>
      </c>
      <c r="B387" s="0" t="inlineStr">
        <is>
          <t>Recursive Computing Module</t>
        </is>
      </c>
      <c r="C387" s="0">
        <f>SUMIFS('BOM Cycle Calc'!$D:$D,'BOM Cycle Calc'!$B:$B,A387,'BOM Cycle Calc'!$C:$C,B387)</f>
        <v/>
      </c>
      <c r="D387" s="0">
        <f>VLOOKUP(B387,'Item Tier Lookup'!$A:$B,2,FALSE)</f>
        <v/>
      </c>
      <c r="E387" s="0">
        <f>VLOOKUP(D387,'Tier Params'!$A:$B,2,FALSE)</f>
        <v/>
      </c>
      <c r="F387" s="0">
        <f>VLOOKUP(D387,'Tier Params'!$A:$C,3,FALSE)</f>
        <v/>
      </c>
      <c r="G387" s="0">
        <f>CEILING(C387/F387,1)</f>
        <v/>
      </c>
      <c r="H387" s="0">
        <f>G387*E387</f>
        <v/>
      </c>
    </row>
    <row r="388">
      <c r="A388" s="0" t="inlineStr">
        <is>
          <t>Structure Docking Bay</t>
        </is>
      </c>
      <c r="B388" s="0" t="inlineStr">
        <is>
          <t>Synthetic Synapses</t>
        </is>
      </c>
      <c r="C388" s="0">
        <f>SUMIFS('BOM Cycle Calc'!$D:$D,'BOM Cycle Calc'!$B:$B,A388,'BOM Cycle Calc'!$C:$C,B388)</f>
        <v/>
      </c>
      <c r="D388" s="0">
        <f>VLOOKUP(B388,'Item Tier Lookup'!$A:$B,2,FALSE)</f>
        <v/>
      </c>
      <c r="E388" s="0">
        <f>VLOOKUP(D388,'Tier Params'!$A:$B,2,FALSE)</f>
        <v/>
      </c>
      <c r="F388" s="0">
        <f>VLOOKUP(D388,'Tier Params'!$A:$C,3,FALSE)</f>
        <v/>
      </c>
      <c r="G388" s="0">
        <f>CEILING(C388/F388,1)</f>
        <v/>
      </c>
      <c r="H388" s="0">
        <f>G388*E388</f>
        <v/>
      </c>
    </row>
    <row r="389">
      <c r="A389" s="0" t="inlineStr">
        <is>
          <t>Structure Docking Bay</t>
        </is>
      </c>
      <c r="B389" s="0" t="inlineStr">
        <is>
          <t>Test Cultures</t>
        </is>
      </c>
      <c r="C389" s="0">
        <f>SUMIFS('BOM Cycle Calc'!$D:$D,'BOM Cycle Calc'!$B:$B,A389,'BOM Cycle Calc'!$C:$C,B389)</f>
        <v/>
      </c>
      <c r="D389" s="0">
        <f>VLOOKUP(B389,'Item Tier Lookup'!$A:$B,2,FALSE)</f>
        <v/>
      </c>
      <c r="E389" s="0">
        <f>VLOOKUP(D389,'Tier Params'!$A:$B,2,FALSE)</f>
        <v/>
      </c>
      <c r="F389" s="0">
        <f>VLOOKUP(D389,'Tier Params'!$A:$C,3,FALSE)</f>
        <v/>
      </c>
      <c r="G389" s="0">
        <f>CEILING(C389/F389,1)</f>
        <v/>
      </c>
      <c r="H389" s="0">
        <f>G389*E389</f>
        <v/>
      </c>
    </row>
    <row r="390">
      <c r="A390" s="0" t="inlineStr">
        <is>
          <t>Structure Docking Bay</t>
        </is>
      </c>
      <c r="B390" s="0" t="inlineStr">
        <is>
          <t>Transcranial Microcontrollers</t>
        </is>
      </c>
      <c r="C390" s="0">
        <f>SUMIFS('BOM Cycle Calc'!$D:$D,'BOM Cycle Calc'!$B:$B,A390,'BOM Cycle Calc'!$C:$C,B390)</f>
        <v/>
      </c>
      <c r="D390" s="0">
        <f>VLOOKUP(B390,'Item Tier Lookup'!$A:$B,2,FALSE)</f>
        <v/>
      </c>
      <c r="E390" s="0">
        <f>VLOOKUP(D390,'Tier Params'!$A:$B,2,FALSE)</f>
        <v/>
      </c>
      <c r="F390" s="0">
        <f>VLOOKUP(D390,'Tier Params'!$A:$C,3,FALSE)</f>
        <v/>
      </c>
      <c r="G390" s="0">
        <f>CEILING(C390/F390,1)</f>
        <v/>
      </c>
      <c r="H390" s="0">
        <f>G390*E390</f>
        <v/>
      </c>
    </row>
    <row r="391">
      <c r="A391" s="0" t="inlineStr">
        <is>
          <t>Structure Docking Bay</t>
        </is>
      </c>
      <c r="B391" s="0" t="inlineStr">
        <is>
          <t>Nanites</t>
        </is>
      </c>
      <c r="C391" s="0">
        <f>SUMIFS('BOM Cycle Calc'!$D:$D,'BOM Cycle Calc'!$B:$B,A391,'BOM Cycle Calc'!$C:$C,B391)</f>
        <v/>
      </c>
      <c r="D391" s="0">
        <f>VLOOKUP(B391,'Item Tier Lookup'!$A:$B,2,FALSE)</f>
        <v/>
      </c>
      <c r="E391" s="0">
        <f>VLOOKUP(D391,'Tier Params'!$A:$B,2,FALSE)</f>
        <v/>
      </c>
      <c r="F391" s="0">
        <f>VLOOKUP(D391,'Tier Params'!$A:$C,3,FALSE)</f>
        <v/>
      </c>
      <c r="G391" s="0">
        <f>CEILING(C391/F391,1)</f>
        <v/>
      </c>
      <c r="H391" s="0">
        <f>G391*E391</f>
        <v/>
      </c>
    </row>
    <row r="392">
      <c r="A392" s="0" t="inlineStr">
        <is>
          <t>Structure Docking Bay</t>
        </is>
      </c>
      <c r="B392" s="0" t="inlineStr">
        <is>
          <t>Guidance Systems</t>
        </is>
      </c>
      <c r="C392" s="0">
        <f>SUMIFS('BOM Cycle Calc'!$D:$D,'BOM Cycle Calc'!$B:$B,A392,'BOM Cycle Calc'!$C:$C,B392)</f>
        <v/>
      </c>
      <c r="D392" s="0">
        <f>VLOOKUP(B392,'Item Tier Lookup'!$A:$B,2,FALSE)</f>
        <v/>
      </c>
      <c r="E392" s="0">
        <f>VLOOKUP(D392,'Tier Params'!$A:$B,2,FALSE)</f>
        <v/>
      </c>
      <c r="F392" s="0">
        <f>VLOOKUP(D392,'Tier Params'!$A:$C,3,FALSE)</f>
        <v/>
      </c>
      <c r="G392" s="0">
        <f>CEILING(C392/F392,1)</f>
        <v/>
      </c>
      <c r="H392" s="0">
        <f>G392*E392</f>
        <v/>
      </c>
    </row>
    <row r="393">
      <c r="A393" s="0" t="inlineStr">
        <is>
          <t>Structure Docking Bay</t>
        </is>
      </c>
      <c r="B393" s="0" t="inlineStr">
        <is>
          <t>Water-Cooled CPU</t>
        </is>
      </c>
      <c r="C393" s="0">
        <f>SUMIFS('BOM Cycle Calc'!$D:$D,'BOM Cycle Calc'!$B:$B,A393,'BOM Cycle Calc'!$C:$C,B393)</f>
        <v/>
      </c>
      <c r="D393" s="0">
        <f>VLOOKUP(B393,'Item Tier Lookup'!$A:$B,2,FALSE)</f>
        <v/>
      </c>
      <c r="E393" s="0">
        <f>VLOOKUP(D393,'Tier Params'!$A:$B,2,FALSE)</f>
        <v/>
      </c>
      <c r="F393" s="0">
        <f>VLOOKUP(D393,'Tier Params'!$A:$C,3,FALSE)</f>
        <v/>
      </c>
      <c r="G393" s="0">
        <f>CEILING(C393/F393,1)</f>
        <v/>
      </c>
      <c r="H393" s="0">
        <f>G393*E393</f>
        <v/>
      </c>
    </row>
    <row r="394">
      <c r="A394" s="0" t="inlineStr">
        <is>
          <t>Structure Docking Bay</t>
        </is>
      </c>
      <c r="B394" s="0" t="inlineStr">
        <is>
          <t>Self-Harmonizing Power Core</t>
        </is>
      </c>
      <c r="C394" s="0">
        <f>SUMIFS('BOM Cycle Calc'!$D:$D,'BOM Cycle Calc'!$B:$B,A394,'BOM Cycle Calc'!$C:$C,B394)</f>
        <v/>
      </c>
      <c r="D394" s="0">
        <f>VLOOKUP(B394,'Item Tier Lookup'!$A:$B,2,FALSE)</f>
        <v/>
      </c>
      <c r="E394" s="0">
        <f>VLOOKUP(D394,'Tier Params'!$A:$B,2,FALSE)</f>
        <v/>
      </c>
      <c r="F394" s="0">
        <f>VLOOKUP(D394,'Tier Params'!$A:$C,3,FALSE)</f>
        <v/>
      </c>
      <c r="G394" s="0">
        <f>CEILING(C394/F394,1)</f>
        <v/>
      </c>
      <c r="H394" s="0">
        <f>G394*E394</f>
        <v/>
      </c>
    </row>
    <row r="395">
      <c r="A395" s="0" t="inlineStr">
        <is>
          <t>Structure Docking Bay</t>
        </is>
      </c>
      <c r="B395" s="0" t="inlineStr">
        <is>
          <t>Nuclear Reactors</t>
        </is>
      </c>
      <c r="C395" s="0">
        <f>SUMIFS('BOM Cycle Calc'!$D:$D,'BOM Cycle Calc'!$B:$B,A395,'BOM Cycle Calc'!$C:$C,B395)</f>
        <v/>
      </c>
      <c r="D395" s="0">
        <f>VLOOKUP(B395,'Item Tier Lookup'!$A:$B,2,FALSE)</f>
        <v/>
      </c>
      <c r="E395" s="0">
        <f>VLOOKUP(D395,'Tier Params'!$A:$B,2,FALSE)</f>
        <v/>
      </c>
      <c r="F395" s="0">
        <f>VLOOKUP(D395,'Tier Params'!$A:$C,3,FALSE)</f>
        <v/>
      </c>
      <c r="G395" s="0">
        <f>CEILING(C395/F395,1)</f>
        <v/>
      </c>
      <c r="H395" s="0">
        <f>G395*E395</f>
        <v/>
      </c>
    </row>
    <row r="396">
      <c r="A396" s="0" t="inlineStr">
        <is>
          <t>Structure Docking Bay</t>
        </is>
      </c>
      <c r="B396" s="0" t="inlineStr">
        <is>
          <t>Enriched Uranium</t>
        </is>
      </c>
      <c r="C396" s="0">
        <f>SUMIFS('BOM Cycle Calc'!$D:$D,'BOM Cycle Calc'!$B:$B,A396,'BOM Cycle Calc'!$C:$C,B396)</f>
        <v/>
      </c>
      <c r="D396" s="0">
        <f>VLOOKUP(B396,'Item Tier Lookup'!$A:$B,2,FALSE)</f>
        <v/>
      </c>
      <c r="E396" s="0">
        <f>VLOOKUP(D396,'Tier Params'!$A:$B,2,FALSE)</f>
        <v/>
      </c>
      <c r="F396" s="0">
        <f>VLOOKUP(D396,'Tier Params'!$A:$C,3,FALSE)</f>
        <v/>
      </c>
      <c r="G396" s="0">
        <f>CEILING(C396/F396,1)</f>
        <v/>
      </c>
      <c r="H396" s="0">
        <f>G396*E396</f>
        <v/>
      </c>
    </row>
    <row r="397">
      <c r="A397" s="0" t="inlineStr">
        <is>
          <t>Structure Docking Bay</t>
        </is>
      </c>
      <c r="B397" s="0" t="inlineStr">
        <is>
          <t>Camera Drones</t>
        </is>
      </c>
      <c r="C397" s="0">
        <f>SUMIFS('BOM Cycle Calc'!$D:$D,'BOM Cycle Calc'!$B:$B,A397,'BOM Cycle Calc'!$C:$C,B397)</f>
        <v/>
      </c>
      <c r="D397" s="0">
        <f>VLOOKUP(B397,'Item Tier Lookup'!$A:$B,2,FALSE)</f>
        <v/>
      </c>
      <c r="E397" s="0">
        <f>VLOOKUP(D397,'Tier Params'!$A:$B,2,FALSE)</f>
        <v/>
      </c>
      <c r="F397" s="0">
        <f>VLOOKUP(D397,'Tier Params'!$A:$C,3,FALSE)</f>
        <v/>
      </c>
      <c r="G397" s="0">
        <f>CEILING(C397/F397,1)</f>
        <v/>
      </c>
      <c r="H397" s="0">
        <f>G397*E397</f>
        <v/>
      </c>
    </row>
    <row r="398">
      <c r="A398" s="0" t="inlineStr">
        <is>
          <t>Structure Docking Bay</t>
        </is>
      </c>
      <c r="B398" s="0" t="inlineStr">
        <is>
          <t>Rocket Fuel</t>
        </is>
      </c>
      <c r="C398" s="0">
        <f>SUMIFS('BOM Cycle Calc'!$D:$D,'BOM Cycle Calc'!$B:$B,A398,'BOM Cycle Calc'!$C:$C,B398)</f>
        <v/>
      </c>
      <c r="D398" s="0">
        <f>VLOOKUP(B398,'Item Tier Lookup'!$A:$B,2,FALSE)</f>
        <v/>
      </c>
      <c r="E398" s="0">
        <f>VLOOKUP(D398,'Tier Params'!$A:$B,2,FALSE)</f>
        <v/>
      </c>
      <c r="F398" s="0">
        <f>VLOOKUP(D398,'Tier Params'!$A:$C,3,FALSE)</f>
        <v/>
      </c>
      <c r="G398" s="0">
        <f>CEILING(C398/F398,1)</f>
        <v/>
      </c>
      <c r="H398" s="0">
        <f>G398*E398</f>
        <v/>
      </c>
    </row>
    <row r="399">
      <c r="A399" s="0" t="inlineStr">
        <is>
          <t>Structure Docking Bay</t>
        </is>
      </c>
      <c r="B399" s="0" t="inlineStr">
        <is>
          <t>Hermetic Membranes</t>
        </is>
      </c>
      <c r="C399" s="0">
        <f>SUMIFS('BOM Cycle Calc'!$D:$D,'BOM Cycle Calc'!$B:$B,A399,'BOM Cycle Calc'!$C:$C,B399)</f>
        <v/>
      </c>
      <c r="D399" s="0">
        <f>VLOOKUP(B399,'Item Tier Lookup'!$A:$B,2,FALSE)</f>
        <v/>
      </c>
      <c r="E399" s="0">
        <f>VLOOKUP(D399,'Tier Params'!$A:$B,2,FALSE)</f>
        <v/>
      </c>
      <c r="F399" s="0">
        <f>VLOOKUP(D399,'Tier Params'!$A:$C,3,FALSE)</f>
        <v/>
      </c>
      <c r="G399" s="0">
        <f>CEILING(C399/F399,1)</f>
        <v/>
      </c>
      <c r="H399" s="0">
        <f>G399*E399</f>
        <v/>
      </c>
    </row>
    <row r="400">
      <c r="A400" s="0" t="inlineStr">
        <is>
          <t>Structure Docking Bay</t>
        </is>
      </c>
      <c r="B400" s="0" t="inlineStr">
        <is>
          <t>Genetically Enhanced Livestock</t>
        </is>
      </c>
      <c r="C400" s="0">
        <f>SUMIFS('BOM Cycle Calc'!$D:$D,'BOM Cycle Calc'!$B:$B,A400,'BOM Cycle Calc'!$C:$C,B400)</f>
        <v/>
      </c>
      <c r="D400" s="0">
        <f>VLOOKUP(B400,'Item Tier Lookup'!$A:$B,2,FALSE)</f>
        <v/>
      </c>
      <c r="E400" s="0">
        <f>VLOOKUP(D400,'Tier Params'!$A:$B,2,FALSE)</f>
        <v/>
      </c>
      <c r="F400" s="0">
        <f>VLOOKUP(D400,'Tier Params'!$A:$C,3,FALSE)</f>
        <v/>
      </c>
      <c r="G400" s="0">
        <f>CEILING(C400/F400,1)</f>
        <v/>
      </c>
      <c r="H400" s="0">
        <f>G400*E400</f>
        <v/>
      </c>
    </row>
    <row r="401">
      <c r="A401" s="0" t="inlineStr">
        <is>
          <t>Structure Docking Bay</t>
        </is>
      </c>
      <c r="B401" s="0" t="inlineStr">
        <is>
          <t>Proteins</t>
        </is>
      </c>
      <c r="C401" s="0">
        <f>SUMIFS('BOM Cycle Calc'!$D:$D,'BOM Cycle Calc'!$B:$B,A401,'BOM Cycle Calc'!$C:$C,B401)</f>
        <v/>
      </c>
      <c r="D401" s="0">
        <f>VLOOKUP(B401,'Item Tier Lookup'!$A:$B,2,FALSE)</f>
        <v/>
      </c>
      <c r="E401" s="0">
        <f>VLOOKUP(D401,'Tier Params'!$A:$B,2,FALSE)</f>
        <v/>
      </c>
      <c r="F401" s="0">
        <f>VLOOKUP(D401,'Tier Params'!$A:$C,3,FALSE)</f>
        <v/>
      </c>
      <c r="G401" s="0">
        <f>CEILING(C401/F401,1)</f>
        <v/>
      </c>
      <c r="H401" s="0">
        <f>G401*E401</f>
        <v/>
      </c>
    </row>
    <row r="402">
      <c r="A402" s="0" t="inlineStr">
        <is>
          <t>Structure Docking Bay</t>
        </is>
      </c>
      <c r="B402" s="0" t="inlineStr">
        <is>
          <t>Complex Organisms</t>
        </is>
      </c>
      <c r="C402" s="0">
        <f>SUMIFS('BOM Cycle Calc'!$D:$D,'BOM Cycle Calc'!$B:$B,A402,'BOM Cycle Calc'!$C:$C,B402)</f>
        <v/>
      </c>
      <c r="D402" s="0">
        <f>VLOOKUP(B402,'Item Tier Lookup'!$A:$B,2,FALSE)</f>
        <v/>
      </c>
      <c r="E402" s="0">
        <f>VLOOKUP(D402,'Tier Params'!$A:$B,2,FALSE)</f>
        <v/>
      </c>
      <c r="F402" s="0">
        <f>VLOOKUP(D402,'Tier Params'!$A:$C,3,FALSE)</f>
        <v/>
      </c>
      <c r="G402" s="0">
        <f>CEILING(C402/F402,1)</f>
        <v/>
      </c>
      <c r="H402" s="0">
        <f>G402*E402</f>
        <v/>
      </c>
    </row>
    <row r="403">
      <c r="A403" s="0" t="inlineStr">
        <is>
          <t>Structure Docking Bay</t>
        </is>
      </c>
      <c r="B403" s="0" t="inlineStr">
        <is>
          <t>Wetware Mainframe</t>
        </is>
      </c>
      <c r="C403" s="0">
        <f>SUMIFS('BOM Cycle Calc'!$D:$D,'BOM Cycle Calc'!$B:$B,A403,'BOM Cycle Calc'!$C:$C,B403)</f>
        <v/>
      </c>
      <c r="D403" s="0">
        <f>VLOOKUP(B403,'Item Tier Lookup'!$A:$B,2,FALSE)</f>
        <v/>
      </c>
      <c r="E403" s="0">
        <f>VLOOKUP(D403,'Tier Params'!$A:$B,2,FALSE)</f>
        <v/>
      </c>
      <c r="F403" s="0">
        <f>VLOOKUP(D403,'Tier Params'!$A:$C,3,FALSE)</f>
        <v/>
      </c>
      <c r="G403" s="0">
        <f>CEILING(C403/F403,1)</f>
        <v/>
      </c>
      <c r="H403" s="0">
        <f>G403*E403</f>
        <v/>
      </c>
    </row>
    <row r="404">
      <c r="A404" s="0" t="inlineStr">
        <is>
          <t>Structure Docking Bay</t>
        </is>
      </c>
      <c r="B404" s="0" t="inlineStr">
        <is>
          <t>Supercomputers</t>
        </is>
      </c>
      <c r="C404" s="0">
        <f>SUMIFS('BOM Cycle Calc'!$D:$D,'BOM Cycle Calc'!$B:$B,A404,'BOM Cycle Calc'!$C:$C,B404)</f>
        <v/>
      </c>
      <c r="D404" s="0">
        <f>VLOOKUP(B404,'Item Tier Lookup'!$A:$B,2,FALSE)</f>
        <v/>
      </c>
      <c r="E404" s="0">
        <f>VLOOKUP(D404,'Tier Params'!$A:$B,2,FALSE)</f>
        <v/>
      </c>
      <c r="F404" s="0">
        <f>VLOOKUP(D404,'Tier Params'!$A:$C,3,FALSE)</f>
        <v/>
      </c>
      <c r="G404" s="0">
        <f>CEILING(C404/F404,1)</f>
        <v/>
      </c>
      <c r="H404" s="0">
        <f>G404*E404</f>
        <v/>
      </c>
    </row>
    <row r="405">
      <c r="A405" s="0" t="inlineStr">
        <is>
          <t>Structure Docking Bay</t>
        </is>
      </c>
      <c r="B405" s="0" t="inlineStr">
        <is>
          <t>Biotech Research Reports</t>
        </is>
      </c>
      <c r="C405" s="0">
        <f>SUMIFS('BOM Cycle Calc'!$D:$D,'BOM Cycle Calc'!$B:$B,A405,'BOM Cycle Calc'!$C:$C,B405)</f>
        <v/>
      </c>
      <c r="D405" s="0">
        <f>VLOOKUP(B405,'Item Tier Lookup'!$A:$B,2,FALSE)</f>
        <v/>
      </c>
      <c r="E405" s="0">
        <f>VLOOKUP(D405,'Tier Params'!$A:$B,2,FALSE)</f>
        <v/>
      </c>
      <c r="F405" s="0">
        <f>VLOOKUP(D405,'Tier Params'!$A:$C,3,FALSE)</f>
        <v/>
      </c>
      <c r="G405" s="0">
        <f>CEILING(C405/F405,1)</f>
        <v/>
      </c>
      <c r="H405" s="0">
        <f>G405*E405</f>
        <v/>
      </c>
    </row>
    <row r="406">
      <c r="A406" s="0" t="inlineStr">
        <is>
          <t>Structure Docking Bay</t>
        </is>
      </c>
      <c r="B406" s="0" t="inlineStr">
        <is>
          <t>Construction Blocks</t>
        </is>
      </c>
      <c r="C406" s="0">
        <f>SUMIFS('BOM Cycle Calc'!$D:$D,'BOM Cycle Calc'!$B:$B,A406,'BOM Cycle Calc'!$C:$C,B406)</f>
        <v/>
      </c>
      <c r="D406" s="0">
        <f>VLOOKUP(B406,'Item Tier Lookup'!$A:$B,2,FALSE)</f>
        <v/>
      </c>
      <c r="E406" s="0">
        <f>VLOOKUP(D406,'Tier Params'!$A:$B,2,FALSE)</f>
        <v/>
      </c>
      <c r="F406" s="0">
        <f>VLOOKUP(D406,'Tier Params'!$A:$C,3,FALSE)</f>
        <v/>
      </c>
      <c r="G406" s="0">
        <f>CEILING(C406/F406,1)</f>
        <v/>
      </c>
      <c r="H406" s="0">
        <f>G406*E406</f>
        <v/>
      </c>
    </row>
    <row r="407">
      <c r="A407" s="0" t="inlineStr">
        <is>
          <t>Structure Docking Bay</t>
        </is>
      </c>
      <c r="B407" s="0" t="inlineStr">
        <is>
          <t>Livestock</t>
        </is>
      </c>
      <c r="C407" s="0">
        <f>SUMIFS('BOM Cycle Calc'!$D:$D,'BOM Cycle Calc'!$B:$B,A407,'BOM Cycle Calc'!$C:$C,B407)</f>
        <v/>
      </c>
      <c r="D407" s="0">
        <f>VLOOKUP(B407,'Item Tier Lookup'!$A:$B,2,FALSE)</f>
        <v/>
      </c>
      <c r="E407" s="0">
        <f>VLOOKUP(D407,'Tier Params'!$A:$B,2,FALSE)</f>
        <v/>
      </c>
      <c r="F407" s="0">
        <f>VLOOKUP(D407,'Tier Params'!$A:$C,3,FALSE)</f>
        <v/>
      </c>
      <c r="G407" s="0">
        <f>CEILING(C407/F407,1)</f>
        <v/>
      </c>
      <c r="H407" s="0">
        <f>G407*E407</f>
        <v/>
      </c>
    </row>
    <row r="408">
      <c r="A408" s="0" t="inlineStr">
        <is>
          <t>Structure Docking Bay</t>
        </is>
      </c>
      <c r="B408" s="0" t="inlineStr">
        <is>
          <t>Cryoprotectant Solution</t>
        </is>
      </c>
      <c r="C408" s="0">
        <f>SUMIFS('BOM Cycle Calc'!$D:$D,'BOM Cycle Calc'!$B:$B,A408,'BOM Cycle Calc'!$C:$C,B408)</f>
        <v/>
      </c>
      <c r="D408" s="0">
        <f>VLOOKUP(B408,'Item Tier Lookup'!$A:$B,2,FALSE)</f>
        <v/>
      </c>
      <c r="E408" s="0">
        <f>VLOOKUP(D408,'Tier Params'!$A:$B,2,FALSE)</f>
        <v/>
      </c>
      <c r="F408" s="0">
        <f>VLOOKUP(D408,'Tier Params'!$A:$C,3,FALSE)</f>
        <v/>
      </c>
      <c r="G408" s="0">
        <f>CEILING(C408/F408,1)</f>
        <v/>
      </c>
      <c r="H408" s="0">
        <f>G408*E408</f>
        <v/>
      </c>
    </row>
    <row r="409">
      <c r="A409" s="0" t="inlineStr">
        <is>
          <t>Structure Docking Bay</t>
        </is>
      </c>
      <c r="B409" s="0" t="inlineStr">
        <is>
          <t>Synthetic Oil</t>
        </is>
      </c>
      <c r="C409" s="0">
        <f>SUMIFS('BOM Cycle Calc'!$D:$D,'BOM Cycle Calc'!$B:$B,A409,'BOM Cycle Calc'!$C:$C,B409)</f>
        <v/>
      </c>
      <c r="D409" s="0">
        <f>VLOOKUP(B409,'Item Tier Lookup'!$A:$B,2,FALSE)</f>
        <v/>
      </c>
      <c r="E409" s="0">
        <f>VLOOKUP(D409,'Tier Params'!$A:$B,2,FALSE)</f>
        <v/>
      </c>
      <c r="F409" s="0">
        <f>VLOOKUP(D409,'Tier Params'!$A:$C,3,FALSE)</f>
        <v/>
      </c>
      <c r="G409" s="0">
        <f>CEILING(C409/F409,1)</f>
        <v/>
      </c>
      <c r="H409" s="0">
        <f>G409*E409</f>
        <v/>
      </c>
    </row>
    <row r="410">
      <c r="A410" s="0" t="inlineStr">
        <is>
          <t>Structure Docking Bay</t>
        </is>
      </c>
      <c r="B410" s="0" t="inlineStr">
        <is>
          <t>Fertilizer</t>
        </is>
      </c>
      <c r="C410" s="0">
        <f>SUMIFS('BOM Cycle Calc'!$D:$D,'BOM Cycle Calc'!$B:$B,A410,'BOM Cycle Calc'!$C:$C,B410)</f>
        <v/>
      </c>
      <c r="D410" s="0">
        <f>VLOOKUP(B410,'Item Tier Lookup'!$A:$B,2,FALSE)</f>
        <v/>
      </c>
      <c r="E410" s="0">
        <f>VLOOKUP(D410,'Tier Params'!$A:$B,2,FALSE)</f>
        <v/>
      </c>
      <c r="F410" s="0">
        <f>VLOOKUP(D410,'Tier Params'!$A:$C,3,FALSE)</f>
        <v/>
      </c>
      <c r="G410" s="0">
        <f>CEILING(C410/F410,1)</f>
        <v/>
      </c>
      <c r="H410" s="0">
        <f>G410*E410</f>
        <v/>
      </c>
    </row>
    <row r="411">
      <c r="A411" s="0" t="inlineStr">
        <is>
          <t>Structure Medical Center</t>
        </is>
      </c>
      <c r="B411" s="0" t="inlineStr">
        <is>
          <t>Tritanium</t>
        </is>
      </c>
      <c r="C411" s="0">
        <f>SUMIFS('BOM Cycle Calc'!$D:$D,'BOM Cycle Calc'!$B:$B,A411,'BOM Cycle Calc'!$C:$C,B411)</f>
        <v/>
      </c>
      <c r="D411" s="0">
        <f>VLOOKUP(B411,'Item Tier Lookup'!$A:$B,2,FALSE)</f>
        <v/>
      </c>
      <c r="E411" s="0">
        <f>VLOOKUP(D411,'Tier Params'!$A:$B,2,FALSE)</f>
        <v/>
      </c>
      <c r="F411" s="0">
        <f>VLOOKUP(D411,'Tier Params'!$A:$C,3,FALSE)</f>
        <v/>
      </c>
      <c r="G411" s="0">
        <f>CEILING(C411/F411,1)</f>
        <v/>
      </c>
      <c r="H411" s="0">
        <f>G411*E411</f>
        <v/>
      </c>
    </row>
    <row r="412">
      <c r="A412" s="0" t="inlineStr">
        <is>
          <t>Structure Medical Center</t>
        </is>
      </c>
      <c r="B412" s="0" t="inlineStr">
        <is>
          <t>Pyerite</t>
        </is>
      </c>
      <c r="C412" s="0">
        <f>SUMIFS('BOM Cycle Calc'!$D:$D,'BOM Cycle Calc'!$B:$B,A412,'BOM Cycle Calc'!$C:$C,B412)</f>
        <v/>
      </c>
      <c r="D412" s="0">
        <f>VLOOKUP(B412,'Item Tier Lookup'!$A:$B,2,FALSE)</f>
        <v/>
      </c>
      <c r="E412" s="0">
        <f>VLOOKUP(D412,'Tier Params'!$A:$B,2,FALSE)</f>
        <v/>
      </c>
      <c r="F412" s="0">
        <f>VLOOKUP(D412,'Tier Params'!$A:$C,3,FALSE)</f>
        <v/>
      </c>
      <c r="G412" s="0">
        <f>CEILING(C412/F412,1)</f>
        <v/>
      </c>
      <c r="H412" s="0">
        <f>G412*E412</f>
        <v/>
      </c>
    </row>
    <row r="413">
      <c r="A413" s="0" t="inlineStr">
        <is>
          <t>Structure Medical Center</t>
        </is>
      </c>
      <c r="B413" s="0" t="inlineStr">
        <is>
          <t>Mexallon</t>
        </is>
      </c>
      <c r="C413" s="0">
        <f>SUMIFS('BOM Cycle Calc'!$D:$D,'BOM Cycle Calc'!$B:$B,A413,'BOM Cycle Calc'!$C:$C,B413)</f>
        <v/>
      </c>
      <c r="D413" s="0">
        <f>VLOOKUP(B413,'Item Tier Lookup'!$A:$B,2,FALSE)</f>
        <v/>
      </c>
      <c r="E413" s="0">
        <f>VLOOKUP(D413,'Tier Params'!$A:$B,2,FALSE)</f>
        <v/>
      </c>
      <c r="F413" s="0">
        <f>VLOOKUP(D413,'Tier Params'!$A:$C,3,FALSE)</f>
        <v/>
      </c>
      <c r="G413" s="0">
        <f>CEILING(C413/F413,1)</f>
        <v/>
      </c>
      <c r="H413" s="0">
        <f>G413*E413</f>
        <v/>
      </c>
    </row>
    <row r="414">
      <c r="A414" s="0" t="inlineStr">
        <is>
          <t>Structure Medical Center</t>
        </is>
      </c>
      <c r="B414" s="0" t="inlineStr">
        <is>
          <t>Isogen</t>
        </is>
      </c>
      <c r="C414" s="0">
        <f>SUMIFS('BOM Cycle Calc'!$D:$D,'BOM Cycle Calc'!$B:$B,A414,'BOM Cycle Calc'!$C:$C,B414)</f>
        <v/>
      </c>
      <c r="D414" s="0">
        <f>VLOOKUP(B414,'Item Tier Lookup'!$A:$B,2,FALSE)</f>
        <v/>
      </c>
      <c r="E414" s="0">
        <f>VLOOKUP(D414,'Tier Params'!$A:$B,2,FALSE)</f>
        <v/>
      </c>
      <c r="F414" s="0">
        <f>VLOOKUP(D414,'Tier Params'!$A:$C,3,FALSE)</f>
        <v/>
      </c>
      <c r="G414" s="0">
        <f>CEILING(C414/F414,1)</f>
        <v/>
      </c>
      <c r="H414" s="0">
        <f>G414*E414</f>
        <v/>
      </c>
    </row>
    <row r="415">
      <c r="A415" s="0" t="inlineStr">
        <is>
          <t>Structure Medical Center</t>
        </is>
      </c>
      <c r="B415" s="0" t="inlineStr">
        <is>
          <t>Nocxium</t>
        </is>
      </c>
      <c r="C415" s="0">
        <f>SUMIFS('BOM Cycle Calc'!$D:$D,'BOM Cycle Calc'!$B:$B,A415,'BOM Cycle Calc'!$C:$C,B415)</f>
        <v/>
      </c>
      <c r="D415" s="0">
        <f>VLOOKUP(B415,'Item Tier Lookup'!$A:$B,2,FALSE)</f>
        <v/>
      </c>
      <c r="E415" s="0">
        <f>VLOOKUP(D415,'Tier Params'!$A:$B,2,FALSE)</f>
        <v/>
      </c>
      <c r="F415" s="0">
        <f>VLOOKUP(D415,'Tier Params'!$A:$C,3,FALSE)</f>
        <v/>
      </c>
      <c r="G415" s="0">
        <f>CEILING(C415/F415,1)</f>
        <v/>
      </c>
      <c r="H415" s="0">
        <f>G415*E415</f>
        <v/>
      </c>
    </row>
    <row r="416">
      <c r="A416" s="0" t="inlineStr">
        <is>
          <t>Structure Medical Center</t>
        </is>
      </c>
      <c r="B416" s="0" t="inlineStr">
        <is>
          <t>Zydrine</t>
        </is>
      </c>
      <c r="C416" s="0">
        <f>SUMIFS('BOM Cycle Calc'!$D:$D,'BOM Cycle Calc'!$B:$B,A416,'BOM Cycle Calc'!$C:$C,B416)</f>
        <v/>
      </c>
      <c r="D416" s="0">
        <f>VLOOKUP(B416,'Item Tier Lookup'!$A:$B,2,FALSE)</f>
        <v/>
      </c>
      <c r="E416" s="0">
        <f>VLOOKUP(D416,'Tier Params'!$A:$B,2,FALSE)</f>
        <v/>
      </c>
      <c r="F416" s="0">
        <f>VLOOKUP(D416,'Tier Params'!$A:$C,3,FALSE)</f>
        <v/>
      </c>
      <c r="G416" s="0">
        <f>CEILING(C416/F416,1)</f>
        <v/>
      </c>
      <c r="H416" s="0">
        <f>G416*E416</f>
        <v/>
      </c>
    </row>
    <row r="417">
      <c r="A417" s="0" t="inlineStr">
        <is>
          <t>Structure Medical Center</t>
        </is>
      </c>
      <c r="B417" s="0" t="inlineStr">
        <is>
          <t>Megacyte</t>
        </is>
      </c>
      <c r="C417" s="0">
        <f>SUMIFS('BOM Cycle Calc'!$D:$D,'BOM Cycle Calc'!$B:$B,A417,'BOM Cycle Calc'!$C:$C,B417)</f>
        <v/>
      </c>
      <c r="D417" s="0">
        <f>VLOOKUP(B417,'Item Tier Lookup'!$A:$B,2,FALSE)</f>
        <v/>
      </c>
      <c r="E417" s="0">
        <f>VLOOKUP(D417,'Tier Params'!$A:$B,2,FALSE)</f>
        <v/>
      </c>
      <c r="F417" s="0">
        <f>VLOOKUP(D417,'Tier Params'!$A:$C,3,FALSE)</f>
        <v/>
      </c>
      <c r="G417" s="0">
        <f>CEILING(C417/F417,1)</f>
        <v/>
      </c>
      <c r="H417" s="0">
        <f>G417*E417</f>
        <v/>
      </c>
    </row>
    <row r="418">
      <c r="A418" s="0" t="inlineStr">
        <is>
          <t>Structure Medical Center</t>
        </is>
      </c>
      <c r="B418" s="0" t="inlineStr">
        <is>
          <t>Broadcast Node</t>
        </is>
      </c>
      <c r="C418" s="0">
        <f>SUMIFS('BOM Cycle Calc'!$D:$D,'BOM Cycle Calc'!$B:$B,A418,'BOM Cycle Calc'!$C:$C,B418)</f>
        <v/>
      </c>
      <c r="D418" s="0">
        <f>VLOOKUP(B418,'Item Tier Lookup'!$A:$B,2,FALSE)</f>
        <v/>
      </c>
      <c r="E418" s="0">
        <f>VLOOKUP(D418,'Tier Params'!$A:$B,2,FALSE)</f>
        <v/>
      </c>
      <c r="F418" s="0">
        <f>VLOOKUP(D418,'Tier Params'!$A:$C,3,FALSE)</f>
        <v/>
      </c>
      <c r="G418" s="0">
        <f>CEILING(C418/F418,1)</f>
        <v/>
      </c>
      <c r="H418" s="0">
        <f>G418*E418</f>
        <v/>
      </c>
    </row>
    <row r="419">
      <c r="A419" s="0" t="inlineStr">
        <is>
          <t>Structure Medical Center</t>
        </is>
      </c>
      <c r="B419" s="0" t="inlineStr">
        <is>
          <t>Data Chips</t>
        </is>
      </c>
      <c r="C419" s="0">
        <f>SUMIFS('BOM Cycle Calc'!$D:$D,'BOM Cycle Calc'!$B:$B,A419,'BOM Cycle Calc'!$C:$C,B419)</f>
        <v/>
      </c>
      <c r="D419" s="0">
        <f>VLOOKUP(B419,'Item Tier Lookup'!$A:$B,2,FALSE)</f>
        <v/>
      </c>
      <c r="E419" s="0">
        <f>VLOOKUP(D419,'Tier Params'!$A:$B,2,FALSE)</f>
        <v/>
      </c>
      <c r="F419" s="0">
        <f>VLOOKUP(D419,'Tier Params'!$A:$C,3,FALSE)</f>
        <v/>
      </c>
      <c r="G419" s="0">
        <f>CEILING(C419/F419,1)</f>
        <v/>
      </c>
      <c r="H419" s="0">
        <f>G419*E419</f>
        <v/>
      </c>
    </row>
    <row r="420">
      <c r="A420" s="0" t="inlineStr">
        <is>
          <t>Structure Medical Center</t>
        </is>
      </c>
      <c r="B420" s="0" t="inlineStr">
        <is>
          <t>Supertensile Plastics</t>
        </is>
      </c>
      <c r="C420" s="0">
        <f>SUMIFS('BOM Cycle Calc'!$D:$D,'BOM Cycle Calc'!$B:$B,A420,'BOM Cycle Calc'!$C:$C,B420)</f>
        <v/>
      </c>
      <c r="D420" s="0">
        <f>VLOOKUP(B420,'Item Tier Lookup'!$A:$B,2,FALSE)</f>
        <v/>
      </c>
      <c r="E420" s="0">
        <f>VLOOKUP(D420,'Tier Params'!$A:$B,2,FALSE)</f>
        <v/>
      </c>
      <c r="F420" s="0">
        <f>VLOOKUP(D420,'Tier Params'!$A:$C,3,FALSE)</f>
        <v/>
      </c>
      <c r="G420" s="0">
        <f>CEILING(C420/F420,1)</f>
        <v/>
      </c>
      <c r="H420" s="0">
        <f>G420*E420</f>
        <v/>
      </c>
    </row>
    <row r="421">
      <c r="A421" s="0" t="inlineStr">
        <is>
          <t>Structure Medical Center</t>
        </is>
      </c>
      <c r="B421" s="0" t="inlineStr">
        <is>
          <t>Oxygen</t>
        </is>
      </c>
      <c r="C421" s="0">
        <f>SUMIFS('BOM Cycle Calc'!$D:$D,'BOM Cycle Calc'!$B:$B,A421,'BOM Cycle Calc'!$C:$C,B421)</f>
        <v/>
      </c>
      <c r="D421" s="0">
        <f>VLOOKUP(B421,'Item Tier Lookup'!$A:$B,2,FALSE)</f>
        <v/>
      </c>
      <c r="E421" s="0">
        <f>VLOOKUP(D421,'Tier Params'!$A:$B,2,FALSE)</f>
        <v/>
      </c>
      <c r="F421" s="0">
        <f>VLOOKUP(D421,'Tier Params'!$A:$C,3,FALSE)</f>
        <v/>
      </c>
      <c r="G421" s="0">
        <f>CEILING(C421/F421,1)</f>
        <v/>
      </c>
      <c r="H421" s="0">
        <f>G421*E421</f>
        <v/>
      </c>
    </row>
    <row r="422">
      <c r="A422" s="0" t="inlineStr">
        <is>
          <t>Structure Medical Center</t>
        </is>
      </c>
      <c r="B422" s="0" t="inlineStr">
        <is>
          <t>Noble Gas</t>
        </is>
      </c>
      <c r="C422" s="0">
        <f>SUMIFS('BOM Cycle Calc'!$D:$D,'BOM Cycle Calc'!$B:$B,A422,'BOM Cycle Calc'!$C:$C,B422)</f>
        <v/>
      </c>
      <c r="D422" s="0">
        <f>VLOOKUP(B422,'Item Tier Lookup'!$A:$B,2,FALSE)</f>
        <v/>
      </c>
      <c r="E422" s="0">
        <f>VLOOKUP(D422,'Tier Params'!$A:$B,2,FALSE)</f>
        <v/>
      </c>
      <c r="F422" s="0">
        <f>VLOOKUP(D422,'Tier Params'!$A:$C,3,FALSE)</f>
        <v/>
      </c>
      <c r="G422" s="0">
        <f>CEILING(C422/F422,1)</f>
        <v/>
      </c>
      <c r="H422" s="0">
        <f>G422*E422</f>
        <v/>
      </c>
    </row>
    <row r="423">
      <c r="A423" s="0" t="inlineStr">
        <is>
          <t>Structure Medical Center</t>
        </is>
      </c>
      <c r="B423" s="0" t="inlineStr">
        <is>
          <t>Biomass</t>
        </is>
      </c>
      <c r="C423" s="0">
        <f>SUMIFS('BOM Cycle Calc'!$D:$D,'BOM Cycle Calc'!$B:$B,A423,'BOM Cycle Calc'!$C:$C,B423)</f>
        <v/>
      </c>
      <c r="D423" s="0">
        <f>VLOOKUP(B423,'Item Tier Lookup'!$A:$B,2,FALSE)</f>
        <v/>
      </c>
      <c r="E423" s="0">
        <f>VLOOKUP(D423,'Tier Params'!$A:$B,2,FALSE)</f>
        <v/>
      </c>
      <c r="F423" s="0">
        <f>VLOOKUP(D423,'Tier Params'!$A:$C,3,FALSE)</f>
        <v/>
      </c>
      <c r="G423" s="0">
        <f>CEILING(C423/F423,1)</f>
        <v/>
      </c>
      <c r="H423" s="0">
        <f>G423*E423</f>
        <v/>
      </c>
    </row>
    <row r="424">
      <c r="A424" s="0" t="inlineStr">
        <is>
          <t>Structure Medical Center</t>
        </is>
      </c>
      <c r="B424" s="0" t="inlineStr">
        <is>
          <t>Planktic Colonies</t>
        </is>
      </c>
      <c r="C424" s="0">
        <f>SUMIFS('BOM Cycle Calc'!$D:$D,'BOM Cycle Calc'!$B:$B,A424,'BOM Cycle Calc'!$C:$C,B424)</f>
        <v/>
      </c>
      <c r="D424" s="0">
        <f>VLOOKUP(B424,'Item Tier Lookup'!$A:$B,2,FALSE)</f>
        <v/>
      </c>
      <c r="E424" s="0">
        <f>VLOOKUP(D424,'Tier Params'!$A:$B,2,FALSE)</f>
        <v/>
      </c>
      <c r="F424" s="0">
        <f>VLOOKUP(D424,'Tier Params'!$A:$C,3,FALSE)</f>
        <v/>
      </c>
      <c r="G424" s="0">
        <f>CEILING(C424/F424,1)</f>
        <v/>
      </c>
      <c r="H424" s="0">
        <f>G424*E424</f>
        <v/>
      </c>
    </row>
    <row r="425">
      <c r="A425" s="0" t="inlineStr">
        <is>
          <t>Structure Medical Center</t>
        </is>
      </c>
      <c r="B425" s="0" t="inlineStr">
        <is>
          <t>Microfiber Shielding</t>
        </is>
      </c>
      <c r="C425" s="0">
        <f>SUMIFS('BOM Cycle Calc'!$D:$D,'BOM Cycle Calc'!$B:$B,A425,'BOM Cycle Calc'!$C:$C,B425)</f>
        <v/>
      </c>
      <c r="D425" s="0">
        <f>VLOOKUP(B425,'Item Tier Lookup'!$A:$B,2,FALSE)</f>
        <v/>
      </c>
      <c r="E425" s="0">
        <f>VLOOKUP(D425,'Tier Params'!$A:$B,2,FALSE)</f>
        <v/>
      </c>
      <c r="F425" s="0">
        <f>VLOOKUP(D425,'Tier Params'!$A:$C,3,FALSE)</f>
        <v/>
      </c>
      <c r="G425" s="0">
        <f>CEILING(C425/F425,1)</f>
        <v/>
      </c>
      <c r="H425" s="0">
        <f>G425*E425</f>
        <v/>
      </c>
    </row>
    <row r="426">
      <c r="A426" s="0" t="inlineStr">
        <is>
          <t>Structure Medical Center</t>
        </is>
      </c>
      <c r="B426" s="0" t="inlineStr">
        <is>
          <t>Silicon</t>
        </is>
      </c>
      <c r="C426" s="0">
        <f>SUMIFS('BOM Cycle Calc'!$D:$D,'BOM Cycle Calc'!$B:$B,A426,'BOM Cycle Calc'!$C:$C,B426)</f>
        <v/>
      </c>
      <c r="D426" s="0">
        <f>VLOOKUP(B426,'Item Tier Lookup'!$A:$B,2,FALSE)</f>
        <v/>
      </c>
      <c r="E426" s="0">
        <f>VLOOKUP(D426,'Tier Params'!$A:$B,2,FALSE)</f>
        <v/>
      </c>
      <c r="F426" s="0">
        <f>VLOOKUP(D426,'Tier Params'!$A:$C,3,FALSE)</f>
        <v/>
      </c>
      <c r="G426" s="0">
        <f>CEILING(C426/F426,1)</f>
        <v/>
      </c>
      <c r="H426" s="0">
        <f>G426*E426</f>
        <v/>
      </c>
    </row>
    <row r="427">
      <c r="A427" s="0" t="inlineStr">
        <is>
          <t>Structure Medical Center</t>
        </is>
      </c>
      <c r="B427" s="0" t="inlineStr">
        <is>
          <t>Felsic Magma</t>
        </is>
      </c>
      <c r="C427" s="0">
        <f>SUMIFS('BOM Cycle Calc'!$D:$D,'BOM Cycle Calc'!$B:$B,A427,'BOM Cycle Calc'!$C:$C,B427)</f>
        <v/>
      </c>
      <c r="D427" s="0">
        <f>VLOOKUP(B427,'Item Tier Lookup'!$A:$B,2,FALSE)</f>
        <v/>
      </c>
      <c r="E427" s="0">
        <f>VLOOKUP(D427,'Tier Params'!$A:$B,2,FALSE)</f>
        <v/>
      </c>
      <c r="F427" s="0">
        <f>VLOOKUP(D427,'Tier Params'!$A:$C,3,FALSE)</f>
        <v/>
      </c>
      <c r="G427" s="0">
        <f>CEILING(C427/F427,1)</f>
        <v/>
      </c>
      <c r="H427" s="0">
        <f>G427*E427</f>
        <v/>
      </c>
    </row>
    <row r="428">
      <c r="A428" s="0" t="inlineStr">
        <is>
          <t>Structure Medical Center</t>
        </is>
      </c>
      <c r="B428" s="0" t="inlineStr">
        <is>
          <t>Industrial Fibers</t>
        </is>
      </c>
      <c r="C428" s="0">
        <f>SUMIFS('BOM Cycle Calc'!$D:$D,'BOM Cycle Calc'!$B:$B,A428,'BOM Cycle Calc'!$C:$C,B428)</f>
        <v/>
      </c>
      <c r="D428" s="0">
        <f>VLOOKUP(B428,'Item Tier Lookup'!$A:$B,2,FALSE)</f>
        <v/>
      </c>
      <c r="E428" s="0">
        <f>VLOOKUP(D428,'Tier Params'!$A:$B,2,FALSE)</f>
        <v/>
      </c>
      <c r="F428" s="0">
        <f>VLOOKUP(D428,'Tier Params'!$A:$C,3,FALSE)</f>
        <v/>
      </c>
      <c r="G428" s="0">
        <f>CEILING(C428/F428,1)</f>
        <v/>
      </c>
      <c r="H428" s="0">
        <f>G428*E428</f>
        <v/>
      </c>
    </row>
    <row r="429">
      <c r="A429" s="0" t="inlineStr">
        <is>
          <t>Structure Medical Center</t>
        </is>
      </c>
      <c r="B429" s="0" t="inlineStr">
        <is>
          <t>Autotrophs</t>
        </is>
      </c>
      <c r="C429" s="0">
        <f>SUMIFS('BOM Cycle Calc'!$D:$D,'BOM Cycle Calc'!$B:$B,A429,'BOM Cycle Calc'!$C:$C,B429)</f>
        <v/>
      </c>
      <c r="D429" s="0">
        <f>VLOOKUP(B429,'Item Tier Lookup'!$A:$B,2,FALSE)</f>
        <v/>
      </c>
      <c r="E429" s="0">
        <f>VLOOKUP(D429,'Tier Params'!$A:$B,2,FALSE)</f>
        <v/>
      </c>
      <c r="F429" s="0">
        <f>VLOOKUP(D429,'Tier Params'!$A:$C,3,FALSE)</f>
        <v/>
      </c>
      <c r="G429" s="0">
        <f>CEILING(C429/F429,1)</f>
        <v/>
      </c>
      <c r="H429" s="0">
        <f>G429*E429</f>
        <v/>
      </c>
    </row>
    <row r="430">
      <c r="A430" s="0" t="inlineStr">
        <is>
          <t>Structure Medical Center</t>
        </is>
      </c>
      <c r="B430" s="0" t="inlineStr">
        <is>
          <t>Neocoms</t>
        </is>
      </c>
      <c r="C430" s="0">
        <f>SUMIFS('BOM Cycle Calc'!$D:$D,'BOM Cycle Calc'!$B:$B,A430,'BOM Cycle Calc'!$C:$C,B430)</f>
        <v/>
      </c>
      <c r="D430" s="0">
        <f>VLOOKUP(B430,'Item Tier Lookup'!$A:$B,2,FALSE)</f>
        <v/>
      </c>
      <c r="E430" s="0">
        <f>VLOOKUP(D430,'Tier Params'!$A:$B,2,FALSE)</f>
        <v/>
      </c>
      <c r="F430" s="0">
        <f>VLOOKUP(D430,'Tier Params'!$A:$C,3,FALSE)</f>
        <v/>
      </c>
      <c r="G430" s="0">
        <f>CEILING(C430/F430,1)</f>
        <v/>
      </c>
      <c r="H430" s="0">
        <f>G430*E430</f>
        <v/>
      </c>
    </row>
    <row r="431">
      <c r="A431" s="0" t="inlineStr">
        <is>
          <t>Structure Medical Center</t>
        </is>
      </c>
      <c r="B431" s="0" t="inlineStr">
        <is>
          <t>Biocells</t>
        </is>
      </c>
      <c r="C431" s="0">
        <f>SUMIFS('BOM Cycle Calc'!$D:$D,'BOM Cycle Calc'!$B:$B,A431,'BOM Cycle Calc'!$C:$C,B431)</f>
        <v/>
      </c>
      <c r="D431" s="0">
        <f>VLOOKUP(B431,'Item Tier Lookup'!$A:$B,2,FALSE)</f>
        <v/>
      </c>
      <c r="E431" s="0">
        <f>VLOOKUP(D431,'Tier Params'!$A:$B,2,FALSE)</f>
        <v/>
      </c>
      <c r="F431" s="0">
        <f>VLOOKUP(D431,'Tier Params'!$A:$C,3,FALSE)</f>
        <v/>
      </c>
      <c r="G431" s="0">
        <f>CEILING(C431/F431,1)</f>
        <v/>
      </c>
      <c r="H431" s="0">
        <f>G431*E431</f>
        <v/>
      </c>
    </row>
    <row r="432">
      <c r="A432" s="0" t="inlineStr">
        <is>
          <t>Structure Medical Center</t>
        </is>
      </c>
      <c r="B432" s="0" t="inlineStr">
        <is>
          <t>Biofuels</t>
        </is>
      </c>
      <c r="C432" s="0">
        <f>SUMIFS('BOM Cycle Calc'!$D:$D,'BOM Cycle Calc'!$B:$B,A432,'BOM Cycle Calc'!$C:$C,B432)</f>
        <v/>
      </c>
      <c r="D432" s="0">
        <f>VLOOKUP(B432,'Item Tier Lookup'!$A:$B,2,FALSE)</f>
        <v/>
      </c>
      <c r="E432" s="0">
        <f>VLOOKUP(D432,'Tier Params'!$A:$B,2,FALSE)</f>
        <v/>
      </c>
      <c r="F432" s="0">
        <f>VLOOKUP(D432,'Tier Params'!$A:$C,3,FALSE)</f>
        <v/>
      </c>
      <c r="G432" s="0">
        <f>CEILING(C432/F432,1)</f>
        <v/>
      </c>
      <c r="H432" s="0">
        <f>G432*E432</f>
        <v/>
      </c>
    </row>
    <row r="433">
      <c r="A433" s="0" t="inlineStr">
        <is>
          <t>Structure Medical Center</t>
        </is>
      </c>
      <c r="B433" s="0" t="inlineStr">
        <is>
          <t>Carbon Compounds</t>
        </is>
      </c>
      <c r="C433" s="0">
        <f>SUMIFS('BOM Cycle Calc'!$D:$D,'BOM Cycle Calc'!$B:$B,A433,'BOM Cycle Calc'!$C:$C,B433)</f>
        <v/>
      </c>
      <c r="D433" s="0">
        <f>VLOOKUP(B433,'Item Tier Lookup'!$A:$B,2,FALSE)</f>
        <v/>
      </c>
      <c r="E433" s="0">
        <f>VLOOKUP(D433,'Tier Params'!$A:$B,2,FALSE)</f>
        <v/>
      </c>
      <c r="F433" s="0">
        <f>VLOOKUP(D433,'Tier Params'!$A:$C,3,FALSE)</f>
        <v/>
      </c>
      <c r="G433" s="0">
        <f>CEILING(C433/F433,1)</f>
        <v/>
      </c>
      <c r="H433" s="0">
        <f>G433*E433</f>
        <v/>
      </c>
    </row>
    <row r="434">
      <c r="A434" s="0" t="inlineStr">
        <is>
          <t>Structure Medical Center</t>
        </is>
      </c>
      <c r="B434" s="0" t="inlineStr">
        <is>
          <t>Precious Metals</t>
        </is>
      </c>
      <c r="C434" s="0">
        <f>SUMIFS('BOM Cycle Calc'!$D:$D,'BOM Cycle Calc'!$B:$B,A434,'BOM Cycle Calc'!$C:$C,B434)</f>
        <v/>
      </c>
      <c r="D434" s="0">
        <f>VLOOKUP(B434,'Item Tier Lookup'!$A:$B,2,FALSE)</f>
        <v/>
      </c>
      <c r="E434" s="0">
        <f>VLOOKUP(D434,'Tier Params'!$A:$B,2,FALSE)</f>
        <v/>
      </c>
      <c r="F434" s="0">
        <f>VLOOKUP(D434,'Tier Params'!$A:$C,3,FALSE)</f>
        <v/>
      </c>
      <c r="G434" s="0">
        <f>CEILING(C434/F434,1)</f>
        <v/>
      </c>
      <c r="H434" s="0">
        <f>G434*E434</f>
        <v/>
      </c>
    </row>
    <row r="435">
      <c r="A435" s="0" t="inlineStr">
        <is>
          <t>Structure Medical Center</t>
        </is>
      </c>
      <c r="B435" s="0" t="inlineStr">
        <is>
          <t>Noble Metals</t>
        </is>
      </c>
      <c r="C435" s="0">
        <f>SUMIFS('BOM Cycle Calc'!$D:$D,'BOM Cycle Calc'!$B:$B,A435,'BOM Cycle Calc'!$C:$C,B435)</f>
        <v/>
      </c>
      <c r="D435" s="0">
        <f>VLOOKUP(B435,'Item Tier Lookup'!$A:$B,2,FALSE)</f>
        <v/>
      </c>
      <c r="E435" s="0">
        <f>VLOOKUP(D435,'Tier Params'!$A:$B,2,FALSE)</f>
        <v/>
      </c>
      <c r="F435" s="0">
        <f>VLOOKUP(D435,'Tier Params'!$A:$C,3,FALSE)</f>
        <v/>
      </c>
      <c r="G435" s="0">
        <f>CEILING(C435/F435,1)</f>
        <v/>
      </c>
      <c r="H435" s="0">
        <f>G435*E435</f>
        <v/>
      </c>
    </row>
    <row r="436">
      <c r="A436" s="0" t="inlineStr">
        <is>
          <t>Structure Medical Center</t>
        </is>
      </c>
      <c r="B436" s="0" t="inlineStr">
        <is>
          <t>Silicate Glass</t>
        </is>
      </c>
      <c r="C436" s="0">
        <f>SUMIFS('BOM Cycle Calc'!$D:$D,'BOM Cycle Calc'!$B:$B,A436,'BOM Cycle Calc'!$C:$C,B436)</f>
        <v/>
      </c>
      <c r="D436" s="0">
        <f>VLOOKUP(B436,'Item Tier Lookup'!$A:$B,2,FALSE)</f>
        <v/>
      </c>
      <c r="E436" s="0">
        <f>VLOOKUP(D436,'Tier Params'!$A:$B,2,FALSE)</f>
        <v/>
      </c>
      <c r="F436" s="0">
        <f>VLOOKUP(D436,'Tier Params'!$A:$C,3,FALSE)</f>
        <v/>
      </c>
      <c r="G436" s="0">
        <f>CEILING(C436/F436,1)</f>
        <v/>
      </c>
      <c r="H436" s="0">
        <f>G436*E436</f>
        <v/>
      </c>
    </row>
    <row r="437">
      <c r="A437" s="0" t="inlineStr">
        <is>
          <t>Structure Medical Center</t>
        </is>
      </c>
      <c r="B437" s="0" t="inlineStr">
        <is>
          <t>Oxidizing Compound</t>
        </is>
      </c>
      <c r="C437" s="0">
        <f>SUMIFS('BOM Cycle Calc'!$D:$D,'BOM Cycle Calc'!$B:$B,A437,'BOM Cycle Calc'!$C:$C,B437)</f>
        <v/>
      </c>
      <c r="D437" s="0">
        <f>VLOOKUP(B437,'Item Tier Lookup'!$A:$B,2,FALSE)</f>
        <v/>
      </c>
      <c r="E437" s="0">
        <f>VLOOKUP(D437,'Tier Params'!$A:$B,2,FALSE)</f>
        <v/>
      </c>
      <c r="F437" s="0">
        <f>VLOOKUP(D437,'Tier Params'!$A:$C,3,FALSE)</f>
        <v/>
      </c>
      <c r="G437" s="0">
        <f>CEILING(C437/F437,1)</f>
        <v/>
      </c>
      <c r="H437" s="0">
        <f>G437*E437</f>
        <v/>
      </c>
    </row>
    <row r="438">
      <c r="A438" s="0" t="inlineStr">
        <is>
          <t>Structure Medical Center</t>
        </is>
      </c>
      <c r="B438" s="0" t="inlineStr">
        <is>
          <t>Reactive Gas</t>
        </is>
      </c>
      <c r="C438" s="0">
        <f>SUMIFS('BOM Cycle Calc'!$D:$D,'BOM Cycle Calc'!$B:$B,A438,'BOM Cycle Calc'!$C:$C,B438)</f>
        <v/>
      </c>
      <c r="D438" s="0">
        <f>VLOOKUP(B438,'Item Tier Lookup'!$A:$B,2,FALSE)</f>
        <v/>
      </c>
      <c r="E438" s="0">
        <f>VLOOKUP(D438,'Tier Params'!$A:$B,2,FALSE)</f>
        <v/>
      </c>
      <c r="F438" s="0">
        <f>VLOOKUP(D438,'Tier Params'!$A:$C,3,FALSE)</f>
        <v/>
      </c>
      <c r="G438" s="0">
        <f>CEILING(C438/F438,1)</f>
        <v/>
      </c>
      <c r="H438" s="0">
        <f>G438*E438</f>
        <v/>
      </c>
    </row>
    <row r="439">
      <c r="A439" s="0" t="inlineStr">
        <is>
          <t>Structure Medical Center</t>
        </is>
      </c>
      <c r="B439" s="0" t="inlineStr">
        <is>
          <t>High-Tech Transmitters</t>
        </is>
      </c>
      <c r="C439" s="0">
        <f>SUMIFS('BOM Cycle Calc'!$D:$D,'BOM Cycle Calc'!$B:$B,A439,'BOM Cycle Calc'!$C:$C,B439)</f>
        <v/>
      </c>
      <c r="D439" s="0">
        <f>VLOOKUP(B439,'Item Tier Lookup'!$A:$B,2,FALSE)</f>
        <v/>
      </c>
      <c r="E439" s="0">
        <f>VLOOKUP(D439,'Tier Params'!$A:$B,2,FALSE)</f>
        <v/>
      </c>
      <c r="F439" s="0">
        <f>VLOOKUP(D439,'Tier Params'!$A:$C,3,FALSE)</f>
        <v/>
      </c>
      <c r="G439" s="0">
        <f>CEILING(C439/F439,1)</f>
        <v/>
      </c>
      <c r="H439" s="0">
        <f>G439*E439</f>
        <v/>
      </c>
    </row>
    <row r="440">
      <c r="A440" s="0" t="inlineStr">
        <is>
          <t>Structure Medical Center</t>
        </is>
      </c>
      <c r="B440" s="0" t="inlineStr">
        <is>
          <t>Transmitter</t>
        </is>
      </c>
      <c r="C440" s="0">
        <f>SUMIFS('BOM Cycle Calc'!$D:$D,'BOM Cycle Calc'!$B:$B,A440,'BOM Cycle Calc'!$C:$C,B440)</f>
        <v/>
      </c>
      <c r="D440" s="0">
        <f>VLOOKUP(B440,'Item Tier Lookup'!$A:$B,2,FALSE)</f>
        <v/>
      </c>
      <c r="E440" s="0">
        <f>VLOOKUP(D440,'Tier Params'!$A:$B,2,FALSE)</f>
        <v/>
      </c>
      <c r="F440" s="0">
        <f>VLOOKUP(D440,'Tier Params'!$A:$C,3,FALSE)</f>
        <v/>
      </c>
      <c r="G440" s="0">
        <f>CEILING(C440/F440,1)</f>
        <v/>
      </c>
      <c r="H440" s="0">
        <f>G440*E440</f>
        <v/>
      </c>
    </row>
    <row r="441">
      <c r="A441" s="0" t="inlineStr">
        <is>
          <t>Structure Medical Center</t>
        </is>
      </c>
      <c r="B441" s="0" t="inlineStr">
        <is>
          <t>Chiral Structures</t>
        </is>
      </c>
      <c r="C441" s="0">
        <f>SUMIFS('BOM Cycle Calc'!$D:$D,'BOM Cycle Calc'!$B:$B,A441,'BOM Cycle Calc'!$C:$C,B441)</f>
        <v/>
      </c>
      <c r="D441" s="0">
        <f>VLOOKUP(B441,'Item Tier Lookup'!$A:$B,2,FALSE)</f>
        <v/>
      </c>
      <c r="E441" s="0">
        <f>VLOOKUP(D441,'Tier Params'!$A:$B,2,FALSE)</f>
        <v/>
      </c>
      <c r="F441" s="0">
        <f>VLOOKUP(D441,'Tier Params'!$A:$C,3,FALSE)</f>
        <v/>
      </c>
      <c r="G441" s="0">
        <f>CEILING(C441/F441,1)</f>
        <v/>
      </c>
      <c r="H441" s="0">
        <f>G441*E441</f>
        <v/>
      </c>
    </row>
    <row r="442">
      <c r="A442" s="0" t="inlineStr">
        <is>
          <t>Structure Medical Center</t>
        </is>
      </c>
      <c r="B442" s="0" t="inlineStr">
        <is>
          <t>Non-CS Crystals</t>
        </is>
      </c>
      <c r="C442" s="0">
        <f>SUMIFS('BOM Cycle Calc'!$D:$D,'BOM Cycle Calc'!$B:$B,A442,'BOM Cycle Calc'!$C:$C,B442)</f>
        <v/>
      </c>
      <c r="D442" s="0">
        <f>VLOOKUP(B442,'Item Tier Lookup'!$A:$B,2,FALSE)</f>
        <v/>
      </c>
      <c r="E442" s="0">
        <f>VLOOKUP(D442,'Tier Params'!$A:$B,2,FALSE)</f>
        <v/>
      </c>
      <c r="F442" s="0">
        <f>VLOOKUP(D442,'Tier Params'!$A:$C,3,FALSE)</f>
        <v/>
      </c>
      <c r="G442" s="0">
        <f>CEILING(C442/F442,1)</f>
        <v/>
      </c>
      <c r="H442" s="0">
        <f>G442*E442</f>
        <v/>
      </c>
    </row>
    <row r="443">
      <c r="A443" s="0" t="inlineStr">
        <is>
          <t>Structure Medical Center</t>
        </is>
      </c>
      <c r="B443" s="0" t="inlineStr">
        <is>
          <t>Plasmoids</t>
        </is>
      </c>
      <c r="C443" s="0">
        <f>SUMIFS('BOM Cycle Calc'!$D:$D,'BOM Cycle Calc'!$B:$B,A443,'BOM Cycle Calc'!$C:$C,B443)</f>
        <v/>
      </c>
      <c r="D443" s="0">
        <f>VLOOKUP(B443,'Item Tier Lookup'!$A:$B,2,FALSE)</f>
        <v/>
      </c>
      <c r="E443" s="0">
        <f>VLOOKUP(D443,'Tier Params'!$A:$B,2,FALSE)</f>
        <v/>
      </c>
      <c r="F443" s="0">
        <f>VLOOKUP(D443,'Tier Params'!$A:$C,3,FALSE)</f>
        <v/>
      </c>
      <c r="G443" s="0">
        <f>CEILING(C443/F443,1)</f>
        <v/>
      </c>
      <c r="H443" s="0">
        <f>G443*E443</f>
        <v/>
      </c>
    </row>
    <row r="444">
      <c r="A444" s="0" t="inlineStr">
        <is>
          <t>Structure Medical Center</t>
        </is>
      </c>
      <c r="B444" s="0" t="inlineStr">
        <is>
          <t>Suspended Plasma</t>
        </is>
      </c>
      <c r="C444" s="0">
        <f>SUMIFS('BOM Cycle Calc'!$D:$D,'BOM Cycle Calc'!$B:$B,A444,'BOM Cycle Calc'!$C:$C,B444)</f>
        <v/>
      </c>
      <c r="D444" s="0">
        <f>VLOOKUP(B444,'Item Tier Lookup'!$A:$B,2,FALSE)</f>
        <v/>
      </c>
      <c r="E444" s="0">
        <f>VLOOKUP(D444,'Tier Params'!$A:$B,2,FALSE)</f>
        <v/>
      </c>
      <c r="F444" s="0">
        <f>VLOOKUP(D444,'Tier Params'!$A:$C,3,FALSE)</f>
        <v/>
      </c>
      <c r="G444" s="0">
        <f>CEILING(C444/F444,1)</f>
        <v/>
      </c>
      <c r="H444" s="0">
        <f>G444*E444</f>
        <v/>
      </c>
    </row>
    <row r="445">
      <c r="A445" s="0" t="inlineStr">
        <is>
          <t>Structure Medical Center</t>
        </is>
      </c>
      <c r="B445" s="0" t="inlineStr">
        <is>
          <t>Polyaramids</t>
        </is>
      </c>
      <c r="C445" s="0">
        <f>SUMIFS('BOM Cycle Calc'!$D:$D,'BOM Cycle Calc'!$B:$B,A445,'BOM Cycle Calc'!$C:$C,B445)</f>
        <v/>
      </c>
      <c r="D445" s="0">
        <f>VLOOKUP(B445,'Item Tier Lookup'!$A:$B,2,FALSE)</f>
        <v/>
      </c>
      <c r="E445" s="0">
        <f>VLOOKUP(D445,'Tier Params'!$A:$B,2,FALSE)</f>
        <v/>
      </c>
      <c r="F445" s="0">
        <f>VLOOKUP(D445,'Tier Params'!$A:$C,3,FALSE)</f>
        <v/>
      </c>
      <c r="G445" s="0">
        <f>CEILING(C445/F445,1)</f>
        <v/>
      </c>
      <c r="H445" s="0">
        <f>G445*E445</f>
        <v/>
      </c>
    </row>
    <row r="446">
      <c r="A446" s="0" t="inlineStr">
        <is>
          <t>Structure Medical Center</t>
        </is>
      </c>
      <c r="B446" s="0" t="inlineStr">
        <is>
          <t>Integrity Response Drones</t>
        </is>
      </c>
      <c r="C446" s="0">
        <f>SUMIFS('BOM Cycle Calc'!$D:$D,'BOM Cycle Calc'!$B:$B,A446,'BOM Cycle Calc'!$C:$C,B446)</f>
        <v/>
      </c>
      <c r="D446" s="0">
        <f>VLOOKUP(B446,'Item Tier Lookup'!$A:$B,2,FALSE)</f>
        <v/>
      </c>
      <c r="E446" s="0">
        <f>VLOOKUP(D446,'Tier Params'!$A:$B,2,FALSE)</f>
        <v/>
      </c>
      <c r="F446" s="0">
        <f>VLOOKUP(D446,'Tier Params'!$A:$C,3,FALSE)</f>
        <v/>
      </c>
      <c r="G446" s="0">
        <f>CEILING(C446/F446,1)</f>
        <v/>
      </c>
      <c r="H446" s="0">
        <f>G446*E446</f>
        <v/>
      </c>
    </row>
    <row r="447">
      <c r="A447" s="0" t="inlineStr">
        <is>
          <t>Structure Medical Center</t>
        </is>
      </c>
      <c r="B447" s="0" t="inlineStr">
        <is>
          <t>Gel-Matrix Biopaste</t>
        </is>
      </c>
      <c r="C447" s="0">
        <f>SUMIFS('BOM Cycle Calc'!$D:$D,'BOM Cycle Calc'!$B:$B,A447,'BOM Cycle Calc'!$C:$C,B447)</f>
        <v/>
      </c>
      <c r="D447" s="0">
        <f>VLOOKUP(B447,'Item Tier Lookup'!$A:$B,2,FALSE)</f>
        <v/>
      </c>
      <c r="E447" s="0">
        <f>VLOOKUP(D447,'Tier Params'!$A:$B,2,FALSE)</f>
        <v/>
      </c>
      <c r="F447" s="0">
        <f>VLOOKUP(D447,'Tier Params'!$A:$C,3,FALSE)</f>
        <v/>
      </c>
      <c r="G447" s="0">
        <f>CEILING(C447/F447,1)</f>
        <v/>
      </c>
      <c r="H447" s="0">
        <f>G447*E447</f>
        <v/>
      </c>
    </row>
    <row r="448">
      <c r="A448" s="0" t="inlineStr">
        <is>
          <t>Structure Medical Center</t>
        </is>
      </c>
      <c r="B448" s="0" t="inlineStr">
        <is>
          <t>Oxides</t>
        </is>
      </c>
      <c r="C448" s="0">
        <f>SUMIFS('BOM Cycle Calc'!$D:$D,'BOM Cycle Calc'!$B:$B,A448,'BOM Cycle Calc'!$C:$C,B448)</f>
        <v/>
      </c>
      <c r="D448" s="0">
        <f>VLOOKUP(B448,'Item Tier Lookup'!$A:$B,2,FALSE)</f>
        <v/>
      </c>
      <c r="E448" s="0">
        <f>VLOOKUP(D448,'Tier Params'!$A:$B,2,FALSE)</f>
        <v/>
      </c>
      <c r="F448" s="0">
        <f>VLOOKUP(D448,'Tier Params'!$A:$C,3,FALSE)</f>
        <v/>
      </c>
      <c r="G448" s="0">
        <f>CEILING(C448/F448,1)</f>
        <v/>
      </c>
      <c r="H448" s="0">
        <f>G448*E448</f>
        <v/>
      </c>
    </row>
    <row r="449">
      <c r="A449" s="0" t="inlineStr">
        <is>
          <t>Structure Medical Center</t>
        </is>
      </c>
      <c r="B449" s="0" t="inlineStr">
        <is>
          <t>Superconductors</t>
        </is>
      </c>
      <c r="C449" s="0">
        <f>SUMIFS('BOM Cycle Calc'!$D:$D,'BOM Cycle Calc'!$B:$B,A449,'BOM Cycle Calc'!$C:$C,B449)</f>
        <v/>
      </c>
      <c r="D449" s="0">
        <f>VLOOKUP(B449,'Item Tier Lookup'!$A:$B,2,FALSE)</f>
        <v/>
      </c>
      <c r="E449" s="0">
        <f>VLOOKUP(D449,'Tier Params'!$A:$B,2,FALSE)</f>
        <v/>
      </c>
      <c r="F449" s="0">
        <f>VLOOKUP(D449,'Tier Params'!$A:$C,3,FALSE)</f>
        <v/>
      </c>
      <c r="G449" s="0">
        <f>CEILING(C449/F449,1)</f>
        <v/>
      </c>
      <c r="H449" s="0">
        <f>G449*E449</f>
        <v/>
      </c>
    </row>
    <row r="450">
      <c r="A450" s="0" t="inlineStr">
        <is>
          <t>Structure Medical Center</t>
        </is>
      </c>
      <c r="B450" s="0" t="inlineStr">
        <is>
          <t>Water</t>
        </is>
      </c>
      <c r="C450" s="0">
        <f>SUMIFS('BOM Cycle Calc'!$D:$D,'BOM Cycle Calc'!$B:$B,A450,'BOM Cycle Calc'!$C:$C,B450)</f>
        <v/>
      </c>
      <c r="D450" s="0">
        <f>VLOOKUP(B450,'Item Tier Lookup'!$A:$B,2,FALSE)</f>
        <v/>
      </c>
      <c r="E450" s="0">
        <f>VLOOKUP(D450,'Tier Params'!$A:$B,2,FALSE)</f>
        <v/>
      </c>
      <c r="F450" s="0">
        <f>VLOOKUP(D450,'Tier Params'!$A:$C,3,FALSE)</f>
        <v/>
      </c>
      <c r="G450" s="0">
        <f>CEILING(C450/F450,1)</f>
        <v/>
      </c>
      <c r="H450" s="0">
        <f>G450*E450</f>
        <v/>
      </c>
    </row>
    <row r="451">
      <c r="A451" s="0" t="inlineStr">
        <is>
          <t>Structure Medical Center</t>
        </is>
      </c>
      <c r="B451" s="0" t="inlineStr">
        <is>
          <t>Aqueous Liquids</t>
        </is>
      </c>
      <c r="C451" s="0">
        <f>SUMIFS('BOM Cycle Calc'!$D:$D,'BOM Cycle Calc'!$B:$B,A451,'BOM Cycle Calc'!$C:$C,B451)</f>
        <v/>
      </c>
      <c r="D451" s="0">
        <f>VLOOKUP(B451,'Item Tier Lookup'!$A:$B,2,FALSE)</f>
        <v/>
      </c>
      <c r="E451" s="0">
        <f>VLOOKUP(D451,'Tier Params'!$A:$B,2,FALSE)</f>
        <v/>
      </c>
      <c r="F451" s="0">
        <f>VLOOKUP(D451,'Tier Params'!$A:$C,3,FALSE)</f>
        <v/>
      </c>
      <c r="G451" s="0">
        <f>CEILING(C451/F451,1)</f>
        <v/>
      </c>
      <c r="H451" s="0">
        <f>G451*E451</f>
        <v/>
      </c>
    </row>
    <row r="452">
      <c r="A452" s="0" t="inlineStr">
        <is>
          <t>Structure Medical Center</t>
        </is>
      </c>
      <c r="B452" s="0" t="inlineStr">
        <is>
          <t>Hazmat Detection Systems</t>
        </is>
      </c>
      <c r="C452" s="0">
        <f>SUMIFS('BOM Cycle Calc'!$D:$D,'BOM Cycle Calc'!$B:$B,A452,'BOM Cycle Calc'!$C:$C,B452)</f>
        <v/>
      </c>
      <c r="D452" s="0">
        <f>VLOOKUP(B452,'Item Tier Lookup'!$A:$B,2,FALSE)</f>
        <v/>
      </c>
      <c r="E452" s="0">
        <f>VLOOKUP(D452,'Tier Params'!$A:$B,2,FALSE)</f>
        <v/>
      </c>
      <c r="F452" s="0">
        <f>VLOOKUP(D452,'Tier Params'!$A:$C,3,FALSE)</f>
        <v/>
      </c>
      <c r="G452" s="0">
        <f>CEILING(C452/F452,1)</f>
        <v/>
      </c>
      <c r="H452" s="0">
        <f>G452*E452</f>
        <v/>
      </c>
    </row>
    <row r="453">
      <c r="A453" s="0" t="inlineStr">
        <is>
          <t>Structure Medical Center</t>
        </is>
      </c>
      <c r="B453" s="0" t="inlineStr">
        <is>
          <t>Polytextiles</t>
        </is>
      </c>
      <c r="C453" s="0">
        <f>SUMIFS('BOM Cycle Calc'!$D:$D,'BOM Cycle Calc'!$B:$B,A453,'BOM Cycle Calc'!$C:$C,B453)</f>
        <v/>
      </c>
      <c r="D453" s="0">
        <f>VLOOKUP(B453,'Item Tier Lookup'!$A:$B,2,FALSE)</f>
        <v/>
      </c>
      <c r="E453" s="0">
        <f>VLOOKUP(D453,'Tier Params'!$A:$B,2,FALSE)</f>
        <v/>
      </c>
      <c r="F453" s="0">
        <f>VLOOKUP(D453,'Tier Params'!$A:$C,3,FALSE)</f>
        <v/>
      </c>
      <c r="G453" s="0">
        <f>CEILING(C453/F453,1)</f>
        <v/>
      </c>
      <c r="H453" s="0">
        <f>G453*E453</f>
        <v/>
      </c>
    </row>
    <row r="454">
      <c r="A454" s="0" t="inlineStr">
        <is>
          <t>Structure Medical Center</t>
        </is>
      </c>
      <c r="B454" s="0" t="inlineStr">
        <is>
          <t>Viral Agent</t>
        </is>
      </c>
      <c r="C454" s="0">
        <f>SUMIFS('BOM Cycle Calc'!$D:$D,'BOM Cycle Calc'!$B:$B,A454,'BOM Cycle Calc'!$C:$C,B454)</f>
        <v/>
      </c>
      <c r="D454" s="0">
        <f>VLOOKUP(B454,'Item Tier Lookup'!$A:$B,2,FALSE)</f>
        <v/>
      </c>
      <c r="E454" s="0">
        <f>VLOOKUP(D454,'Tier Params'!$A:$B,2,FALSE)</f>
        <v/>
      </c>
      <c r="F454" s="0">
        <f>VLOOKUP(D454,'Tier Params'!$A:$C,3,FALSE)</f>
        <v/>
      </c>
      <c r="G454" s="0">
        <f>CEILING(C454/F454,1)</f>
        <v/>
      </c>
      <c r="H454" s="0">
        <f>G454*E454</f>
        <v/>
      </c>
    </row>
    <row r="455">
      <c r="A455" s="0" t="inlineStr">
        <is>
          <t>Structure Medical Center</t>
        </is>
      </c>
      <c r="B455" s="0" t="inlineStr">
        <is>
          <t>Bacteria</t>
        </is>
      </c>
      <c r="C455" s="0">
        <f>SUMIFS('BOM Cycle Calc'!$D:$D,'BOM Cycle Calc'!$B:$B,A455,'BOM Cycle Calc'!$C:$C,B455)</f>
        <v/>
      </c>
      <c r="D455" s="0">
        <f>VLOOKUP(B455,'Item Tier Lookup'!$A:$B,2,FALSE)</f>
        <v/>
      </c>
      <c r="E455" s="0">
        <f>VLOOKUP(D455,'Tier Params'!$A:$B,2,FALSE)</f>
        <v/>
      </c>
      <c r="F455" s="0">
        <f>VLOOKUP(D455,'Tier Params'!$A:$C,3,FALSE)</f>
        <v/>
      </c>
      <c r="G455" s="0">
        <f>CEILING(C455/F455,1)</f>
        <v/>
      </c>
      <c r="H455" s="0">
        <f>G455*E455</f>
        <v/>
      </c>
    </row>
    <row r="456">
      <c r="A456" s="0" t="inlineStr">
        <is>
          <t>Structure Medical Center</t>
        </is>
      </c>
      <c r="B456" s="0" t="inlineStr">
        <is>
          <t>Microorganisms</t>
        </is>
      </c>
      <c r="C456" s="0">
        <f>SUMIFS('BOM Cycle Calc'!$D:$D,'BOM Cycle Calc'!$B:$B,A456,'BOM Cycle Calc'!$C:$C,B456)</f>
        <v/>
      </c>
      <c r="D456" s="0">
        <f>VLOOKUP(B456,'Item Tier Lookup'!$A:$B,2,FALSE)</f>
        <v/>
      </c>
      <c r="E456" s="0">
        <f>VLOOKUP(D456,'Tier Params'!$A:$B,2,FALSE)</f>
        <v/>
      </c>
      <c r="F456" s="0">
        <f>VLOOKUP(D456,'Tier Params'!$A:$C,3,FALSE)</f>
        <v/>
      </c>
      <c r="G456" s="0">
        <f>CEILING(C456/F456,1)</f>
        <v/>
      </c>
      <c r="H456" s="0">
        <f>G456*E456</f>
        <v/>
      </c>
    </row>
    <row r="457">
      <c r="A457" s="0" t="inlineStr">
        <is>
          <t>Structure Medical Center</t>
        </is>
      </c>
      <c r="B457" s="0" t="inlineStr">
        <is>
          <t>Planetary Vehicles</t>
        </is>
      </c>
      <c r="C457" s="0">
        <f>SUMIFS('BOM Cycle Calc'!$D:$D,'BOM Cycle Calc'!$B:$B,A457,'BOM Cycle Calc'!$C:$C,B457)</f>
        <v/>
      </c>
      <c r="D457" s="0">
        <f>VLOOKUP(B457,'Item Tier Lookup'!$A:$B,2,FALSE)</f>
        <v/>
      </c>
      <c r="E457" s="0">
        <f>VLOOKUP(D457,'Tier Params'!$A:$B,2,FALSE)</f>
        <v/>
      </c>
      <c r="F457" s="0">
        <f>VLOOKUP(D457,'Tier Params'!$A:$C,3,FALSE)</f>
        <v/>
      </c>
      <c r="G457" s="0">
        <f>CEILING(C457/F457,1)</f>
        <v/>
      </c>
      <c r="H457" s="0">
        <f>G457*E457</f>
        <v/>
      </c>
    </row>
    <row r="458">
      <c r="A458" s="0" t="inlineStr">
        <is>
          <t>Structure Medical Center</t>
        </is>
      </c>
      <c r="B458" s="0" t="inlineStr">
        <is>
          <t>Mechanical Parts</t>
        </is>
      </c>
      <c r="C458" s="0">
        <f>SUMIFS('BOM Cycle Calc'!$D:$D,'BOM Cycle Calc'!$B:$B,A458,'BOM Cycle Calc'!$C:$C,B458)</f>
        <v/>
      </c>
      <c r="D458" s="0">
        <f>VLOOKUP(B458,'Item Tier Lookup'!$A:$B,2,FALSE)</f>
        <v/>
      </c>
      <c r="E458" s="0">
        <f>VLOOKUP(D458,'Tier Params'!$A:$B,2,FALSE)</f>
        <v/>
      </c>
      <c r="F458" s="0">
        <f>VLOOKUP(D458,'Tier Params'!$A:$C,3,FALSE)</f>
        <v/>
      </c>
      <c r="G458" s="0">
        <f>CEILING(C458/F458,1)</f>
        <v/>
      </c>
      <c r="H458" s="0">
        <f>G458*E458</f>
        <v/>
      </c>
    </row>
    <row r="459">
      <c r="A459" s="0" t="inlineStr">
        <is>
          <t>Structure Medical Center</t>
        </is>
      </c>
      <c r="B459" s="0" t="inlineStr">
        <is>
          <t>Reactive Metals</t>
        </is>
      </c>
      <c r="C459" s="0">
        <f>SUMIFS('BOM Cycle Calc'!$D:$D,'BOM Cycle Calc'!$B:$B,A459,'BOM Cycle Calc'!$C:$C,B459)</f>
        <v/>
      </c>
      <c r="D459" s="0">
        <f>VLOOKUP(B459,'Item Tier Lookup'!$A:$B,2,FALSE)</f>
        <v/>
      </c>
      <c r="E459" s="0">
        <f>VLOOKUP(D459,'Tier Params'!$A:$B,2,FALSE)</f>
        <v/>
      </c>
      <c r="F459" s="0">
        <f>VLOOKUP(D459,'Tier Params'!$A:$C,3,FALSE)</f>
        <v/>
      </c>
      <c r="G459" s="0">
        <f>CEILING(C459/F459,1)</f>
        <v/>
      </c>
      <c r="H459" s="0">
        <f>G459*E459</f>
        <v/>
      </c>
    </row>
    <row r="460">
      <c r="A460" s="0" t="inlineStr">
        <is>
          <t>Structure Medical Center</t>
        </is>
      </c>
      <c r="B460" s="0" t="inlineStr">
        <is>
          <t>Base Metals</t>
        </is>
      </c>
      <c r="C460" s="0">
        <f>SUMIFS('BOM Cycle Calc'!$D:$D,'BOM Cycle Calc'!$B:$B,A460,'BOM Cycle Calc'!$C:$C,B460)</f>
        <v/>
      </c>
      <c r="D460" s="0">
        <f>VLOOKUP(B460,'Item Tier Lookup'!$A:$B,2,FALSE)</f>
        <v/>
      </c>
      <c r="E460" s="0">
        <f>VLOOKUP(D460,'Tier Params'!$A:$B,2,FALSE)</f>
        <v/>
      </c>
      <c r="F460" s="0">
        <f>VLOOKUP(D460,'Tier Params'!$A:$C,3,FALSE)</f>
        <v/>
      </c>
      <c r="G460" s="0">
        <f>CEILING(C460/F460,1)</f>
        <v/>
      </c>
      <c r="H460" s="0">
        <f>G460*E460</f>
        <v/>
      </c>
    </row>
    <row r="461">
      <c r="A461" s="0" t="inlineStr">
        <is>
          <t>Structure Medical Center</t>
        </is>
      </c>
      <c r="B461" s="0" t="inlineStr">
        <is>
          <t>Miniature Electronics</t>
        </is>
      </c>
      <c r="C461" s="0">
        <f>SUMIFS('BOM Cycle Calc'!$D:$D,'BOM Cycle Calc'!$B:$B,A461,'BOM Cycle Calc'!$C:$C,B461)</f>
        <v/>
      </c>
      <c r="D461" s="0">
        <f>VLOOKUP(B461,'Item Tier Lookup'!$A:$B,2,FALSE)</f>
        <v/>
      </c>
      <c r="E461" s="0">
        <f>VLOOKUP(D461,'Tier Params'!$A:$B,2,FALSE)</f>
        <v/>
      </c>
      <c r="F461" s="0">
        <f>VLOOKUP(D461,'Tier Params'!$A:$C,3,FALSE)</f>
        <v/>
      </c>
      <c r="G461" s="0">
        <f>CEILING(C461/F461,1)</f>
        <v/>
      </c>
      <c r="H461" s="0">
        <f>G461*E461</f>
        <v/>
      </c>
    </row>
    <row r="462">
      <c r="A462" s="0" t="inlineStr">
        <is>
          <t>Structure Medical Center</t>
        </is>
      </c>
      <c r="B462" s="0" t="inlineStr">
        <is>
          <t>Recursive Computing Module</t>
        </is>
      </c>
      <c r="C462" s="0">
        <f>SUMIFS('BOM Cycle Calc'!$D:$D,'BOM Cycle Calc'!$B:$B,A462,'BOM Cycle Calc'!$C:$C,B462)</f>
        <v/>
      </c>
      <c r="D462" s="0">
        <f>VLOOKUP(B462,'Item Tier Lookup'!$A:$B,2,FALSE)</f>
        <v/>
      </c>
      <c r="E462" s="0">
        <f>VLOOKUP(D462,'Tier Params'!$A:$B,2,FALSE)</f>
        <v/>
      </c>
      <c r="F462" s="0">
        <f>VLOOKUP(D462,'Tier Params'!$A:$C,3,FALSE)</f>
        <v/>
      </c>
      <c r="G462" s="0">
        <f>CEILING(C462/F462,1)</f>
        <v/>
      </c>
      <c r="H462" s="0">
        <f>G462*E462</f>
        <v/>
      </c>
    </row>
    <row r="463">
      <c r="A463" s="0" t="inlineStr">
        <is>
          <t>Structure Medical Center</t>
        </is>
      </c>
      <c r="B463" s="0" t="inlineStr">
        <is>
          <t>Synthetic Synapses</t>
        </is>
      </c>
      <c r="C463" s="0">
        <f>SUMIFS('BOM Cycle Calc'!$D:$D,'BOM Cycle Calc'!$B:$B,A463,'BOM Cycle Calc'!$C:$C,B463)</f>
        <v/>
      </c>
      <c r="D463" s="0">
        <f>VLOOKUP(B463,'Item Tier Lookup'!$A:$B,2,FALSE)</f>
        <v/>
      </c>
      <c r="E463" s="0">
        <f>VLOOKUP(D463,'Tier Params'!$A:$B,2,FALSE)</f>
        <v/>
      </c>
      <c r="F463" s="0">
        <f>VLOOKUP(D463,'Tier Params'!$A:$C,3,FALSE)</f>
        <v/>
      </c>
      <c r="G463" s="0">
        <f>CEILING(C463/F463,1)</f>
        <v/>
      </c>
      <c r="H463" s="0">
        <f>G463*E463</f>
        <v/>
      </c>
    </row>
    <row r="464">
      <c r="A464" s="0" t="inlineStr">
        <is>
          <t>Structure Medical Center</t>
        </is>
      </c>
      <c r="B464" s="0" t="inlineStr">
        <is>
          <t>Test Cultures</t>
        </is>
      </c>
      <c r="C464" s="0">
        <f>SUMIFS('BOM Cycle Calc'!$D:$D,'BOM Cycle Calc'!$B:$B,A464,'BOM Cycle Calc'!$C:$C,B464)</f>
        <v/>
      </c>
      <c r="D464" s="0">
        <f>VLOOKUP(B464,'Item Tier Lookup'!$A:$B,2,FALSE)</f>
        <v/>
      </c>
      <c r="E464" s="0">
        <f>VLOOKUP(D464,'Tier Params'!$A:$B,2,FALSE)</f>
        <v/>
      </c>
      <c r="F464" s="0">
        <f>VLOOKUP(D464,'Tier Params'!$A:$C,3,FALSE)</f>
        <v/>
      </c>
      <c r="G464" s="0">
        <f>CEILING(C464/F464,1)</f>
        <v/>
      </c>
      <c r="H464" s="0">
        <f>G464*E464</f>
        <v/>
      </c>
    </row>
    <row r="465">
      <c r="A465" s="0" t="inlineStr">
        <is>
          <t>Structure Medical Center</t>
        </is>
      </c>
      <c r="B465" s="0" t="inlineStr">
        <is>
          <t>Transcranial Microcontrollers</t>
        </is>
      </c>
      <c r="C465" s="0">
        <f>SUMIFS('BOM Cycle Calc'!$D:$D,'BOM Cycle Calc'!$B:$B,A465,'BOM Cycle Calc'!$C:$C,B465)</f>
        <v/>
      </c>
      <c r="D465" s="0">
        <f>VLOOKUP(B465,'Item Tier Lookup'!$A:$B,2,FALSE)</f>
        <v/>
      </c>
      <c r="E465" s="0">
        <f>VLOOKUP(D465,'Tier Params'!$A:$B,2,FALSE)</f>
        <v/>
      </c>
      <c r="F465" s="0">
        <f>VLOOKUP(D465,'Tier Params'!$A:$C,3,FALSE)</f>
        <v/>
      </c>
      <c r="G465" s="0">
        <f>CEILING(C465/F465,1)</f>
        <v/>
      </c>
      <c r="H465" s="0">
        <f>G465*E465</f>
        <v/>
      </c>
    </row>
    <row r="466">
      <c r="A466" s="0" t="inlineStr">
        <is>
          <t>Structure Medical Center</t>
        </is>
      </c>
      <c r="B466" s="0" t="inlineStr">
        <is>
          <t>Nanites</t>
        </is>
      </c>
      <c r="C466" s="0">
        <f>SUMIFS('BOM Cycle Calc'!$D:$D,'BOM Cycle Calc'!$B:$B,A466,'BOM Cycle Calc'!$C:$C,B466)</f>
        <v/>
      </c>
      <c r="D466" s="0">
        <f>VLOOKUP(B466,'Item Tier Lookup'!$A:$B,2,FALSE)</f>
        <v/>
      </c>
      <c r="E466" s="0">
        <f>VLOOKUP(D466,'Tier Params'!$A:$B,2,FALSE)</f>
        <v/>
      </c>
      <c r="F466" s="0">
        <f>VLOOKUP(D466,'Tier Params'!$A:$C,3,FALSE)</f>
        <v/>
      </c>
      <c r="G466" s="0">
        <f>CEILING(C466/F466,1)</f>
        <v/>
      </c>
      <c r="H466" s="0">
        <f>G466*E466</f>
        <v/>
      </c>
    </row>
    <row r="467">
      <c r="A467" s="0" t="inlineStr">
        <is>
          <t>Structure Medical Center</t>
        </is>
      </c>
      <c r="B467" s="0" t="inlineStr">
        <is>
          <t>Guidance Systems</t>
        </is>
      </c>
      <c r="C467" s="0">
        <f>SUMIFS('BOM Cycle Calc'!$D:$D,'BOM Cycle Calc'!$B:$B,A467,'BOM Cycle Calc'!$C:$C,B467)</f>
        <v/>
      </c>
      <c r="D467" s="0">
        <f>VLOOKUP(B467,'Item Tier Lookup'!$A:$B,2,FALSE)</f>
        <v/>
      </c>
      <c r="E467" s="0">
        <f>VLOOKUP(D467,'Tier Params'!$A:$B,2,FALSE)</f>
        <v/>
      </c>
      <c r="F467" s="0">
        <f>VLOOKUP(D467,'Tier Params'!$A:$C,3,FALSE)</f>
        <v/>
      </c>
      <c r="G467" s="0">
        <f>CEILING(C467/F467,1)</f>
        <v/>
      </c>
      <c r="H467" s="0">
        <f>G467*E467</f>
        <v/>
      </c>
    </row>
    <row r="468">
      <c r="A468" s="0" t="inlineStr">
        <is>
          <t>Structure Medical Center</t>
        </is>
      </c>
      <c r="B468" s="0" t="inlineStr">
        <is>
          <t>Water-Cooled CPU</t>
        </is>
      </c>
      <c r="C468" s="0">
        <f>SUMIFS('BOM Cycle Calc'!$D:$D,'BOM Cycle Calc'!$B:$B,A468,'BOM Cycle Calc'!$C:$C,B468)</f>
        <v/>
      </c>
      <c r="D468" s="0">
        <f>VLOOKUP(B468,'Item Tier Lookup'!$A:$B,2,FALSE)</f>
        <v/>
      </c>
      <c r="E468" s="0">
        <f>VLOOKUP(D468,'Tier Params'!$A:$B,2,FALSE)</f>
        <v/>
      </c>
      <c r="F468" s="0">
        <f>VLOOKUP(D468,'Tier Params'!$A:$C,3,FALSE)</f>
        <v/>
      </c>
      <c r="G468" s="0">
        <f>CEILING(C468/F468,1)</f>
        <v/>
      </c>
      <c r="H468" s="0">
        <f>G468*E468</f>
        <v/>
      </c>
    </row>
    <row r="469">
      <c r="A469" s="0" t="inlineStr">
        <is>
          <t>Structure Medical Center</t>
        </is>
      </c>
      <c r="B469" s="0" t="inlineStr">
        <is>
          <t>Self-Harmonizing Power Core</t>
        </is>
      </c>
      <c r="C469" s="0">
        <f>SUMIFS('BOM Cycle Calc'!$D:$D,'BOM Cycle Calc'!$B:$B,A469,'BOM Cycle Calc'!$C:$C,B469)</f>
        <v/>
      </c>
      <c r="D469" s="0">
        <f>VLOOKUP(B469,'Item Tier Lookup'!$A:$B,2,FALSE)</f>
        <v/>
      </c>
      <c r="E469" s="0">
        <f>VLOOKUP(D469,'Tier Params'!$A:$B,2,FALSE)</f>
        <v/>
      </c>
      <c r="F469" s="0">
        <f>VLOOKUP(D469,'Tier Params'!$A:$C,3,FALSE)</f>
        <v/>
      </c>
      <c r="G469" s="0">
        <f>CEILING(C469/F469,1)</f>
        <v/>
      </c>
      <c r="H469" s="0">
        <f>G469*E469</f>
        <v/>
      </c>
    </row>
    <row r="470">
      <c r="A470" s="0" t="inlineStr">
        <is>
          <t>Structure Medical Center</t>
        </is>
      </c>
      <c r="B470" s="0" t="inlineStr">
        <is>
          <t>Nuclear Reactors</t>
        </is>
      </c>
      <c r="C470" s="0">
        <f>SUMIFS('BOM Cycle Calc'!$D:$D,'BOM Cycle Calc'!$B:$B,A470,'BOM Cycle Calc'!$C:$C,B470)</f>
        <v/>
      </c>
      <c r="D470" s="0">
        <f>VLOOKUP(B470,'Item Tier Lookup'!$A:$B,2,FALSE)</f>
        <v/>
      </c>
      <c r="E470" s="0">
        <f>VLOOKUP(D470,'Tier Params'!$A:$B,2,FALSE)</f>
        <v/>
      </c>
      <c r="F470" s="0">
        <f>VLOOKUP(D470,'Tier Params'!$A:$C,3,FALSE)</f>
        <v/>
      </c>
      <c r="G470" s="0">
        <f>CEILING(C470/F470,1)</f>
        <v/>
      </c>
      <c r="H470" s="0">
        <f>G470*E470</f>
        <v/>
      </c>
    </row>
    <row r="471">
      <c r="A471" s="0" t="inlineStr">
        <is>
          <t>Structure Medical Center</t>
        </is>
      </c>
      <c r="B471" s="0" t="inlineStr">
        <is>
          <t>Enriched Uranium</t>
        </is>
      </c>
      <c r="C471" s="0">
        <f>SUMIFS('BOM Cycle Calc'!$D:$D,'BOM Cycle Calc'!$B:$B,A471,'BOM Cycle Calc'!$C:$C,B471)</f>
        <v/>
      </c>
      <c r="D471" s="0">
        <f>VLOOKUP(B471,'Item Tier Lookup'!$A:$B,2,FALSE)</f>
        <v/>
      </c>
      <c r="E471" s="0">
        <f>VLOOKUP(D471,'Tier Params'!$A:$B,2,FALSE)</f>
        <v/>
      </c>
      <c r="F471" s="0">
        <f>VLOOKUP(D471,'Tier Params'!$A:$C,3,FALSE)</f>
        <v/>
      </c>
      <c r="G471" s="0">
        <f>CEILING(C471/F471,1)</f>
        <v/>
      </c>
      <c r="H471" s="0">
        <f>G471*E471</f>
        <v/>
      </c>
    </row>
    <row r="472">
      <c r="A472" s="0" t="inlineStr">
        <is>
          <t>Structure Medical Center</t>
        </is>
      </c>
      <c r="B472" s="0" t="inlineStr">
        <is>
          <t>Toxic Metals</t>
        </is>
      </c>
      <c r="C472" s="0">
        <f>SUMIFS('BOM Cycle Calc'!$D:$D,'BOM Cycle Calc'!$B:$B,A472,'BOM Cycle Calc'!$C:$C,B472)</f>
        <v/>
      </c>
      <c r="D472" s="0">
        <f>VLOOKUP(B472,'Item Tier Lookup'!$A:$B,2,FALSE)</f>
        <v/>
      </c>
      <c r="E472" s="0">
        <f>VLOOKUP(D472,'Tier Params'!$A:$B,2,FALSE)</f>
        <v/>
      </c>
      <c r="F472" s="0">
        <f>VLOOKUP(D472,'Tier Params'!$A:$C,3,FALSE)</f>
        <v/>
      </c>
      <c r="G472" s="0">
        <f>CEILING(C472/F472,1)</f>
        <v/>
      </c>
      <c r="H472" s="0">
        <f>G472*E472</f>
        <v/>
      </c>
    </row>
    <row r="473">
      <c r="A473" s="0" t="inlineStr">
        <is>
          <t>Structure Medical Center</t>
        </is>
      </c>
      <c r="B473" s="0" t="inlineStr">
        <is>
          <t>Heavy Metals</t>
        </is>
      </c>
      <c r="C473" s="0">
        <f>SUMIFS('BOM Cycle Calc'!$D:$D,'BOM Cycle Calc'!$B:$B,A473,'BOM Cycle Calc'!$C:$C,B473)</f>
        <v/>
      </c>
      <c r="D473" s="0">
        <f>VLOOKUP(B473,'Item Tier Lookup'!$A:$B,2,FALSE)</f>
        <v/>
      </c>
      <c r="E473" s="0">
        <f>VLOOKUP(D473,'Tier Params'!$A:$B,2,FALSE)</f>
        <v/>
      </c>
      <c r="F473" s="0">
        <f>VLOOKUP(D473,'Tier Params'!$A:$C,3,FALSE)</f>
        <v/>
      </c>
      <c r="G473" s="0">
        <f>CEILING(C473/F473,1)</f>
        <v/>
      </c>
      <c r="H473" s="0">
        <f>G473*E473</f>
        <v/>
      </c>
    </row>
    <row r="474">
      <c r="A474" s="0" t="inlineStr">
        <is>
          <t>Structure Medical Center</t>
        </is>
      </c>
      <c r="B474" s="0" t="inlineStr">
        <is>
          <t>Camera Drones</t>
        </is>
      </c>
      <c r="C474" s="0">
        <f>SUMIFS('BOM Cycle Calc'!$D:$D,'BOM Cycle Calc'!$B:$B,A474,'BOM Cycle Calc'!$C:$C,B474)</f>
        <v/>
      </c>
      <c r="D474" s="0">
        <f>VLOOKUP(B474,'Item Tier Lookup'!$A:$B,2,FALSE)</f>
        <v/>
      </c>
      <c r="E474" s="0">
        <f>VLOOKUP(D474,'Tier Params'!$A:$B,2,FALSE)</f>
        <v/>
      </c>
      <c r="F474" s="0">
        <f>VLOOKUP(D474,'Tier Params'!$A:$C,3,FALSE)</f>
        <v/>
      </c>
      <c r="G474" s="0">
        <f>CEILING(C474/F474,1)</f>
        <v/>
      </c>
      <c r="H474" s="0">
        <f>G474*E474</f>
        <v/>
      </c>
    </row>
    <row r="475">
      <c r="A475" s="0" t="inlineStr">
        <is>
          <t>Structure Medical Center</t>
        </is>
      </c>
      <c r="B475" s="0" t="inlineStr">
        <is>
          <t>Rocket Fuel</t>
        </is>
      </c>
      <c r="C475" s="0">
        <f>SUMIFS('BOM Cycle Calc'!$D:$D,'BOM Cycle Calc'!$B:$B,A475,'BOM Cycle Calc'!$C:$C,B475)</f>
        <v/>
      </c>
      <c r="D475" s="0">
        <f>VLOOKUP(B475,'Item Tier Lookup'!$A:$B,2,FALSE)</f>
        <v/>
      </c>
      <c r="E475" s="0">
        <f>VLOOKUP(D475,'Tier Params'!$A:$B,2,FALSE)</f>
        <v/>
      </c>
      <c r="F475" s="0">
        <f>VLOOKUP(D475,'Tier Params'!$A:$C,3,FALSE)</f>
        <v/>
      </c>
      <c r="G475" s="0">
        <f>CEILING(C475/F475,1)</f>
        <v/>
      </c>
      <c r="H475" s="0">
        <f>G475*E475</f>
        <v/>
      </c>
    </row>
    <row r="476">
      <c r="A476" s="0" t="inlineStr">
        <is>
          <t>Structure Medical Center</t>
        </is>
      </c>
      <c r="B476" s="0" t="inlineStr">
        <is>
          <t>Electrolytes</t>
        </is>
      </c>
      <c r="C476" s="0">
        <f>SUMIFS('BOM Cycle Calc'!$D:$D,'BOM Cycle Calc'!$B:$B,A476,'BOM Cycle Calc'!$C:$C,B476)</f>
        <v/>
      </c>
      <c r="D476" s="0">
        <f>VLOOKUP(B476,'Item Tier Lookup'!$A:$B,2,FALSE)</f>
        <v/>
      </c>
      <c r="E476" s="0">
        <f>VLOOKUP(D476,'Tier Params'!$A:$B,2,FALSE)</f>
        <v/>
      </c>
      <c r="F476" s="0">
        <f>VLOOKUP(D476,'Tier Params'!$A:$C,3,FALSE)</f>
        <v/>
      </c>
      <c r="G476" s="0">
        <f>CEILING(C476/F476,1)</f>
        <v/>
      </c>
      <c r="H476" s="0">
        <f>G476*E476</f>
        <v/>
      </c>
    </row>
    <row r="477">
      <c r="A477" s="0" t="inlineStr">
        <is>
          <t>Structure Medical Center</t>
        </is>
      </c>
      <c r="B477" s="0" t="inlineStr">
        <is>
          <t>Ionic Solutions</t>
        </is>
      </c>
      <c r="C477" s="0">
        <f>SUMIFS('BOM Cycle Calc'!$D:$D,'BOM Cycle Calc'!$B:$B,A477,'BOM Cycle Calc'!$C:$C,B477)</f>
        <v/>
      </c>
      <c r="D477" s="0">
        <f>VLOOKUP(B477,'Item Tier Lookup'!$A:$B,2,FALSE)</f>
        <v/>
      </c>
      <c r="E477" s="0">
        <f>VLOOKUP(D477,'Tier Params'!$A:$B,2,FALSE)</f>
        <v/>
      </c>
      <c r="F477" s="0">
        <f>VLOOKUP(D477,'Tier Params'!$A:$C,3,FALSE)</f>
        <v/>
      </c>
      <c r="G477" s="0">
        <f>CEILING(C477/F477,1)</f>
        <v/>
      </c>
      <c r="H477" s="0">
        <f>G477*E477</f>
        <v/>
      </c>
    </row>
    <row r="478">
      <c r="A478" s="0" t="inlineStr">
        <is>
          <t>Structure Medical Center</t>
        </is>
      </c>
      <c r="B478" s="0" t="inlineStr">
        <is>
          <t>Hermetic Membranes</t>
        </is>
      </c>
      <c r="C478" s="0">
        <f>SUMIFS('BOM Cycle Calc'!$D:$D,'BOM Cycle Calc'!$B:$B,A478,'BOM Cycle Calc'!$C:$C,B478)</f>
        <v/>
      </c>
      <c r="D478" s="0">
        <f>VLOOKUP(B478,'Item Tier Lookup'!$A:$B,2,FALSE)</f>
        <v/>
      </c>
      <c r="E478" s="0">
        <f>VLOOKUP(D478,'Tier Params'!$A:$B,2,FALSE)</f>
        <v/>
      </c>
      <c r="F478" s="0">
        <f>VLOOKUP(D478,'Tier Params'!$A:$C,3,FALSE)</f>
        <v/>
      </c>
      <c r="G478" s="0">
        <f>CEILING(C478/F478,1)</f>
        <v/>
      </c>
      <c r="H478" s="0">
        <f>G478*E478</f>
        <v/>
      </c>
    </row>
    <row r="479">
      <c r="A479" s="0" t="inlineStr">
        <is>
          <t>Structure Medical Center</t>
        </is>
      </c>
      <c r="B479" s="0" t="inlineStr">
        <is>
          <t>Genetically Enhanced Livestock</t>
        </is>
      </c>
      <c r="C479" s="0">
        <f>SUMIFS('BOM Cycle Calc'!$D:$D,'BOM Cycle Calc'!$B:$B,A479,'BOM Cycle Calc'!$C:$C,B479)</f>
        <v/>
      </c>
      <c r="D479" s="0">
        <f>VLOOKUP(B479,'Item Tier Lookup'!$A:$B,2,FALSE)</f>
        <v/>
      </c>
      <c r="E479" s="0">
        <f>VLOOKUP(D479,'Tier Params'!$A:$B,2,FALSE)</f>
        <v/>
      </c>
      <c r="F479" s="0">
        <f>VLOOKUP(D479,'Tier Params'!$A:$C,3,FALSE)</f>
        <v/>
      </c>
      <c r="G479" s="0">
        <f>CEILING(C479/F479,1)</f>
        <v/>
      </c>
      <c r="H479" s="0">
        <f>G479*E479</f>
        <v/>
      </c>
    </row>
    <row r="480">
      <c r="A480" s="0" t="inlineStr">
        <is>
          <t>Structure Medical Center</t>
        </is>
      </c>
      <c r="B480" s="0" t="inlineStr">
        <is>
          <t>Proteins</t>
        </is>
      </c>
      <c r="C480" s="0">
        <f>SUMIFS('BOM Cycle Calc'!$D:$D,'BOM Cycle Calc'!$B:$B,A480,'BOM Cycle Calc'!$C:$C,B480)</f>
        <v/>
      </c>
      <c r="D480" s="0">
        <f>VLOOKUP(B480,'Item Tier Lookup'!$A:$B,2,FALSE)</f>
        <v/>
      </c>
      <c r="E480" s="0">
        <f>VLOOKUP(D480,'Tier Params'!$A:$B,2,FALSE)</f>
        <v/>
      </c>
      <c r="F480" s="0">
        <f>VLOOKUP(D480,'Tier Params'!$A:$C,3,FALSE)</f>
        <v/>
      </c>
      <c r="G480" s="0">
        <f>CEILING(C480/F480,1)</f>
        <v/>
      </c>
      <c r="H480" s="0">
        <f>G480*E480</f>
        <v/>
      </c>
    </row>
    <row r="481">
      <c r="A481" s="0" t="inlineStr">
        <is>
          <t>Structure Medical Center</t>
        </is>
      </c>
      <c r="B481" s="0" t="inlineStr">
        <is>
          <t>Complex Organisms</t>
        </is>
      </c>
      <c r="C481" s="0">
        <f>SUMIFS('BOM Cycle Calc'!$D:$D,'BOM Cycle Calc'!$B:$B,A481,'BOM Cycle Calc'!$C:$C,B481)</f>
        <v/>
      </c>
      <c r="D481" s="0">
        <f>VLOOKUP(B481,'Item Tier Lookup'!$A:$B,2,FALSE)</f>
        <v/>
      </c>
      <c r="E481" s="0">
        <f>VLOOKUP(D481,'Tier Params'!$A:$B,2,FALSE)</f>
        <v/>
      </c>
      <c r="F481" s="0">
        <f>VLOOKUP(D481,'Tier Params'!$A:$C,3,FALSE)</f>
        <v/>
      </c>
      <c r="G481" s="0">
        <f>CEILING(C481/F481,1)</f>
        <v/>
      </c>
      <c r="H481" s="0">
        <f>G481*E481</f>
        <v/>
      </c>
    </row>
    <row r="482">
      <c r="A482" s="0" t="inlineStr">
        <is>
          <t>Structure Medical Center</t>
        </is>
      </c>
      <c r="B482" s="0" t="inlineStr">
        <is>
          <t>Sterile Conduits</t>
        </is>
      </c>
      <c r="C482" s="0">
        <f>SUMIFS('BOM Cycle Calc'!$D:$D,'BOM Cycle Calc'!$B:$B,A482,'BOM Cycle Calc'!$C:$C,B482)</f>
        <v/>
      </c>
      <c r="D482" s="0">
        <f>VLOOKUP(B482,'Item Tier Lookup'!$A:$B,2,FALSE)</f>
        <v/>
      </c>
      <c r="E482" s="0">
        <f>VLOOKUP(D482,'Tier Params'!$A:$B,2,FALSE)</f>
        <v/>
      </c>
      <c r="F482" s="0">
        <f>VLOOKUP(D482,'Tier Params'!$A:$C,3,FALSE)</f>
        <v/>
      </c>
      <c r="G482" s="0">
        <f>CEILING(C482/F482,1)</f>
        <v/>
      </c>
      <c r="H482" s="0">
        <f>G482*E482</f>
        <v/>
      </c>
    </row>
    <row r="483">
      <c r="A483" s="0" t="inlineStr">
        <is>
          <t>Structure Medical Center</t>
        </is>
      </c>
      <c r="B483" s="0" t="inlineStr">
        <is>
          <t>Vaccines</t>
        </is>
      </c>
      <c r="C483" s="0">
        <f>SUMIFS('BOM Cycle Calc'!$D:$D,'BOM Cycle Calc'!$B:$B,A483,'BOM Cycle Calc'!$C:$C,B483)</f>
        <v/>
      </c>
      <c r="D483" s="0">
        <f>VLOOKUP(B483,'Item Tier Lookup'!$A:$B,2,FALSE)</f>
        <v/>
      </c>
      <c r="E483" s="0">
        <f>VLOOKUP(D483,'Tier Params'!$A:$B,2,FALSE)</f>
        <v/>
      </c>
      <c r="F483" s="0">
        <f>VLOOKUP(D483,'Tier Params'!$A:$C,3,FALSE)</f>
        <v/>
      </c>
      <c r="G483" s="0">
        <f>CEILING(C483/F483,1)</f>
        <v/>
      </c>
      <c r="H483" s="0">
        <f>G483*E483</f>
        <v/>
      </c>
    </row>
    <row r="484">
      <c r="A484" s="0" t="inlineStr">
        <is>
          <t>Structure Medical Center</t>
        </is>
      </c>
      <c r="B484" s="0" t="inlineStr">
        <is>
          <t>Livestock</t>
        </is>
      </c>
      <c r="C484" s="0">
        <f>SUMIFS('BOM Cycle Calc'!$D:$D,'BOM Cycle Calc'!$B:$B,A484,'BOM Cycle Calc'!$C:$C,B484)</f>
        <v/>
      </c>
      <c r="D484" s="0">
        <f>VLOOKUP(B484,'Item Tier Lookup'!$A:$B,2,FALSE)</f>
        <v/>
      </c>
      <c r="E484" s="0">
        <f>VLOOKUP(D484,'Tier Params'!$A:$B,2,FALSE)</f>
        <v/>
      </c>
      <c r="F484" s="0">
        <f>VLOOKUP(D484,'Tier Params'!$A:$C,3,FALSE)</f>
        <v/>
      </c>
      <c r="G484" s="0">
        <f>CEILING(C484/F484,1)</f>
        <v/>
      </c>
      <c r="H484" s="0">
        <f>G484*E484</f>
        <v/>
      </c>
    </row>
    <row r="485">
      <c r="A485" s="0" t="inlineStr">
        <is>
          <t>Structure Medical Center</t>
        </is>
      </c>
      <c r="B485" s="0" t="inlineStr">
        <is>
          <t>Smartfab Units</t>
        </is>
      </c>
      <c r="C485" s="0">
        <f>SUMIFS('BOM Cycle Calc'!$D:$D,'BOM Cycle Calc'!$B:$B,A485,'BOM Cycle Calc'!$C:$C,B485)</f>
        <v/>
      </c>
      <c r="D485" s="0">
        <f>VLOOKUP(B485,'Item Tier Lookup'!$A:$B,2,FALSE)</f>
        <v/>
      </c>
      <c r="E485" s="0">
        <f>VLOOKUP(D485,'Tier Params'!$A:$B,2,FALSE)</f>
        <v/>
      </c>
      <c r="F485" s="0">
        <f>VLOOKUP(D485,'Tier Params'!$A:$C,3,FALSE)</f>
        <v/>
      </c>
      <c r="G485" s="0">
        <f>CEILING(C485/F485,1)</f>
        <v/>
      </c>
      <c r="H485" s="0">
        <f>G485*E485</f>
        <v/>
      </c>
    </row>
    <row r="486">
      <c r="A486" s="0" t="inlineStr">
        <is>
          <t>Structure Medical Center</t>
        </is>
      </c>
      <c r="B486" s="0" t="inlineStr">
        <is>
          <t>Construction Blocks</t>
        </is>
      </c>
      <c r="C486" s="0">
        <f>SUMIFS('BOM Cycle Calc'!$D:$D,'BOM Cycle Calc'!$B:$B,A486,'BOM Cycle Calc'!$C:$C,B486)</f>
        <v/>
      </c>
      <c r="D486" s="0">
        <f>VLOOKUP(B486,'Item Tier Lookup'!$A:$B,2,FALSE)</f>
        <v/>
      </c>
      <c r="E486" s="0">
        <f>VLOOKUP(D486,'Tier Params'!$A:$B,2,FALSE)</f>
        <v/>
      </c>
      <c r="F486" s="0">
        <f>VLOOKUP(D486,'Tier Params'!$A:$C,3,FALSE)</f>
        <v/>
      </c>
      <c r="G486" s="0">
        <f>CEILING(C486/F486,1)</f>
        <v/>
      </c>
      <c r="H486" s="0">
        <f>G486*E486</f>
        <v/>
      </c>
    </row>
    <row r="487">
      <c r="A487" s="0" t="inlineStr">
        <is>
          <t>Structure Medical Center</t>
        </is>
      </c>
      <c r="B487" s="0" t="inlineStr">
        <is>
          <t>Wetware Mainframe</t>
        </is>
      </c>
      <c r="C487" s="0">
        <f>SUMIFS('BOM Cycle Calc'!$D:$D,'BOM Cycle Calc'!$B:$B,A487,'BOM Cycle Calc'!$C:$C,B487)</f>
        <v/>
      </c>
      <c r="D487" s="0">
        <f>VLOOKUP(B487,'Item Tier Lookup'!$A:$B,2,FALSE)</f>
        <v/>
      </c>
      <c r="E487" s="0">
        <f>VLOOKUP(D487,'Tier Params'!$A:$B,2,FALSE)</f>
        <v/>
      </c>
      <c r="F487" s="0">
        <f>VLOOKUP(D487,'Tier Params'!$A:$C,3,FALSE)</f>
        <v/>
      </c>
      <c r="G487" s="0">
        <f>CEILING(C487/F487,1)</f>
        <v/>
      </c>
      <c r="H487" s="0">
        <f>G487*E487</f>
        <v/>
      </c>
    </row>
    <row r="488">
      <c r="A488" s="0" t="inlineStr">
        <is>
          <t>Structure Medical Center</t>
        </is>
      </c>
      <c r="B488" s="0" t="inlineStr">
        <is>
          <t>Supercomputers</t>
        </is>
      </c>
      <c r="C488" s="0">
        <f>SUMIFS('BOM Cycle Calc'!$D:$D,'BOM Cycle Calc'!$B:$B,A488,'BOM Cycle Calc'!$C:$C,B488)</f>
        <v/>
      </c>
      <c r="D488" s="0">
        <f>VLOOKUP(B488,'Item Tier Lookup'!$A:$B,2,FALSE)</f>
        <v/>
      </c>
      <c r="E488" s="0">
        <f>VLOOKUP(D488,'Tier Params'!$A:$B,2,FALSE)</f>
        <v/>
      </c>
      <c r="F488" s="0">
        <f>VLOOKUP(D488,'Tier Params'!$A:$C,3,FALSE)</f>
        <v/>
      </c>
      <c r="G488" s="0">
        <f>CEILING(C488/F488,1)</f>
        <v/>
      </c>
      <c r="H488" s="0">
        <f>G488*E488</f>
        <v/>
      </c>
    </row>
    <row r="489">
      <c r="A489" s="0" t="inlineStr">
        <is>
          <t>Structure Medical Center</t>
        </is>
      </c>
      <c r="B489" s="0" t="inlineStr">
        <is>
          <t>Coolant</t>
        </is>
      </c>
      <c r="C489" s="0">
        <f>SUMIFS('BOM Cycle Calc'!$D:$D,'BOM Cycle Calc'!$B:$B,A489,'BOM Cycle Calc'!$C:$C,B489)</f>
        <v/>
      </c>
      <c r="D489" s="0">
        <f>VLOOKUP(B489,'Item Tier Lookup'!$A:$B,2,FALSE)</f>
        <v/>
      </c>
      <c r="E489" s="0">
        <f>VLOOKUP(D489,'Tier Params'!$A:$B,2,FALSE)</f>
        <v/>
      </c>
      <c r="F489" s="0">
        <f>VLOOKUP(D489,'Tier Params'!$A:$C,3,FALSE)</f>
        <v/>
      </c>
      <c r="G489" s="0">
        <f>CEILING(C489/F489,1)</f>
        <v/>
      </c>
      <c r="H489" s="0">
        <f>G489*E489</f>
        <v/>
      </c>
    </row>
    <row r="490">
      <c r="A490" s="0" t="inlineStr">
        <is>
          <t>Structure Medical Center</t>
        </is>
      </c>
      <c r="B490" s="0" t="inlineStr">
        <is>
          <t>Consumer Electronics</t>
        </is>
      </c>
      <c r="C490" s="0">
        <f>SUMIFS('BOM Cycle Calc'!$D:$D,'BOM Cycle Calc'!$B:$B,A490,'BOM Cycle Calc'!$C:$C,B490)</f>
        <v/>
      </c>
      <c r="D490" s="0">
        <f>VLOOKUP(B490,'Item Tier Lookup'!$A:$B,2,FALSE)</f>
        <v/>
      </c>
      <c r="E490" s="0">
        <f>VLOOKUP(D490,'Tier Params'!$A:$B,2,FALSE)</f>
        <v/>
      </c>
      <c r="F490" s="0">
        <f>VLOOKUP(D490,'Tier Params'!$A:$C,3,FALSE)</f>
        <v/>
      </c>
      <c r="G490" s="0">
        <f>CEILING(C490/F490,1)</f>
        <v/>
      </c>
      <c r="H490" s="0">
        <f>G490*E490</f>
        <v/>
      </c>
    </row>
    <row r="491">
      <c r="A491" s="0" t="inlineStr">
        <is>
          <t>Structure Medical Center</t>
        </is>
      </c>
      <c r="B491" s="0" t="inlineStr">
        <is>
          <t>Biotech Research Reports</t>
        </is>
      </c>
      <c r="C491" s="0">
        <f>SUMIFS('BOM Cycle Calc'!$D:$D,'BOM Cycle Calc'!$B:$B,A491,'BOM Cycle Calc'!$C:$C,B491)</f>
        <v/>
      </c>
      <c r="D491" s="0">
        <f>VLOOKUP(B491,'Item Tier Lookup'!$A:$B,2,FALSE)</f>
        <v/>
      </c>
      <c r="E491" s="0">
        <f>VLOOKUP(D491,'Tier Params'!$A:$B,2,FALSE)</f>
        <v/>
      </c>
      <c r="F491" s="0">
        <f>VLOOKUP(D491,'Tier Params'!$A:$C,3,FALSE)</f>
        <v/>
      </c>
      <c r="G491" s="0">
        <f>CEILING(C491/F491,1)</f>
        <v/>
      </c>
      <c r="H491" s="0">
        <f>G491*E491</f>
        <v/>
      </c>
    </row>
    <row r="492">
      <c r="A492" s="0" t="inlineStr">
        <is>
          <t>Structure Medical Center</t>
        </is>
      </c>
      <c r="B492" s="0" t="inlineStr">
        <is>
          <t>Cryoprotectant Solution</t>
        </is>
      </c>
      <c r="C492" s="0">
        <f>SUMIFS('BOM Cycle Calc'!$D:$D,'BOM Cycle Calc'!$B:$B,A492,'BOM Cycle Calc'!$C:$C,B492)</f>
        <v/>
      </c>
      <c r="D492" s="0">
        <f>VLOOKUP(B492,'Item Tier Lookup'!$A:$B,2,FALSE)</f>
        <v/>
      </c>
      <c r="E492" s="0">
        <f>VLOOKUP(D492,'Tier Params'!$A:$B,2,FALSE)</f>
        <v/>
      </c>
      <c r="F492" s="0">
        <f>VLOOKUP(D492,'Tier Params'!$A:$C,3,FALSE)</f>
        <v/>
      </c>
      <c r="G492" s="0">
        <f>CEILING(C492/F492,1)</f>
        <v/>
      </c>
      <c r="H492" s="0">
        <f>G492*E492</f>
        <v/>
      </c>
    </row>
    <row r="493">
      <c r="A493" s="0" t="inlineStr">
        <is>
          <t>Structure Medical Center</t>
        </is>
      </c>
      <c r="B493" s="0" t="inlineStr">
        <is>
          <t>Synthetic Oil</t>
        </is>
      </c>
      <c r="C493" s="0">
        <f>SUMIFS('BOM Cycle Calc'!$D:$D,'BOM Cycle Calc'!$B:$B,A493,'BOM Cycle Calc'!$C:$C,B493)</f>
        <v/>
      </c>
      <c r="D493" s="0">
        <f>VLOOKUP(B493,'Item Tier Lookup'!$A:$B,2,FALSE)</f>
        <v/>
      </c>
      <c r="E493" s="0">
        <f>VLOOKUP(D493,'Tier Params'!$A:$B,2,FALSE)</f>
        <v/>
      </c>
      <c r="F493" s="0">
        <f>VLOOKUP(D493,'Tier Params'!$A:$C,3,FALSE)</f>
        <v/>
      </c>
      <c r="G493" s="0">
        <f>CEILING(C493/F493,1)</f>
        <v/>
      </c>
      <c r="H493" s="0">
        <f>G493*E493</f>
        <v/>
      </c>
    </row>
    <row r="494">
      <c r="A494" s="0" t="inlineStr">
        <is>
          <t>Structure Medical Center</t>
        </is>
      </c>
      <c r="B494" s="0" t="inlineStr">
        <is>
          <t>Fertilizer</t>
        </is>
      </c>
      <c r="C494" s="0">
        <f>SUMIFS('BOM Cycle Calc'!$D:$D,'BOM Cycle Calc'!$B:$B,A494,'BOM Cycle Calc'!$C:$C,B494)</f>
        <v/>
      </c>
      <c r="D494" s="0">
        <f>VLOOKUP(B494,'Item Tier Lookup'!$A:$B,2,FALSE)</f>
        <v/>
      </c>
      <c r="E494" s="0">
        <f>VLOOKUP(D494,'Tier Params'!$A:$B,2,FALSE)</f>
        <v/>
      </c>
      <c r="F494" s="0">
        <f>VLOOKUP(D494,'Tier Params'!$A:$C,3,FALSE)</f>
        <v/>
      </c>
      <c r="G494" s="0">
        <f>CEILING(C494/F494,1)</f>
        <v/>
      </c>
      <c r="H494" s="0">
        <f>G494*E494</f>
        <v/>
      </c>
    </row>
    <row r="495">
      <c r="A495" s="0" t="inlineStr">
        <is>
          <t>Structure Office Center</t>
        </is>
      </c>
      <c r="B495" s="0" t="inlineStr">
        <is>
          <t>Tritanium</t>
        </is>
      </c>
      <c r="C495" s="0">
        <f>SUMIFS('BOM Cycle Calc'!$D:$D,'BOM Cycle Calc'!$B:$B,A495,'BOM Cycle Calc'!$C:$C,B495)</f>
        <v/>
      </c>
      <c r="D495" s="0">
        <f>VLOOKUP(B495,'Item Tier Lookup'!$A:$B,2,FALSE)</f>
        <v/>
      </c>
      <c r="E495" s="0">
        <f>VLOOKUP(D495,'Tier Params'!$A:$B,2,FALSE)</f>
        <v/>
      </c>
      <c r="F495" s="0">
        <f>VLOOKUP(D495,'Tier Params'!$A:$C,3,FALSE)</f>
        <v/>
      </c>
      <c r="G495" s="0">
        <f>CEILING(C495/F495,1)</f>
        <v/>
      </c>
      <c r="H495" s="0">
        <f>G495*E495</f>
        <v/>
      </c>
    </row>
    <row r="496">
      <c r="A496" s="0" t="inlineStr">
        <is>
          <t>Structure Office Center</t>
        </is>
      </c>
      <c r="B496" s="0" t="inlineStr">
        <is>
          <t>Pyerite</t>
        </is>
      </c>
      <c r="C496" s="0">
        <f>SUMIFS('BOM Cycle Calc'!$D:$D,'BOM Cycle Calc'!$B:$B,A496,'BOM Cycle Calc'!$C:$C,B496)</f>
        <v/>
      </c>
      <c r="D496" s="0">
        <f>VLOOKUP(B496,'Item Tier Lookup'!$A:$B,2,FALSE)</f>
        <v/>
      </c>
      <c r="E496" s="0">
        <f>VLOOKUP(D496,'Tier Params'!$A:$B,2,FALSE)</f>
        <v/>
      </c>
      <c r="F496" s="0">
        <f>VLOOKUP(D496,'Tier Params'!$A:$C,3,FALSE)</f>
        <v/>
      </c>
      <c r="G496" s="0">
        <f>CEILING(C496/F496,1)</f>
        <v/>
      </c>
      <c r="H496" s="0">
        <f>G496*E496</f>
        <v/>
      </c>
    </row>
    <row r="497">
      <c r="A497" s="0" t="inlineStr">
        <is>
          <t>Structure Office Center</t>
        </is>
      </c>
      <c r="B497" s="0" t="inlineStr">
        <is>
          <t>Mexallon</t>
        </is>
      </c>
      <c r="C497" s="0">
        <f>SUMIFS('BOM Cycle Calc'!$D:$D,'BOM Cycle Calc'!$B:$B,A497,'BOM Cycle Calc'!$C:$C,B497)</f>
        <v/>
      </c>
      <c r="D497" s="0">
        <f>VLOOKUP(B497,'Item Tier Lookup'!$A:$B,2,FALSE)</f>
        <v/>
      </c>
      <c r="E497" s="0">
        <f>VLOOKUP(D497,'Tier Params'!$A:$B,2,FALSE)</f>
        <v/>
      </c>
      <c r="F497" s="0">
        <f>VLOOKUP(D497,'Tier Params'!$A:$C,3,FALSE)</f>
        <v/>
      </c>
      <c r="G497" s="0">
        <f>CEILING(C497/F497,1)</f>
        <v/>
      </c>
      <c r="H497" s="0">
        <f>G497*E497</f>
        <v/>
      </c>
    </row>
    <row r="498">
      <c r="A498" s="0" t="inlineStr">
        <is>
          <t>Structure Office Center</t>
        </is>
      </c>
      <c r="B498" s="0" t="inlineStr">
        <is>
          <t>Isogen</t>
        </is>
      </c>
      <c r="C498" s="0">
        <f>SUMIFS('BOM Cycle Calc'!$D:$D,'BOM Cycle Calc'!$B:$B,A498,'BOM Cycle Calc'!$C:$C,B498)</f>
        <v/>
      </c>
      <c r="D498" s="0">
        <f>VLOOKUP(B498,'Item Tier Lookup'!$A:$B,2,FALSE)</f>
        <v/>
      </c>
      <c r="E498" s="0">
        <f>VLOOKUP(D498,'Tier Params'!$A:$B,2,FALSE)</f>
        <v/>
      </c>
      <c r="F498" s="0">
        <f>VLOOKUP(D498,'Tier Params'!$A:$C,3,FALSE)</f>
        <v/>
      </c>
      <c r="G498" s="0">
        <f>CEILING(C498/F498,1)</f>
        <v/>
      </c>
      <c r="H498" s="0">
        <f>G498*E498</f>
        <v/>
      </c>
    </row>
    <row r="499">
      <c r="A499" s="0" t="inlineStr">
        <is>
          <t>Structure Office Center</t>
        </is>
      </c>
      <c r="B499" s="0" t="inlineStr">
        <is>
          <t>Nocxium</t>
        </is>
      </c>
      <c r="C499" s="0">
        <f>SUMIFS('BOM Cycle Calc'!$D:$D,'BOM Cycle Calc'!$B:$B,A499,'BOM Cycle Calc'!$C:$C,B499)</f>
        <v/>
      </c>
      <c r="D499" s="0">
        <f>VLOOKUP(B499,'Item Tier Lookup'!$A:$B,2,FALSE)</f>
        <v/>
      </c>
      <c r="E499" s="0">
        <f>VLOOKUP(D499,'Tier Params'!$A:$B,2,FALSE)</f>
        <v/>
      </c>
      <c r="F499" s="0">
        <f>VLOOKUP(D499,'Tier Params'!$A:$C,3,FALSE)</f>
        <v/>
      </c>
      <c r="G499" s="0">
        <f>CEILING(C499/F499,1)</f>
        <v/>
      </c>
      <c r="H499" s="0">
        <f>G499*E499</f>
        <v/>
      </c>
    </row>
    <row r="500">
      <c r="A500" s="0" t="inlineStr">
        <is>
          <t>Structure Office Center</t>
        </is>
      </c>
      <c r="B500" s="0" t="inlineStr">
        <is>
          <t>Zydrine</t>
        </is>
      </c>
      <c r="C500" s="0">
        <f>SUMIFS('BOM Cycle Calc'!$D:$D,'BOM Cycle Calc'!$B:$B,A500,'BOM Cycle Calc'!$C:$C,B500)</f>
        <v/>
      </c>
      <c r="D500" s="0">
        <f>VLOOKUP(B500,'Item Tier Lookup'!$A:$B,2,FALSE)</f>
        <v/>
      </c>
      <c r="E500" s="0">
        <f>VLOOKUP(D500,'Tier Params'!$A:$B,2,FALSE)</f>
        <v/>
      </c>
      <c r="F500" s="0">
        <f>VLOOKUP(D500,'Tier Params'!$A:$C,3,FALSE)</f>
        <v/>
      </c>
      <c r="G500" s="0">
        <f>CEILING(C500/F500,1)</f>
        <v/>
      </c>
      <c r="H500" s="0">
        <f>G500*E500</f>
        <v/>
      </c>
    </row>
    <row r="501">
      <c r="A501" s="0" t="inlineStr">
        <is>
          <t>Structure Office Center</t>
        </is>
      </c>
      <c r="B501" s="0" t="inlineStr">
        <is>
          <t>Megacyte</t>
        </is>
      </c>
      <c r="C501" s="0">
        <f>SUMIFS('BOM Cycle Calc'!$D:$D,'BOM Cycle Calc'!$B:$B,A501,'BOM Cycle Calc'!$C:$C,B501)</f>
        <v/>
      </c>
      <c r="D501" s="0">
        <f>VLOOKUP(B501,'Item Tier Lookup'!$A:$B,2,FALSE)</f>
        <v/>
      </c>
      <c r="E501" s="0">
        <f>VLOOKUP(D501,'Tier Params'!$A:$B,2,FALSE)</f>
        <v/>
      </c>
      <c r="F501" s="0">
        <f>VLOOKUP(D501,'Tier Params'!$A:$C,3,FALSE)</f>
        <v/>
      </c>
      <c r="G501" s="0">
        <f>CEILING(C501/F501,1)</f>
        <v/>
      </c>
      <c r="H501" s="0">
        <f>G501*E501</f>
        <v/>
      </c>
    </row>
    <row r="502">
      <c r="A502" s="0" t="inlineStr">
        <is>
          <t>Structure Office Center</t>
        </is>
      </c>
      <c r="B502" s="0" t="inlineStr">
        <is>
          <t>Broadcast Node</t>
        </is>
      </c>
      <c r="C502" s="0">
        <f>SUMIFS('BOM Cycle Calc'!$D:$D,'BOM Cycle Calc'!$B:$B,A502,'BOM Cycle Calc'!$C:$C,B502)</f>
        <v/>
      </c>
      <c r="D502" s="0">
        <f>VLOOKUP(B502,'Item Tier Lookup'!$A:$B,2,FALSE)</f>
        <v/>
      </c>
      <c r="E502" s="0">
        <f>VLOOKUP(D502,'Tier Params'!$A:$B,2,FALSE)</f>
        <v/>
      </c>
      <c r="F502" s="0">
        <f>VLOOKUP(D502,'Tier Params'!$A:$C,3,FALSE)</f>
        <v/>
      </c>
      <c r="G502" s="0">
        <f>CEILING(C502/F502,1)</f>
        <v/>
      </c>
      <c r="H502" s="0">
        <f>G502*E502</f>
        <v/>
      </c>
    </row>
    <row r="503">
      <c r="A503" s="0" t="inlineStr">
        <is>
          <t>Structure Office Center</t>
        </is>
      </c>
      <c r="B503" s="0" t="inlineStr">
        <is>
          <t>Data Chips</t>
        </is>
      </c>
      <c r="C503" s="0">
        <f>SUMIFS('BOM Cycle Calc'!$D:$D,'BOM Cycle Calc'!$B:$B,A503,'BOM Cycle Calc'!$C:$C,B503)</f>
        <v/>
      </c>
      <c r="D503" s="0">
        <f>VLOOKUP(B503,'Item Tier Lookup'!$A:$B,2,FALSE)</f>
        <v/>
      </c>
      <c r="E503" s="0">
        <f>VLOOKUP(D503,'Tier Params'!$A:$B,2,FALSE)</f>
        <v/>
      </c>
      <c r="F503" s="0">
        <f>VLOOKUP(D503,'Tier Params'!$A:$C,3,FALSE)</f>
        <v/>
      </c>
      <c r="G503" s="0">
        <f>CEILING(C503/F503,1)</f>
        <v/>
      </c>
      <c r="H503" s="0">
        <f>G503*E503</f>
        <v/>
      </c>
    </row>
    <row r="504">
      <c r="A504" s="0" t="inlineStr">
        <is>
          <t>Structure Office Center</t>
        </is>
      </c>
      <c r="B504" s="0" t="inlineStr">
        <is>
          <t>Supertensile Plastics</t>
        </is>
      </c>
      <c r="C504" s="0">
        <f>SUMIFS('BOM Cycle Calc'!$D:$D,'BOM Cycle Calc'!$B:$B,A504,'BOM Cycle Calc'!$C:$C,B504)</f>
        <v/>
      </c>
      <c r="D504" s="0">
        <f>VLOOKUP(B504,'Item Tier Lookup'!$A:$B,2,FALSE)</f>
        <v/>
      </c>
      <c r="E504" s="0">
        <f>VLOOKUP(D504,'Tier Params'!$A:$B,2,FALSE)</f>
        <v/>
      </c>
      <c r="F504" s="0">
        <f>VLOOKUP(D504,'Tier Params'!$A:$C,3,FALSE)</f>
        <v/>
      </c>
      <c r="G504" s="0">
        <f>CEILING(C504/F504,1)</f>
        <v/>
      </c>
      <c r="H504" s="0">
        <f>G504*E504</f>
        <v/>
      </c>
    </row>
    <row r="505">
      <c r="A505" s="0" t="inlineStr">
        <is>
          <t>Structure Office Center</t>
        </is>
      </c>
      <c r="B505" s="0" t="inlineStr">
        <is>
          <t>Oxygen</t>
        </is>
      </c>
      <c r="C505" s="0">
        <f>SUMIFS('BOM Cycle Calc'!$D:$D,'BOM Cycle Calc'!$B:$B,A505,'BOM Cycle Calc'!$C:$C,B505)</f>
        <v/>
      </c>
      <c r="D505" s="0">
        <f>VLOOKUP(B505,'Item Tier Lookup'!$A:$B,2,FALSE)</f>
        <v/>
      </c>
      <c r="E505" s="0">
        <f>VLOOKUP(D505,'Tier Params'!$A:$B,2,FALSE)</f>
        <v/>
      </c>
      <c r="F505" s="0">
        <f>VLOOKUP(D505,'Tier Params'!$A:$C,3,FALSE)</f>
        <v/>
      </c>
      <c r="G505" s="0">
        <f>CEILING(C505/F505,1)</f>
        <v/>
      </c>
      <c r="H505" s="0">
        <f>G505*E505</f>
        <v/>
      </c>
    </row>
    <row r="506">
      <c r="A506" s="0" t="inlineStr">
        <is>
          <t>Structure Office Center</t>
        </is>
      </c>
      <c r="B506" s="0" t="inlineStr">
        <is>
          <t>Noble Gas</t>
        </is>
      </c>
      <c r="C506" s="0">
        <f>SUMIFS('BOM Cycle Calc'!$D:$D,'BOM Cycle Calc'!$B:$B,A506,'BOM Cycle Calc'!$C:$C,B506)</f>
        <v/>
      </c>
      <c r="D506" s="0">
        <f>VLOOKUP(B506,'Item Tier Lookup'!$A:$B,2,FALSE)</f>
        <v/>
      </c>
      <c r="E506" s="0">
        <f>VLOOKUP(D506,'Tier Params'!$A:$B,2,FALSE)</f>
        <v/>
      </c>
      <c r="F506" s="0">
        <f>VLOOKUP(D506,'Tier Params'!$A:$C,3,FALSE)</f>
        <v/>
      </c>
      <c r="G506" s="0">
        <f>CEILING(C506/F506,1)</f>
        <v/>
      </c>
      <c r="H506" s="0">
        <f>G506*E506</f>
        <v/>
      </c>
    </row>
    <row r="507">
      <c r="A507" s="0" t="inlineStr">
        <is>
          <t>Structure Office Center</t>
        </is>
      </c>
      <c r="B507" s="0" t="inlineStr">
        <is>
          <t>Biomass</t>
        </is>
      </c>
      <c r="C507" s="0">
        <f>SUMIFS('BOM Cycle Calc'!$D:$D,'BOM Cycle Calc'!$B:$B,A507,'BOM Cycle Calc'!$C:$C,B507)</f>
        <v/>
      </c>
      <c r="D507" s="0">
        <f>VLOOKUP(B507,'Item Tier Lookup'!$A:$B,2,FALSE)</f>
        <v/>
      </c>
      <c r="E507" s="0">
        <f>VLOOKUP(D507,'Tier Params'!$A:$B,2,FALSE)</f>
        <v/>
      </c>
      <c r="F507" s="0">
        <f>VLOOKUP(D507,'Tier Params'!$A:$C,3,FALSE)</f>
        <v/>
      </c>
      <c r="G507" s="0">
        <f>CEILING(C507/F507,1)</f>
        <v/>
      </c>
      <c r="H507" s="0">
        <f>G507*E507</f>
        <v/>
      </c>
    </row>
    <row r="508">
      <c r="A508" s="0" t="inlineStr">
        <is>
          <t>Structure Office Center</t>
        </is>
      </c>
      <c r="B508" s="0" t="inlineStr">
        <is>
          <t>Planktic Colonies</t>
        </is>
      </c>
      <c r="C508" s="0">
        <f>SUMIFS('BOM Cycle Calc'!$D:$D,'BOM Cycle Calc'!$B:$B,A508,'BOM Cycle Calc'!$C:$C,B508)</f>
        <v/>
      </c>
      <c r="D508" s="0">
        <f>VLOOKUP(B508,'Item Tier Lookup'!$A:$B,2,FALSE)</f>
        <v/>
      </c>
      <c r="E508" s="0">
        <f>VLOOKUP(D508,'Tier Params'!$A:$B,2,FALSE)</f>
        <v/>
      </c>
      <c r="F508" s="0">
        <f>VLOOKUP(D508,'Tier Params'!$A:$C,3,FALSE)</f>
        <v/>
      </c>
      <c r="G508" s="0">
        <f>CEILING(C508/F508,1)</f>
        <v/>
      </c>
      <c r="H508" s="0">
        <f>G508*E508</f>
        <v/>
      </c>
    </row>
    <row r="509">
      <c r="A509" s="0" t="inlineStr">
        <is>
          <t>Structure Office Center</t>
        </is>
      </c>
      <c r="B509" s="0" t="inlineStr">
        <is>
          <t>Microfiber Shielding</t>
        </is>
      </c>
      <c r="C509" s="0">
        <f>SUMIFS('BOM Cycle Calc'!$D:$D,'BOM Cycle Calc'!$B:$B,A509,'BOM Cycle Calc'!$C:$C,B509)</f>
        <v/>
      </c>
      <c r="D509" s="0">
        <f>VLOOKUP(B509,'Item Tier Lookup'!$A:$B,2,FALSE)</f>
        <v/>
      </c>
      <c r="E509" s="0">
        <f>VLOOKUP(D509,'Tier Params'!$A:$B,2,FALSE)</f>
        <v/>
      </c>
      <c r="F509" s="0">
        <f>VLOOKUP(D509,'Tier Params'!$A:$C,3,FALSE)</f>
        <v/>
      </c>
      <c r="G509" s="0">
        <f>CEILING(C509/F509,1)</f>
        <v/>
      </c>
      <c r="H509" s="0">
        <f>G509*E509</f>
        <v/>
      </c>
    </row>
    <row r="510">
      <c r="A510" s="0" t="inlineStr">
        <is>
          <t>Structure Office Center</t>
        </is>
      </c>
      <c r="B510" s="0" t="inlineStr">
        <is>
          <t>Silicon</t>
        </is>
      </c>
      <c r="C510" s="0">
        <f>SUMIFS('BOM Cycle Calc'!$D:$D,'BOM Cycle Calc'!$B:$B,A510,'BOM Cycle Calc'!$C:$C,B510)</f>
        <v/>
      </c>
      <c r="D510" s="0">
        <f>VLOOKUP(B510,'Item Tier Lookup'!$A:$B,2,FALSE)</f>
        <v/>
      </c>
      <c r="E510" s="0">
        <f>VLOOKUP(D510,'Tier Params'!$A:$B,2,FALSE)</f>
        <v/>
      </c>
      <c r="F510" s="0">
        <f>VLOOKUP(D510,'Tier Params'!$A:$C,3,FALSE)</f>
        <v/>
      </c>
      <c r="G510" s="0">
        <f>CEILING(C510/F510,1)</f>
        <v/>
      </c>
      <c r="H510" s="0">
        <f>G510*E510</f>
        <v/>
      </c>
    </row>
    <row r="511">
      <c r="A511" s="0" t="inlineStr">
        <is>
          <t>Structure Office Center</t>
        </is>
      </c>
      <c r="B511" s="0" t="inlineStr">
        <is>
          <t>Felsic Magma</t>
        </is>
      </c>
      <c r="C511" s="0">
        <f>SUMIFS('BOM Cycle Calc'!$D:$D,'BOM Cycle Calc'!$B:$B,A511,'BOM Cycle Calc'!$C:$C,B511)</f>
        <v/>
      </c>
      <c r="D511" s="0">
        <f>VLOOKUP(B511,'Item Tier Lookup'!$A:$B,2,FALSE)</f>
        <v/>
      </c>
      <c r="E511" s="0">
        <f>VLOOKUP(D511,'Tier Params'!$A:$B,2,FALSE)</f>
        <v/>
      </c>
      <c r="F511" s="0">
        <f>VLOOKUP(D511,'Tier Params'!$A:$C,3,FALSE)</f>
        <v/>
      </c>
      <c r="G511" s="0">
        <f>CEILING(C511/F511,1)</f>
        <v/>
      </c>
      <c r="H511" s="0">
        <f>G511*E511</f>
        <v/>
      </c>
    </row>
    <row r="512">
      <c r="A512" s="0" t="inlineStr">
        <is>
          <t>Structure Office Center</t>
        </is>
      </c>
      <c r="B512" s="0" t="inlineStr">
        <is>
          <t>Industrial Fibers</t>
        </is>
      </c>
      <c r="C512" s="0">
        <f>SUMIFS('BOM Cycle Calc'!$D:$D,'BOM Cycle Calc'!$B:$B,A512,'BOM Cycle Calc'!$C:$C,B512)</f>
        <v/>
      </c>
      <c r="D512" s="0">
        <f>VLOOKUP(B512,'Item Tier Lookup'!$A:$B,2,FALSE)</f>
        <v/>
      </c>
      <c r="E512" s="0">
        <f>VLOOKUP(D512,'Tier Params'!$A:$B,2,FALSE)</f>
        <v/>
      </c>
      <c r="F512" s="0">
        <f>VLOOKUP(D512,'Tier Params'!$A:$C,3,FALSE)</f>
        <v/>
      </c>
      <c r="G512" s="0">
        <f>CEILING(C512/F512,1)</f>
        <v/>
      </c>
      <c r="H512" s="0">
        <f>G512*E512</f>
        <v/>
      </c>
    </row>
    <row r="513">
      <c r="A513" s="0" t="inlineStr">
        <is>
          <t>Structure Office Center</t>
        </is>
      </c>
      <c r="B513" s="0" t="inlineStr">
        <is>
          <t>Autotrophs</t>
        </is>
      </c>
      <c r="C513" s="0">
        <f>SUMIFS('BOM Cycle Calc'!$D:$D,'BOM Cycle Calc'!$B:$B,A513,'BOM Cycle Calc'!$C:$C,B513)</f>
        <v/>
      </c>
      <c r="D513" s="0">
        <f>VLOOKUP(B513,'Item Tier Lookup'!$A:$B,2,FALSE)</f>
        <v/>
      </c>
      <c r="E513" s="0">
        <f>VLOOKUP(D513,'Tier Params'!$A:$B,2,FALSE)</f>
        <v/>
      </c>
      <c r="F513" s="0">
        <f>VLOOKUP(D513,'Tier Params'!$A:$C,3,FALSE)</f>
        <v/>
      </c>
      <c r="G513" s="0">
        <f>CEILING(C513/F513,1)</f>
        <v/>
      </c>
      <c r="H513" s="0">
        <f>G513*E513</f>
        <v/>
      </c>
    </row>
    <row r="514">
      <c r="A514" s="0" t="inlineStr">
        <is>
          <t>Structure Office Center</t>
        </is>
      </c>
      <c r="B514" s="0" t="inlineStr">
        <is>
          <t>Neocoms</t>
        </is>
      </c>
      <c r="C514" s="0">
        <f>SUMIFS('BOM Cycle Calc'!$D:$D,'BOM Cycle Calc'!$B:$B,A514,'BOM Cycle Calc'!$C:$C,B514)</f>
        <v/>
      </c>
      <c r="D514" s="0">
        <f>VLOOKUP(B514,'Item Tier Lookup'!$A:$B,2,FALSE)</f>
        <v/>
      </c>
      <c r="E514" s="0">
        <f>VLOOKUP(D514,'Tier Params'!$A:$B,2,FALSE)</f>
        <v/>
      </c>
      <c r="F514" s="0">
        <f>VLOOKUP(D514,'Tier Params'!$A:$C,3,FALSE)</f>
        <v/>
      </c>
      <c r="G514" s="0">
        <f>CEILING(C514/F514,1)</f>
        <v/>
      </c>
      <c r="H514" s="0">
        <f>G514*E514</f>
        <v/>
      </c>
    </row>
    <row r="515">
      <c r="A515" s="0" t="inlineStr">
        <is>
          <t>Structure Office Center</t>
        </is>
      </c>
      <c r="B515" s="0" t="inlineStr">
        <is>
          <t>Biocells</t>
        </is>
      </c>
      <c r="C515" s="0">
        <f>SUMIFS('BOM Cycle Calc'!$D:$D,'BOM Cycle Calc'!$B:$B,A515,'BOM Cycle Calc'!$C:$C,B515)</f>
        <v/>
      </c>
      <c r="D515" s="0">
        <f>VLOOKUP(B515,'Item Tier Lookup'!$A:$B,2,FALSE)</f>
        <v/>
      </c>
      <c r="E515" s="0">
        <f>VLOOKUP(D515,'Tier Params'!$A:$B,2,FALSE)</f>
        <v/>
      </c>
      <c r="F515" s="0">
        <f>VLOOKUP(D515,'Tier Params'!$A:$C,3,FALSE)</f>
        <v/>
      </c>
      <c r="G515" s="0">
        <f>CEILING(C515/F515,1)</f>
        <v/>
      </c>
      <c r="H515" s="0">
        <f>G515*E515</f>
        <v/>
      </c>
    </row>
    <row r="516">
      <c r="A516" s="0" t="inlineStr">
        <is>
          <t>Structure Office Center</t>
        </is>
      </c>
      <c r="B516" s="0" t="inlineStr">
        <is>
          <t>Biofuels</t>
        </is>
      </c>
      <c r="C516" s="0">
        <f>SUMIFS('BOM Cycle Calc'!$D:$D,'BOM Cycle Calc'!$B:$B,A516,'BOM Cycle Calc'!$C:$C,B516)</f>
        <v/>
      </c>
      <c r="D516" s="0">
        <f>VLOOKUP(B516,'Item Tier Lookup'!$A:$B,2,FALSE)</f>
        <v/>
      </c>
      <c r="E516" s="0">
        <f>VLOOKUP(D516,'Tier Params'!$A:$B,2,FALSE)</f>
        <v/>
      </c>
      <c r="F516" s="0">
        <f>VLOOKUP(D516,'Tier Params'!$A:$C,3,FALSE)</f>
        <v/>
      </c>
      <c r="G516" s="0">
        <f>CEILING(C516/F516,1)</f>
        <v/>
      </c>
      <c r="H516" s="0">
        <f>G516*E516</f>
        <v/>
      </c>
    </row>
    <row r="517">
      <c r="A517" s="0" t="inlineStr">
        <is>
          <t>Structure Office Center</t>
        </is>
      </c>
      <c r="B517" s="0" t="inlineStr">
        <is>
          <t>Carbon Compounds</t>
        </is>
      </c>
      <c r="C517" s="0">
        <f>SUMIFS('BOM Cycle Calc'!$D:$D,'BOM Cycle Calc'!$B:$B,A517,'BOM Cycle Calc'!$C:$C,B517)</f>
        <v/>
      </c>
      <c r="D517" s="0">
        <f>VLOOKUP(B517,'Item Tier Lookup'!$A:$B,2,FALSE)</f>
        <v/>
      </c>
      <c r="E517" s="0">
        <f>VLOOKUP(D517,'Tier Params'!$A:$B,2,FALSE)</f>
        <v/>
      </c>
      <c r="F517" s="0">
        <f>VLOOKUP(D517,'Tier Params'!$A:$C,3,FALSE)</f>
        <v/>
      </c>
      <c r="G517" s="0">
        <f>CEILING(C517/F517,1)</f>
        <v/>
      </c>
      <c r="H517" s="0">
        <f>G517*E517</f>
        <v/>
      </c>
    </row>
    <row r="518">
      <c r="A518" s="0" t="inlineStr">
        <is>
          <t>Structure Office Center</t>
        </is>
      </c>
      <c r="B518" s="0" t="inlineStr">
        <is>
          <t>Precious Metals</t>
        </is>
      </c>
      <c r="C518" s="0">
        <f>SUMIFS('BOM Cycle Calc'!$D:$D,'BOM Cycle Calc'!$B:$B,A518,'BOM Cycle Calc'!$C:$C,B518)</f>
        <v/>
      </c>
      <c r="D518" s="0">
        <f>VLOOKUP(B518,'Item Tier Lookup'!$A:$B,2,FALSE)</f>
        <v/>
      </c>
      <c r="E518" s="0">
        <f>VLOOKUP(D518,'Tier Params'!$A:$B,2,FALSE)</f>
        <v/>
      </c>
      <c r="F518" s="0">
        <f>VLOOKUP(D518,'Tier Params'!$A:$C,3,FALSE)</f>
        <v/>
      </c>
      <c r="G518" s="0">
        <f>CEILING(C518/F518,1)</f>
        <v/>
      </c>
      <c r="H518" s="0">
        <f>G518*E518</f>
        <v/>
      </c>
    </row>
    <row r="519">
      <c r="A519" s="0" t="inlineStr">
        <is>
          <t>Structure Office Center</t>
        </is>
      </c>
      <c r="B519" s="0" t="inlineStr">
        <is>
          <t>Noble Metals</t>
        </is>
      </c>
      <c r="C519" s="0">
        <f>SUMIFS('BOM Cycle Calc'!$D:$D,'BOM Cycle Calc'!$B:$B,A519,'BOM Cycle Calc'!$C:$C,B519)</f>
        <v/>
      </c>
      <c r="D519" s="0">
        <f>VLOOKUP(B519,'Item Tier Lookup'!$A:$B,2,FALSE)</f>
        <v/>
      </c>
      <c r="E519" s="0">
        <f>VLOOKUP(D519,'Tier Params'!$A:$B,2,FALSE)</f>
        <v/>
      </c>
      <c r="F519" s="0">
        <f>VLOOKUP(D519,'Tier Params'!$A:$C,3,FALSE)</f>
        <v/>
      </c>
      <c r="G519" s="0">
        <f>CEILING(C519/F519,1)</f>
        <v/>
      </c>
      <c r="H519" s="0">
        <f>G519*E519</f>
        <v/>
      </c>
    </row>
    <row r="520">
      <c r="A520" s="0" t="inlineStr">
        <is>
          <t>Structure Office Center</t>
        </is>
      </c>
      <c r="B520" s="0" t="inlineStr">
        <is>
          <t>Silicate Glass</t>
        </is>
      </c>
      <c r="C520" s="0">
        <f>SUMIFS('BOM Cycle Calc'!$D:$D,'BOM Cycle Calc'!$B:$B,A520,'BOM Cycle Calc'!$C:$C,B520)</f>
        <v/>
      </c>
      <c r="D520" s="0">
        <f>VLOOKUP(B520,'Item Tier Lookup'!$A:$B,2,FALSE)</f>
        <v/>
      </c>
      <c r="E520" s="0">
        <f>VLOOKUP(D520,'Tier Params'!$A:$B,2,FALSE)</f>
        <v/>
      </c>
      <c r="F520" s="0">
        <f>VLOOKUP(D520,'Tier Params'!$A:$C,3,FALSE)</f>
        <v/>
      </c>
      <c r="G520" s="0">
        <f>CEILING(C520/F520,1)</f>
        <v/>
      </c>
      <c r="H520" s="0">
        <f>G520*E520</f>
        <v/>
      </c>
    </row>
    <row r="521">
      <c r="A521" s="0" t="inlineStr">
        <is>
          <t>Structure Office Center</t>
        </is>
      </c>
      <c r="B521" s="0" t="inlineStr">
        <is>
          <t>Oxidizing Compound</t>
        </is>
      </c>
      <c r="C521" s="0">
        <f>SUMIFS('BOM Cycle Calc'!$D:$D,'BOM Cycle Calc'!$B:$B,A521,'BOM Cycle Calc'!$C:$C,B521)</f>
        <v/>
      </c>
      <c r="D521" s="0">
        <f>VLOOKUP(B521,'Item Tier Lookup'!$A:$B,2,FALSE)</f>
        <v/>
      </c>
      <c r="E521" s="0">
        <f>VLOOKUP(D521,'Tier Params'!$A:$B,2,FALSE)</f>
        <v/>
      </c>
      <c r="F521" s="0">
        <f>VLOOKUP(D521,'Tier Params'!$A:$C,3,FALSE)</f>
        <v/>
      </c>
      <c r="G521" s="0">
        <f>CEILING(C521/F521,1)</f>
        <v/>
      </c>
      <c r="H521" s="0">
        <f>G521*E521</f>
        <v/>
      </c>
    </row>
    <row r="522">
      <c r="A522" s="0" t="inlineStr">
        <is>
          <t>Structure Office Center</t>
        </is>
      </c>
      <c r="B522" s="0" t="inlineStr">
        <is>
          <t>Reactive Gas</t>
        </is>
      </c>
      <c r="C522" s="0">
        <f>SUMIFS('BOM Cycle Calc'!$D:$D,'BOM Cycle Calc'!$B:$B,A522,'BOM Cycle Calc'!$C:$C,B522)</f>
        <v/>
      </c>
      <c r="D522" s="0">
        <f>VLOOKUP(B522,'Item Tier Lookup'!$A:$B,2,FALSE)</f>
        <v/>
      </c>
      <c r="E522" s="0">
        <f>VLOOKUP(D522,'Tier Params'!$A:$B,2,FALSE)</f>
        <v/>
      </c>
      <c r="F522" s="0">
        <f>VLOOKUP(D522,'Tier Params'!$A:$C,3,FALSE)</f>
        <v/>
      </c>
      <c r="G522" s="0">
        <f>CEILING(C522/F522,1)</f>
        <v/>
      </c>
      <c r="H522" s="0">
        <f>G522*E522</f>
        <v/>
      </c>
    </row>
    <row r="523">
      <c r="A523" s="0" t="inlineStr">
        <is>
          <t>Structure Office Center</t>
        </is>
      </c>
      <c r="B523" s="0" t="inlineStr">
        <is>
          <t>High-Tech Transmitters</t>
        </is>
      </c>
      <c r="C523" s="0">
        <f>SUMIFS('BOM Cycle Calc'!$D:$D,'BOM Cycle Calc'!$B:$B,A523,'BOM Cycle Calc'!$C:$C,B523)</f>
        <v/>
      </c>
      <c r="D523" s="0">
        <f>VLOOKUP(B523,'Item Tier Lookup'!$A:$B,2,FALSE)</f>
        <v/>
      </c>
      <c r="E523" s="0">
        <f>VLOOKUP(D523,'Tier Params'!$A:$B,2,FALSE)</f>
        <v/>
      </c>
      <c r="F523" s="0">
        <f>VLOOKUP(D523,'Tier Params'!$A:$C,3,FALSE)</f>
        <v/>
      </c>
      <c r="G523" s="0">
        <f>CEILING(C523/F523,1)</f>
        <v/>
      </c>
      <c r="H523" s="0">
        <f>G523*E523</f>
        <v/>
      </c>
    </row>
    <row r="524">
      <c r="A524" s="0" t="inlineStr">
        <is>
          <t>Structure Office Center</t>
        </is>
      </c>
      <c r="B524" s="0" t="inlineStr">
        <is>
          <t>Transmitter</t>
        </is>
      </c>
      <c r="C524" s="0">
        <f>SUMIFS('BOM Cycle Calc'!$D:$D,'BOM Cycle Calc'!$B:$B,A524,'BOM Cycle Calc'!$C:$C,B524)</f>
        <v/>
      </c>
      <c r="D524" s="0">
        <f>VLOOKUP(B524,'Item Tier Lookup'!$A:$B,2,FALSE)</f>
        <v/>
      </c>
      <c r="E524" s="0">
        <f>VLOOKUP(D524,'Tier Params'!$A:$B,2,FALSE)</f>
        <v/>
      </c>
      <c r="F524" s="0">
        <f>VLOOKUP(D524,'Tier Params'!$A:$C,3,FALSE)</f>
        <v/>
      </c>
      <c r="G524" s="0">
        <f>CEILING(C524/F524,1)</f>
        <v/>
      </c>
      <c r="H524" s="0">
        <f>G524*E524</f>
        <v/>
      </c>
    </row>
    <row r="525">
      <c r="A525" s="0" t="inlineStr">
        <is>
          <t>Structure Office Center</t>
        </is>
      </c>
      <c r="B525" s="0" t="inlineStr">
        <is>
          <t>Chiral Structures</t>
        </is>
      </c>
      <c r="C525" s="0">
        <f>SUMIFS('BOM Cycle Calc'!$D:$D,'BOM Cycle Calc'!$B:$B,A525,'BOM Cycle Calc'!$C:$C,B525)</f>
        <v/>
      </c>
      <c r="D525" s="0">
        <f>VLOOKUP(B525,'Item Tier Lookup'!$A:$B,2,FALSE)</f>
        <v/>
      </c>
      <c r="E525" s="0">
        <f>VLOOKUP(D525,'Tier Params'!$A:$B,2,FALSE)</f>
        <v/>
      </c>
      <c r="F525" s="0">
        <f>VLOOKUP(D525,'Tier Params'!$A:$C,3,FALSE)</f>
        <v/>
      </c>
      <c r="G525" s="0">
        <f>CEILING(C525/F525,1)</f>
        <v/>
      </c>
      <c r="H525" s="0">
        <f>G525*E525</f>
        <v/>
      </c>
    </row>
    <row r="526">
      <c r="A526" s="0" t="inlineStr">
        <is>
          <t>Structure Office Center</t>
        </is>
      </c>
      <c r="B526" s="0" t="inlineStr">
        <is>
          <t>Non-CS Crystals</t>
        </is>
      </c>
      <c r="C526" s="0">
        <f>SUMIFS('BOM Cycle Calc'!$D:$D,'BOM Cycle Calc'!$B:$B,A526,'BOM Cycle Calc'!$C:$C,B526)</f>
        <v/>
      </c>
      <c r="D526" s="0">
        <f>VLOOKUP(B526,'Item Tier Lookup'!$A:$B,2,FALSE)</f>
        <v/>
      </c>
      <c r="E526" s="0">
        <f>VLOOKUP(D526,'Tier Params'!$A:$B,2,FALSE)</f>
        <v/>
      </c>
      <c r="F526" s="0">
        <f>VLOOKUP(D526,'Tier Params'!$A:$C,3,FALSE)</f>
        <v/>
      </c>
      <c r="G526" s="0">
        <f>CEILING(C526/F526,1)</f>
        <v/>
      </c>
      <c r="H526" s="0">
        <f>G526*E526</f>
        <v/>
      </c>
    </row>
    <row r="527">
      <c r="A527" s="0" t="inlineStr">
        <is>
          <t>Structure Office Center</t>
        </is>
      </c>
      <c r="B527" s="0" t="inlineStr">
        <is>
          <t>Plasmoids</t>
        </is>
      </c>
      <c r="C527" s="0">
        <f>SUMIFS('BOM Cycle Calc'!$D:$D,'BOM Cycle Calc'!$B:$B,A527,'BOM Cycle Calc'!$C:$C,B527)</f>
        <v/>
      </c>
      <c r="D527" s="0">
        <f>VLOOKUP(B527,'Item Tier Lookup'!$A:$B,2,FALSE)</f>
        <v/>
      </c>
      <c r="E527" s="0">
        <f>VLOOKUP(D527,'Tier Params'!$A:$B,2,FALSE)</f>
        <v/>
      </c>
      <c r="F527" s="0">
        <f>VLOOKUP(D527,'Tier Params'!$A:$C,3,FALSE)</f>
        <v/>
      </c>
      <c r="G527" s="0">
        <f>CEILING(C527/F527,1)</f>
        <v/>
      </c>
      <c r="H527" s="0">
        <f>G527*E527</f>
        <v/>
      </c>
    </row>
    <row r="528">
      <c r="A528" s="0" t="inlineStr">
        <is>
          <t>Structure Office Center</t>
        </is>
      </c>
      <c r="B528" s="0" t="inlineStr">
        <is>
          <t>Suspended Plasma</t>
        </is>
      </c>
      <c r="C528" s="0">
        <f>SUMIFS('BOM Cycle Calc'!$D:$D,'BOM Cycle Calc'!$B:$B,A528,'BOM Cycle Calc'!$C:$C,B528)</f>
        <v/>
      </c>
      <c r="D528" s="0">
        <f>VLOOKUP(B528,'Item Tier Lookup'!$A:$B,2,FALSE)</f>
        <v/>
      </c>
      <c r="E528" s="0">
        <f>VLOOKUP(D528,'Tier Params'!$A:$B,2,FALSE)</f>
        <v/>
      </c>
      <c r="F528" s="0">
        <f>VLOOKUP(D528,'Tier Params'!$A:$C,3,FALSE)</f>
        <v/>
      </c>
      <c r="G528" s="0">
        <f>CEILING(C528/F528,1)</f>
        <v/>
      </c>
      <c r="H528" s="0">
        <f>G528*E528</f>
        <v/>
      </c>
    </row>
    <row r="529">
      <c r="A529" s="0" t="inlineStr">
        <is>
          <t>Structure Office Center</t>
        </is>
      </c>
      <c r="B529" s="0" t="inlineStr">
        <is>
          <t>Polyaramids</t>
        </is>
      </c>
      <c r="C529" s="0">
        <f>SUMIFS('BOM Cycle Calc'!$D:$D,'BOM Cycle Calc'!$B:$B,A529,'BOM Cycle Calc'!$C:$C,B529)</f>
        <v/>
      </c>
      <c r="D529" s="0">
        <f>VLOOKUP(B529,'Item Tier Lookup'!$A:$B,2,FALSE)</f>
        <v/>
      </c>
      <c r="E529" s="0">
        <f>VLOOKUP(D529,'Tier Params'!$A:$B,2,FALSE)</f>
        <v/>
      </c>
      <c r="F529" s="0">
        <f>VLOOKUP(D529,'Tier Params'!$A:$C,3,FALSE)</f>
        <v/>
      </c>
      <c r="G529" s="0">
        <f>CEILING(C529/F529,1)</f>
        <v/>
      </c>
      <c r="H529" s="0">
        <f>G529*E529</f>
        <v/>
      </c>
    </row>
    <row r="530">
      <c r="A530" s="0" t="inlineStr">
        <is>
          <t>Structure Office Center</t>
        </is>
      </c>
      <c r="B530" s="0" t="inlineStr">
        <is>
          <t>Integrity Response Drones</t>
        </is>
      </c>
      <c r="C530" s="0">
        <f>SUMIFS('BOM Cycle Calc'!$D:$D,'BOM Cycle Calc'!$B:$B,A530,'BOM Cycle Calc'!$C:$C,B530)</f>
        <v/>
      </c>
      <c r="D530" s="0">
        <f>VLOOKUP(B530,'Item Tier Lookup'!$A:$B,2,FALSE)</f>
        <v/>
      </c>
      <c r="E530" s="0">
        <f>VLOOKUP(D530,'Tier Params'!$A:$B,2,FALSE)</f>
        <v/>
      </c>
      <c r="F530" s="0">
        <f>VLOOKUP(D530,'Tier Params'!$A:$C,3,FALSE)</f>
        <v/>
      </c>
      <c r="G530" s="0">
        <f>CEILING(C530/F530,1)</f>
        <v/>
      </c>
      <c r="H530" s="0">
        <f>G530*E530</f>
        <v/>
      </c>
    </row>
    <row r="531">
      <c r="A531" s="0" t="inlineStr">
        <is>
          <t>Structure Office Center</t>
        </is>
      </c>
      <c r="B531" s="0" t="inlineStr">
        <is>
          <t>Gel-Matrix Biopaste</t>
        </is>
      </c>
      <c r="C531" s="0">
        <f>SUMIFS('BOM Cycle Calc'!$D:$D,'BOM Cycle Calc'!$B:$B,A531,'BOM Cycle Calc'!$C:$C,B531)</f>
        <v/>
      </c>
      <c r="D531" s="0">
        <f>VLOOKUP(B531,'Item Tier Lookup'!$A:$B,2,FALSE)</f>
        <v/>
      </c>
      <c r="E531" s="0">
        <f>VLOOKUP(D531,'Tier Params'!$A:$B,2,FALSE)</f>
        <v/>
      </c>
      <c r="F531" s="0">
        <f>VLOOKUP(D531,'Tier Params'!$A:$C,3,FALSE)</f>
        <v/>
      </c>
      <c r="G531" s="0">
        <f>CEILING(C531/F531,1)</f>
        <v/>
      </c>
      <c r="H531" s="0">
        <f>G531*E531</f>
        <v/>
      </c>
    </row>
    <row r="532">
      <c r="A532" s="0" t="inlineStr">
        <is>
          <t>Structure Office Center</t>
        </is>
      </c>
      <c r="B532" s="0" t="inlineStr">
        <is>
          <t>Oxides</t>
        </is>
      </c>
      <c r="C532" s="0">
        <f>SUMIFS('BOM Cycle Calc'!$D:$D,'BOM Cycle Calc'!$B:$B,A532,'BOM Cycle Calc'!$C:$C,B532)</f>
        <v/>
      </c>
      <c r="D532" s="0">
        <f>VLOOKUP(B532,'Item Tier Lookup'!$A:$B,2,FALSE)</f>
        <v/>
      </c>
      <c r="E532" s="0">
        <f>VLOOKUP(D532,'Tier Params'!$A:$B,2,FALSE)</f>
        <v/>
      </c>
      <c r="F532" s="0">
        <f>VLOOKUP(D532,'Tier Params'!$A:$C,3,FALSE)</f>
        <v/>
      </c>
      <c r="G532" s="0">
        <f>CEILING(C532/F532,1)</f>
        <v/>
      </c>
      <c r="H532" s="0">
        <f>G532*E532</f>
        <v/>
      </c>
    </row>
    <row r="533">
      <c r="A533" s="0" t="inlineStr">
        <is>
          <t>Structure Office Center</t>
        </is>
      </c>
      <c r="B533" s="0" t="inlineStr">
        <is>
          <t>Superconductors</t>
        </is>
      </c>
      <c r="C533" s="0">
        <f>SUMIFS('BOM Cycle Calc'!$D:$D,'BOM Cycle Calc'!$B:$B,A533,'BOM Cycle Calc'!$C:$C,B533)</f>
        <v/>
      </c>
      <c r="D533" s="0">
        <f>VLOOKUP(B533,'Item Tier Lookup'!$A:$B,2,FALSE)</f>
        <v/>
      </c>
      <c r="E533" s="0">
        <f>VLOOKUP(D533,'Tier Params'!$A:$B,2,FALSE)</f>
        <v/>
      </c>
      <c r="F533" s="0">
        <f>VLOOKUP(D533,'Tier Params'!$A:$C,3,FALSE)</f>
        <v/>
      </c>
      <c r="G533" s="0">
        <f>CEILING(C533/F533,1)</f>
        <v/>
      </c>
      <c r="H533" s="0">
        <f>G533*E533</f>
        <v/>
      </c>
    </row>
    <row r="534">
      <c r="A534" s="0" t="inlineStr">
        <is>
          <t>Structure Office Center</t>
        </is>
      </c>
      <c r="B534" s="0" t="inlineStr">
        <is>
          <t>Water</t>
        </is>
      </c>
      <c r="C534" s="0">
        <f>SUMIFS('BOM Cycle Calc'!$D:$D,'BOM Cycle Calc'!$B:$B,A534,'BOM Cycle Calc'!$C:$C,B534)</f>
        <v/>
      </c>
      <c r="D534" s="0">
        <f>VLOOKUP(B534,'Item Tier Lookup'!$A:$B,2,FALSE)</f>
        <v/>
      </c>
      <c r="E534" s="0">
        <f>VLOOKUP(D534,'Tier Params'!$A:$B,2,FALSE)</f>
        <v/>
      </c>
      <c r="F534" s="0">
        <f>VLOOKUP(D534,'Tier Params'!$A:$C,3,FALSE)</f>
        <v/>
      </c>
      <c r="G534" s="0">
        <f>CEILING(C534/F534,1)</f>
        <v/>
      </c>
      <c r="H534" s="0">
        <f>G534*E534</f>
        <v/>
      </c>
    </row>
    <row r="535">
      <c r="A535" s="0" t="inlineStr">
        <is>
          <t>Structure Office Center</t>
        </is>
      </c>
      <c r="B535" s="0" t="inlineStr">
        <is>
          <t>Aqueous Liquids</t>
        </is>
      </c>
      <c r="C535" s="0">
        <f>SUMIFS('BOM Cycle Calc'!$D:$D,'BOM Cycle Calc'!$B:$B,A535,'BOM Cycle Calc'!$C:$C,B535)</f>
        <v/>
      </c>
      <c r="D535" s="0">
        <f>VLOOKUP(B535,'Item Tier Lookup'!$A:$B,2,FALSE)</f>
        <v/>
      </c>
      <c r="E535" s="0">
        <f>VLOOKUP(D535,'Tier Params'!$A:$B,2,FALSE)</f>
        <v/>
      </c>
      <c r="F535" s="0">
        <f>VLOOKUP(D535,'Tier Params'!$A:$C,3,FALSE)</f>
        <v/>
      </c>
      <c r="G535" s="0">
        <f>CEILING(C535/F535,1)</f>
        <v/>
      </c>
      <c r="H535" s="0">
        <f>G535*E535</f>
        <v/>
      </c>
    </row>
    <row r="536">
      <c r="A536" s="0" t="inlineStr">
        <is>
          <t>Structure Office Center</t>
        </is>
      </c>
      <c r="B536" s="0" t="inlineStr">
        <is>
          <t>Hazmat Detection Systems</t>
        </is>
      </c>
      <c r="C536" s="0">
        <f>SUMIFS('BOM Cycle Calc'!$D:$D,'BOM Cycle Calc'!$B:$B,A536,'BOM Cycle Calc'!$C:$C,B536)</f>
        <v/>
      </c>
      <c r="D536" s="0">
        <f>VLOOKUP(B536,'Item Tier Lookup'!$A:$B,2,FALSE)</f>
        <v/>
      </c>
      <c r="E536" s="0">
        <f>VLOOKUP(D536,'Tier Params'!$A:$B,2,FALSE)</f>
        <v/>
      </c>
      <c r="F536" s="0">
        <f>VLOOKUP(D536,'Tier Params'!$A:$C,3,FALSE)</f>
        <v/>
      </c>
      <c r="G536" s="0">
        <f>CEILING(C536/F536,1)</f>
        <v/>
      </c>
      <c r="H536" s="0">
        <f>G536*E536</f>
        <v/>
      </c>
    </row>
    <row r="537">
      <c r="A537" s="0" t="inlineStr">
        <is>
          <t>Structure Office Center</t>
        </is>
      </c>
      <c r="B537" s="0" t="inlineStr">
        <is>
          <t>Polytextiles</t>
        </is>
      </c>
      <c r="C537" s="0">
        <f>SUMIFS('BOM Cycle Calc'!$D:$D,'BOM Cycle Calc'!$B:$B,A537,'BOM Cycle Calc'!$C:$C,B537)</f>
        <v/>
      </c>
      <c r="D537" s="0">
        <f>VLOOKUP(B537,'Item Tier Lookup'!$A:$B,2,FALSE)</f>
        <v/>
      </c>
      <c r="E537" s="0">
        <f>VLOOKUP(D537,'Tier Params'!$A:$B,2,FALSE)</f>
        <v/>
      </c>
      <c r="F537" s="0">
        <f>VLOOKUP(D537,'Tier Params'!$A:$C,3,FALSE)</f>
        <v/>
      </c>
      <c r="G537" s="0">
        <f>CEILING(C537/F537,1)</f>
        <v/>
      </c>
      <c r="H537" s="0">
        <f>G537*E537</f>
        <v/>
      </c>
    </row>
    <row r="538">
      <c r="A538" s="0" t="inlineStr">
        <is>
          <t>Structure Office Center</t>
        </is>
      </c>
      <c r="B538" s="0" t="inlineStr">
        <is>
          <t>Viral Agent</t>
        </is>
      </c>
      <c r="C538" s="0">
        <f>SUMIFS('BOM Cycle Calc'!$D:$D,'BOM Cycle Calc'!$B:$B,A538,'BOM Cycle Calc'!$C:$C,B538)</f>
        <v/>
      </c>
      <c r="D538" s="0">
        <f>VLOOKUP(B538,'Item Tier Lookup'!$A:$B,2,FALSE)</f>
        <v/>
      </c>
      <c r="E538" s="0">
        <f>VLOOKUP(D538,'Tier Params'!$A:$B,2,FALSE)</f>
        <v/>
      </c>
      <c r="F538" s="0">
        <f>VLOOKUP(D538,'Tier Params'!$A:$C,3,FALSE)</f>
        <v/>
      </c>
      <c r="G538" s="0">
        <f>CEILING(C538/F538,1)</f>
        <v/>
      </c>
      <c r="H538" s="0">
        <f>G538*E538</f>
        <v/>
      </c>
    </row>
    <row r="539">
      <c r="A539" s="0" t="inlineStr">
        <is>
          <t>Structure Office Center</t>
        </is>
      </c>
      <c r="B539" s="0" t="inlineStr">
        <is>
          <t>Bacteria</t>
        </is>
      </c>
      <c r="C539" s="0">
        <f>SUMIFS('BOM Cycle Calc'!$D:$D,'BOM Cycle Calc'!$B:$B,A539,'BOM Cycle Calc'!$C:$C,B539)</f>
        <v/>
      </c>
      <c r="D539" s="0">
        <f>VLOOKUP(B539,'Item Tier Lookup'!$A:$B,2,FALSE)</f>
        <v/>
      </c>
      <c r="E539" s="0">
        <f>VLOOKUP(D539,'Tier Params'!$A:$B,2,FALSE)</f>
        <v/>
      </c>
      <c r="F539" s="0">
        <f>VLOOKUP(D539,'Tier Params'!$A:$C,3,FALSE)</f>
        <v/>
      </c>
      <c r="G539" s="0">
        <f>CEILING(C539/F539,1)</f>
        <v/>
      </c>
      <c r="H539" s="0">
        <f>G539*E539</f>
        <v/>
      </c>
    </row>
    <row r="540">
      <c r="A540" s="0" t="inlineStr">
        <is>
          <t>Structure Office Center</t>
        </is>
      </c>
      <c r="B540" s="0" t="inlineStr">
        <is>
          <t>Microorganisms</t>
        </is>
      </c>
      <c r="C540" s="0">
        <f>SUMIFS('BOM Cycle Calc'!$D:$D,'BOM Cycle Calc'!$B:$B,A540,'BOM Cycle Calc'!$C:$C,B540)</f>
        <v/>
      </c>
      <c r="D540" s="0">
        <f>VLOOKUP(B540,'Item Tier Lookup'!$A:$B,2,FALSE)</f>
        <v/>
      </c>
      <c r="E540" s="0">
        <f>VLOOKUP(D540,'Tier Params'!$A:$B,2,FALSE)</f>
        <v/>
      </c>
      <c r="F540" s="0">
        <f>VLOOKUP(D540,'Tier Params'!$A:$C,3,FALSE)</f>
        <v/>
      </c>
      <c r="G540" s="0">
        <f>CEILING(C540/F540,1)</f>
        <v/>
      </c>
      <c r="H540" s="0">
        <f>G540*E540</f>
        <v/>
      </c>
    </row>
    <row r="541">
      <c r="A541" s="0" t="inlineStr">
        <is>
          <t>Structure Office Center</t>
        </is>
      </c>
      <c r="B541" s="0" t="inlineStr">
        <is>
          <t>Planetary Vehicles</t>
        </is>
      </c>
      <c r="C541" s="0">
        <f>SUMIFS('BOM Cycle Calc'!$D:$D,'BOM Cycle Calc'!$B:$B,A541,'BOM Cycle Calc'!$C:$C,B541)</f>
        <v/>
      </c>
      <c r="D541" s="0">
        <f>VLOOKUP(B541,'Item Tier Lookup'!$A:$B,2,FALSE)</f>
        <v/>
      </c>
      <c r="E541" s="0">
        <f>VLOOKUP(D541,'Tier Params'!$A:$B,2,FALSE)</f>
        <v/>
      </c>
      <c r="F541" s="0">
        <f>VLOOKUP(D541,'Tier Params'!$A:$C,3,FALSE)</f>
        <v/>
      </c>
      <c r="G541" s="0">
        <f>CEILING(C541/F541,1)</f>
        <v/>
      </c>
      <c r="H541" s="0">
        <f>G541*E541</f>
        <v/>
      </c>
    </row>
    <row r="542">
      <c r="A542" s="0" t="inlineStr">
        <is>
          <t>Structure Office Center</t>
        </is>
      </c>
      <c r="B542" s="0" t="inlineStr">
        <is>
          <t>Mechanical Parts</t>
        </is>
      </c>
      <c r="C542" s="0">
        <f>SUMIFS('BOM Cycle Calc'!$D:$D,'BOM Cycle Calc'!$B:$B,A542,'BOM Cycle Calc'!$C:$C,B542)</f>
        <v/>
      </c>
      <c r="D542" s="0">
        <f>VLOOKUP(B542,'Item Tier Lookup'!$A:$B,2,FALSE)</f>
        <v/>
      </c>
      <c r="E542" s="0">
        <f>VLOOKUP(D542,'Tier Params'!$A:$B,2,FALSE)</f>
        <v/>
      </c>
      <c r="F542" s="0">
        <f>VLOOKUP(D542,'Tier Params'!$A:$C,3,FALSE)</f>
        <v/>
      </c>
      <c r="G542" s="0">
        <f>CEILING(C542/F542,1)</f>
        <v/>
      </c>
      <c r="H542" s="0">
        <f>G542*E542</f>
        <v/>
      </c>
    </row>
    <row r="543">
      <c r="A543" s="0" t="inlineStr">
        <is>
          <t>Structure Office Center</t>
        </is>
      </c>
      <c r="B543" s="0" t="inlineStr">
        <is>
          <t>Reactive Metals</t>
        </is>
      </c>
      <c r="C543" s="0">
        <f>SUMIFS('BOM Cycle Calc'!$D:$D,'BOM Cycle Calc'!$B:$B,A543,'BOM Cycle Calc'!$C:$C,B543)</f>
        <v/>
      </c>
      <c r="D543" s="0">
        <f>VLOOKUP(B543,'Item Tier Lookup'!$A:$B,2,FALSE)</f>
        <v/>
      </c>
      <c r="E543" s="0">
        <f>VLOOKUP(D543,'Tier Params'!$A:$B,2,FALSE)</f>
        <v/>
      </c>
      <c r="F543" s="0">
        <f>VLOOKUP(D543,'Tier Params'!$A:$C,3,FALSE)</f>
        <v/>
      </c>
      <c r="G543" s="0">
        <f>CEILING(C543/F543,1)</f>
        <v/>
      </c>
      <c r="H543" s="0">
        <f>G543*E543</f>
        <v/>
      </c>
    </row>
    <row r="544">
      <c r="A544" s="0" t="inlineStr">
        <is>
          <t>Structure Office Center</t>
        </is>
      </c>
      <c r="B544" s="0" t="inlineStr">
        <is>
          <t>Base Metals</t>
        </is>
      </c>
      <c r="C544" s="0">
        <f>SUMIFS('BOM Cycle Calc'!$D:$D,'BOM Cycle Calc'!$B:$B,A544,'BOM Cycle Calc'!$C:$C,B544)</f>
        <v/>
      </c>
      <c r="D544" s="0">
        <f>VLOOKUP(B544,'Item Tier Lookup'!$A:$B,2,FALSE)</f>
        <v/>
      </c>
      <c r="E544" s="0">
        <f>VLOOKUP(D544,'Tier Params'!$A:$B,2,FALSE)</f>
        <v/>
      </c>
      <c r="F544" s="0">
        <f>VLOOKUP(D544,'Tier Params'!$A:$C,3,FALSE)</f>
        <v/>
      </c>
      <c r="G544" s="0">
        <f>CEILING(C544/F544,1)</f>
        <v/>
      </c>
      <c r="H544" s="0">
        <f>G544*E544</f>
        <v/>
      </c>
    </row>
    <row r="545">
      <c r="A545" s="0" t="inlineStr">
        <is>
          <t>Structure Office Center</t>
        </is>
      </c>
      <c r="B545" s="0" t="inlineStr">
        <is>
          <t>Miniature Electronics</t>
        </is>
      </c>
      <c r="C545" s="0">
        <f>SUMIFS('BOM Cycle Calc'!$D:$D,'BOM Cycle Calc'!$B:$B,A545,'BOM Cycle Calc'!$C:$C,B545)</f>
        <v/>
      </c>
      <c r="D545" s="0">
        <f>VLOOKUP(B545,'Item Tier Lookup'!$A:$B,2,FALSE)</f>
        <v/>
      </c>
      <c r="E545" s="0">
        <f>VLOOKUP(D545,'Tier Params'!$A:$B,2,FALSE)</f>
        <v/>
      </c>
      <c r="F545" s="0">
        <f>VLOOKUP(D545,'Tier Params'!$A:$C,3,FALSE)</f>
        <v/>
      </c>
      <c r="G545" s="0">
        <f>CEILING(C545/F545,1)</f>
        <v/>
      </c>
      <c r="H545" s="0">
        <f>G545*E545</f>
        <v/>
      </c>
    </row>
    <row r="546">
      <c r="A546" s="0" t="inlineStr">
        <is>
          <t>Structure Office Center</t>
        </is>
      </c>
      <c r="B546" s="0" t="inlineStr">
        <is>
          <t>Organic Mortar Applicators</t>
        </is>
      </c>
      <c r="C546" s="0">
        <f>SUMIFS('BOM Cycle Calc'!$D:$D,'BOM Cycle Calc'!$B:$B,A546,'BOM Cycle Calc'!$C:$C,B546)</f>
        <v/>
      </c>
      <c r="D546" s="0">
        <f>VLOOKUP(B546,'Item Tier Lookup'!$A:$B,2,FALSE)</f>
        <v/>
      </c>
      <c r="E546" s="0">
        <f>VLOOKUP(D546,'Tier Params'!$A:$B,2,FALSE)</f>
        <v/>
      </c>
      <c r="F546" s="0">
        <f>VLOOKUP(D546,'Tier Params'!$A:$C,3,FALSE)</f>
        <v/>
      </c>
      <c r="G546" s="0">
        <f>CEILING(C546/F546,1)</f>
        <v/>
      </c>
      <c r="H546" s="0">
        <f>G546*E546</f>
        <v/>
      </c>
    </row>
    <row r="547">
      <c r="A547" s="0" t="inlineStr">
        <is>
          <t>Structure Office Center</t>
        </is>
      </c>
      <c r="B547" s="0" t="inlineStr">
        <is>
          <t>Condensates</t>
        </is>
      </c>
      <c r="C547" s="0">
        <f>SUMIFS('BOM Cycle Calc'!$D:$D,'BOM Cycle Calc'!$B:$B,A547,'BOM Cycle Calc'!$C:$C,B547)</f>
        <v/>
      </c>
      <c r="D547" s="0">
        <f>VLOOKUP(B547,'Item Tier Lookup'!$A:$B,2,FALSE)</f>
        <v/>
      </c>
      <c r="E547" s="0">
        <f>VLOOKUP(D547,'Tier Params'!$A:$B,2,FALSE)</f>
        <v/>
      </c>
      <c r="F547" s="0">
        <f>VLOOKUP(D547,'Tier Params'!$A:$C,3,FALSE)</f>
        <v/>
      </c>
      <c r="G547" s="0">
        <f>CEILING(C547/F547,1)</f>
        <v/>
      </c>
      <c r="H547" s="0">
        <f>G547*E547</f>
        <v/>
      </c>
    </row>
    <row r="548">
      <c r="A548" s="0" t="inlineStr">
        <is>
          <t>Structure Office Center</t>
        </is>
      </c>
      <c r="B548" s="0" t="inlineStr">
        <is>
          <t>Coolant</t>
        </is>
      </c>
      <c r="C548" s="0">
        <f>SUMIFS('BOM Cycle Calc'!$D:$D,'BOM Cycle Calc'!$B:$B,A548,'BOM Cycle Calc'!$C:$C,B548)</f>
        <v/>
      </c>
      <c r="D548" s="0">
        <f>VLOOKUP(B548,'Item Tier Lookup'!$A:$B,2,FALSE)</f>
        <v/>
      </c>
      <c r="E548" s="0">
        <f>VLOOKUP(D548,'Tier Params'!$A:$B,2,FALSE)</f>
        <v/>
      </c>
      <c r="F548" s="0">
        <f>VLOOKUP(D548,'Tier Params'!$A:$C,3,FALSE)</f>
        <v/>
      </c>
      <c r="G548" s="0">
        <f>CEILING(C548/F548,1)</f>
        <v/>
      </c>
      <c r="H548" s="0">
        <f>G548*E548</f>
        <v/>
      </c>
    </row>
    <row r="549">
      <c r="A549" s="0" t="inlineStr">
        <is>
          <t>Structure Office Center</t>
        </is>
      </c>
      <c r="B549" s="0" t="inlineStr">
        <is>
          <t>Electrolytes</t>
        </is>
      </c>
      <c r="C549" s="0">
        <f>SUMIFS('BOM Cycle Calc'!$D:$D,'BOM Cycle Calc'!$B:$B,A549,'BOM Cycle Calc'!$C:$C,B549)</f>
        <v/>
      </c>
      <c r="D549" s="0">
        <f>VLOOKUP(B549,'Item Tier Lookup'!$A:$B,2,FALSE)</f>
        <v/>
      </c>
      <c r="E549" s="0">
        <f>VLOOKUP(D549,'Tier Params'!$A:$B,2,FALSE)</f>
        <v/>
      </c>
      <c r="F549" s="0">
        <f>VLOOKUP(D549,'Tier Params'!$A:$C,3,FALSE)</f>
        <v/>
      </c>
      <c r="G549" s="0">
        <f>CEILING(C549/F549,1)</f>
        <v/>
      </c>
      <c r="H549" s="0">
        <f>G549*E549</f>
        <v/>
      </c>
    </row>
    <row r="550">
      <c r="A550" s="0" t="inlineStr">
        <is>
          <t>Structure Office Center</t>
        </is>
      </c>
      <c r="B550" s="0" t="inlineStr">
        <is>
          <t>Ionic Solutions</t>
        </is>
      </c>
      <c r="C550" s="0">
        <f>SUMIFS('BOM Cycle Calc'!$D:$D,'BOM Cycle Calc'!$B:$B,A550,'BOM Cycle Calc'!$C:$C,B550)</f>
        <v/>
      </c>
      <c r="D550" s="0">
        <f>VLOOKUP(B550,'Item Tier Lookup'!$A:$B,2,FALSE)</f>
        <v/>
      </c>
      <c r="E550" s="0">
        <f>VLOOKUP(D550,'Tier Params'!$A:$B,2,FALSE)</f>
        <v/>
      </c>
      <c r="F550" s="0">
        <f>VLOOKUP(D550,'Tier Params'!$A:$C,3,FALSE)</f>
        <v/>
      </c>
      <c r="G550" s="0">
        <f>CEILING(C550/F550,1)</f>
        <v/>
      </c>
      <c r="H550" s="0">
        <f>G550*E550</f>
        <v/>
      </c>
    </row>
    <row r="551">
      <c r="A551" s="0" t="inlineStr">
        <is>
          <t>Structure Office Center</t>
        </is>
      </c>
      <c r="B551" s="0" t="inlineStr">
        <is>
          <t>Robotics</t>
        </is>
      </c>
      <c r="C551" s="0">
        <f>SUMIFS('BOM Cycle Calc'!$D:$D,'BOM Cycle Calc'!$B:$B,A551,'BOM Cycle Calc'!$C:$C,B551)</f>
        <v/>
      </c>
      <c r="D551" s="0">
        <f>VLOOKUP(B551,'Item Tier Lookup'!$A:$B,2,FALSE)</f>
        <v/>
      </c>
      <c r="E551" s="0">
        <f>VLOOKUP(D551,'Tier Params'!$A:$B,2,FALSE)</f>
        <v/>
      </c>
      <c r="F551" s="0">
        <f>VLOOKUP(D551,'Tier Params'!$A:$C,3,FALSE)</f>
        <v/>
      </c>
      <c r="G551" s="0">
        <f>CEILING(C551/F551,1)</f>
        <v/>
      </c>
      <c r="H551" s="0">
        <f>G551*E551</f>
        <v/>
      </c>
    </row>
    <row r="552">
      <c r="A552" s="0" t="inlineStr">
        <is>
          <t>Structure Office Center</t>
        </is>
      </c>
      <c r="B552" s="0" t="inlineStr">
        <is>
          <t>Consumer Electronics</t>
        </is>
      </c>
      <c r="C552" s="0">
        <f>SUMIFS('BOM Cycle Calc'!$D:$D,'BOM Cycle Calc'!$B:$B,A552,'BOM Cycle Calc'!$C:$C,B552)</f>
        <v/>
      </c>
      <c r="D552" s="0">
        <f>VLOOKUP(B552,'Item Tier Lookup'!$A:$B,2,FALSE)</f>
        <v/>
      </c>
      <c r="E552" s="0">
        <f>VLOOKUP(D552,'Tier Params'!$A:$B,2,FALSE)</f>
        <v/>
      </c>
      <c r="F552" s="0">
        <f>VLOOKUP(D552,'Tier Params'!$A:$C,3,FALSE)</f>
        <v/>
      </c>
      <c r="G552" s="0">
        <f>CEILING(C552/F552,1)</f>
        <v/>
      </c>
      <c r="H552" s="0">
        <f>G552*E552</f>
        <v/>
      </c>
    </row>
    <row r="553">
      <c r="A553" s="0" t="inlineStr">
        <is>
          <t>Structure Office Center</t>
        </is>
      </c>
      <c r="B553" s="0" t="inlineStr">
        <is>
          <t>Toxic Metals</t>
        </is>
      </c>
      <c r="C553" s="0">
        <f>SUMIFS('BOM Cycle Calc'!$D:$D,'BOM Cycle Calc'!$B:$B,A553,'BOM Cycle Calc'!$C:$C,B553)</f>
        <v/>
      </c>
      <c r="D553" s="0">
        <f>VLOOKUP(B553,'Item Tier Lookup'!$A:$B,2,FALSE)</f>
        <v/>
      </c>
      <c r="E553" s="0">
        <f>VLOOKUP(D553,'Tier Params'!$A:$B,2,FALSE)</f>
        <v/>
      </c>
      <c r="F553" s="0">
        <f>VLOOKUP(D553,'Tier Params'!$A:$C,3,FALSE)</f>
        <v/>
      </c>
      <c r="G553" s="0">
        <f>CEILING(C553/F553,1)</f>
        <v/>
      </c>
      <c r="H553" s="0">
        <f>G553*E553</f>
        <v/>
      </c>
    </row>
    <row r="554">
      <c r="A554" s="0" t="inlineStr">
        <is>
          <t>Structure Office Center</t>
        </is>
      </c>
      <c r="B554" s="0" t="inlineStr">
        <is>
          <t>Heavy Metals</t>
        </is>
      </c>
      <c r="C554" s="0">
        <f>SUMIFS('BOM Cycle Calc'!$D:$D,'BOM Cycle Calc'!$B:$B,A554,'BOM Cycle Calc'!$C:$C,B554)</f>
        <v/>
      </c>
      <c r="D554" s="0">
        <f>VLOOKUP(B554,'Item Tier Lookup'!$A:$B,2,FALSE)</f>
        <v/>
      </c>
      <c r="E554" s="0">
        <f>VLOOKUP(D554,'Tier Params'!$A:$B,2,FALSE)</f>
        <v/>
      </c>
      <c r="F554" s="0">
        <f>VLOOKUP(D554,'Tier Params'!$A:$C,3,FALSE)</f>
        <v/>
      </c>
      <c r="G554" s="0">
        <f>CEILING(C554/F554,1)</f>
        <v/>
      </c>
      <c r="H554" s="0">
        <f>G554*E554</f>
        <v/>
      </c>
    </row>
    <row r="555">
      <c r="A555" s="0" t="inlineStr">
        <is>
          <t>Structure Office Center</t>
        </is>
      </c>
      <c r="B555" s="0" t="inlineStr">
        <is>
          <t>Recursive Computing Module</t>
        </is>
      </c>
      <c r="C555" s="0">
        <f>SUMIFS('BOM Cycle Calc'!$D:$D,'BOM Cycle Calc'!$B:$B,A555,'BOM Cycle Calc'!$C:$C,B555)</f>
        <v/>
      </c>
      <c r="D555" s="0">
        <f>VLOOKUP(B555,'Item Tier Lookup'!$A:$B,2,FALSE)</f>
        <v/>
      </c>
      <c r="E555" s="0">
        <f>VLOOKUP(D555,'Tier Params'!$A:$B,2,FALSE)</f>
        <v/>
      </c>
      <c r="F555" s="0">
        <f>VLOOKUP(D555,'Tier Params'!$A:$C,3,FALSE)</f>
        <v/>
      </c>
      <c r="G555" s="0">
        <f>CEILING(C555/F555,1)</f>
        <v/>
      </c>
      <c r="H555" s="0">
        <f>G555*E555</f>
        <v/>
      </c>
    </row>
    <row r="556">
      <c r="A556" s="0" t="inlineStr">
        <is>
          <t>Structure Office Center</t>
        </is>
      </c>
      <c r="B556" s="0" t="inlineStr">
        <is>
          <t>Synthetic Synapses</t>
        </is>
      </c>
      <c r="C556" s="0">
        <f>SUMIFS('BOM Cycle Calc'!$D:$D,'BOM Cycle Calc'!$B:$B,A556,'BOM Cycle Calc'!$C:$C,B556)</f>
        <v/>
      </c>
      <c r="D556" s="0">
        <f>VLOOKUP(B556,'Item Tier Lookup'!$A:$B,2,FALSE)</f>
        <v/>
      </c>
      <c r="E556" s="0">
        <f>VLOOKUP(D556,'Tier Params'!$A:$B,2,FALSE)</f>
        <v/>
      </c>
      <c r="F556" s="0">
        <f>VLOOKUP(D556,'Tier Params'!$A:$C,3,FALSE)</f>
        <v/>
      </c>
      <c r="G556" s="0">
        <f>CEILING(C556/F556,1)</f>
        <v/>
      </c>
      <c r="H556" s="0">
        <f>G556*E556</f>
        <v/>
      </c>
    </row>
    <row r="557">
      <c r="A557" s="0" t="inlineStr">
        <is>
          <t>Structure Office Center</t>
        </is>
      </c>
      <c r="B557" s="0" t="inlineStr">
        <is>
          <t>Test Cultures</t>
        </is>
      </c>
      <c r="C557" s="0">
        <f>SUMIFS('BOM Cycle Calc'!$D:$D,'BOM Cycle Calc'!$B:$B,A557,'BOM Cycle Calc'!$C:$C,B557)</f>
        <v/>
      </c>
      <c r="D557" s="0">
        <f>VLOOKUP(B557,'Item Tier Lookup'!$A:$B,2,FALSE)</f>
        <v/>
      </c>
      <c r="E557" s="0">
        <f>VLOOKUP(D557,'Tier Params'!$A:$B,2,FALSE)</f>
        <v/>
      </c>
      <c r="F557" s="0">
        <f>VLOOKUP(D557,'Tier Params'!$A:$C,3,FALSE)</f>
        <v/>
      </c>
      <c r="G557" s="0">
        <f>CEILING(C557/F557,1)</f>
        <v/>
      </c>
      <c r="H557" s="0">
        <f>G557*E557</f>
        <v/>
      </c>
    </row>
    <row r="558">
      <c r="A558" s="0" t="inlineStr">
        <is>
          <t>Structure Office Center</t>
        </is>
      </c>
      <c r="B558" s="0" t="inlineStr">
        <is>
          <t>Transcranial Microcontrollers</t>
        </is>
      </c>
      <c r="C558" s="0">
        <f>SUMIFS('BOM Cycle Calc'!$D:$D,'BOM Cycle Calc'!$B:$B,A558,'BOM Cycle Calc'!$C:$C,B558)</f>
        <v/>
      </c>
      <c r="D558" s="0">
        <f>VLOOKUP(B558,'Item Tier Lookup'!$A:$B,2,FALSE)</f>
        <v/>
      </c>
      <c r="E558" s="0">
        <f>VLOOKUP(D558,'Tier Params'!$A:$B,2,FALSE)</f>
        <v/>
      </c>
      <c r="F558" s="0">
        <f>VLOOKUP(D558,'Tier Params'!$A:$C,3,FALSE)</f>
        <v/>
      </c>
      <c r="G558" s="0">
        <f>CEILING(C558/F558,1)</f>
        <v/>
      </c>
      <c r="H558" s="0">
        <f>G558*E558</f>
        <v/>
      </c>
    </row>
    <row r="559">
      <c r="A559" s="0" t="inlineStr">
        <is>
          <t>Structure Office Center</t>
        </is>
      </c>
      <c r="B559" s="0" t="inlineStr">
        <is>
          <t>Nanites</t>
        </is>
      </c>
      <c r="C559" s="0">
        <f>SUMIFS('BOM Cycle Calc'!$D:$D,'BOM Cycle Calc'!$B:$B,A559,'BOM Cycle Calc'!$C:$C,B559)</f>
        <v/>
      </c>
      <c r="D559" s="0">
        <f>VLOOKUP(B559,'Item Tier Lookup'!$A:$B,2,FALSE)</f>
        <v/>
      </c>
      <c r="E559" s="0">
        <f>VLOOKUP(D559,'Tier Params'!$A:$B,2,FALSE)</f>
        <v/>
      </c>
      <c r="F559" s="0">
        <f>VLOOKUP(D559,'Tier Params'!$A:$C,3,FALSE)</f>
        <v/>
      </c>
      <c r="G559" s="0">
        <f>CEILING(C559/F559,1)</f>
        <v/>
      </c>
      <c r="H559" s="0">
        <f>G559*E559</f>
        <v/>
      </c>
    </row>
    <row r="560">
      <c r="A560" s="0" t="inlineStr">
        <is>
          <t>Structure Office Center</t>
        </is>
      </c>
      <c r="B560" s="0" t="inlineStr">
        <is>
          <t>Guidance Systems</t>
        </is>
      </c>
      <c r="C560" s="0">
        <f>SUMIFS('BOM Cycle Calc'!$D:$D,'BOM Cycle Calc'!$B:$B,A560,'BOM Cycle Calc'!$C:$C,B560)</f>
        <v/>
      </c>
      <c r="D560" s="0">
        <f>VLOOKUP(B560,'Item Tier Lookup'!$A:$B,2,FALSE)</f>
        <v/>
      </c>
      <c r="E560" s="0">
        <f>VLOOKUP(D560,'Tier Params'!$A:$B,2,FALSE)</f>
        <v/>
      </c>
      <c r="F560" s="0">
        <f>VLOOKUP(D560,'Tier Params'!$A:$C,3,FALSE)</f>
        <v/>
      </c>
      <c r="G560" s="0">
        <f>CEILING(C560/F560,1)</f>
        <v/>
      </c>
      <c r="H560" s="0">
        <f>G560*E560</f>
        <v/>
      </c>
    </row>
    <row r="561">
      <c r="A561" s="0" t="inlineStr">
        <is>
          <t>Structure Office Center</t>
        </is>
      </c>
      <c r="B561" s="0" t="inlineStr">
        <is>
          <t>Water-Cooled CPU</t>
        </is>
      </c>
      <c r="C561" s="0">
        <f>SUMIFS('BOM Cycle Calc'!$D:$D,'BOM Cycle Calc'!$B:$B,A561,'BOM Cycle Calc'!$C:$C,B561)</f>
        <v/>
      </c>
      <c r="D561" s="0">
        <f>VLOOKUP(B561,'Item Tier Lookup'!$A:$B,2,FALSE)</f>
        <v/>
      </c>
      <c r="E561" s="0">
        <f>VLOOKUP(D561,'Tier Params'!$A:$B,2,FALSE)</f>
        <v/>
      </c>
      <c r="F561" s="0">
        <f>VLOOKUP(D561,'Tier Params'!$A:$C,3,FALSE)</f>
        <v/>
      </c>
      <c r="G561" s="0">
        <f>CEILING(C561/F561,1)</f>
        <v/>
      </c>
      <c r="H561" s="0">
        <f>G561*E561</f>
        <v/>
      </c>
    </row>
    <row r="562">
      <c r="A562" s="0" t="inlineStr">
        <is>
          <t>Structure Office Center</t>
        </is>
      </c>
      <c r="B562" s="0" t="inlineStr">
        <is>
          <t>Self-Harmonizing Power Core</t>
        </is>
      </c>
      <c r="C562" s="0">
        <f>SUMIFS('BOM Cycle Calc'!$D:$D,'BOM Cycle Calc'!$B:$B,A562,'BOM Cycle Calc'!$C:$C,B562)</f>
        <v/>
      </c>
      <c r="D562" s="0">
        <f>VLOOKUP(B562,'Item Tier Lookup'!$A:$B,2,FALSE)</f>
        <v/>
      </c>
      <c r="E562" s="0">
        <f>VLOOKUP(D562,'Tier Params'!$A:$B,2,FALSE)</f>
        <v/>
      </c>
      <c r="F562" s="0">
        <f>VLOOKUP(D562,'Tier Params'!$A:$C,3,FALSE)</f>
        <v/>
      </c>
      <c r="G562" s="0">
        <f>CEILING(C562/F562,1)</f>
        <v/>
      </c>
      <c r="H562" s="0">
        <f>G562*E562</f>
        <v/>
      </c>
    </row>
    <row r="563">
      <c r="A563" s="0" t="inlineStr">
        <is>
          <t>Structure Office Center</t>
        </is>
      </c>
      <c r="B563" s="0" t="inlineStr">
        <is>
          <t>Nuclear Reactors</t>
        </is>
      </c>
      <c r="C563" s="0">
        <f>SUMIFS('BOM Cycle Calc'!$D:$D,'BOM Cycle Calc'!$B:$B,A563,'BOM Cycle Calc'!$C:$C,B563)</f>
        <v/>
      </c>
      <c r="D563" s="0">
        <f>VLOOKUP(B563,'Item Tier Lookup'!$A:$B,2,FALSE)</f>
        <v/>
      </c>
      <c r="E563" s="0">
        <f>VLOOKUP(D563,'Tier Params'!$A:$B,2,FALSE)</f>
        <v/>
      </c>
      <c r="F563" s="0">
        <f>VLOOKUP(D563,'Tier Params'!$A:$C,3,FALSE)</f>
        <v/>
      </c>
      <c r="G563" s="0">
        <f>CEILING(C563/F563,1)</f>
        <v/>
      </c>
      <c r="H563" s="0">
        <f>G563*E563</f>
        <v/>
      </c>
    </row>
    <row r="564">
      <c r="A564" s="0" t="inlineStr">
        <is>
          <t>Structure Office Center</t>
        </is>
      </c>
      <c r="B564" s="0" t="inlineStr">
        <is>
          <t>Enriched Uranium</t>
        </is>
      </c>
      <c r="C564" s="0">
        <f>SUMIFS('BOM Cycle Calc'!$D:$D,'BOM Cycle Calc'!$B:$B,A564,'BOM Cycle Calc'!$C:$C,B564)</f>
        <v/>
      </c>
      <c r="D564" s="0">
        <f>VLOOKUP(B564,'Item Tier Lookup'!$A:$B,2,FALSE)</f>
        <v/>
      </c>
      <c r="E564" s="0">
        <f>VLOOKUP(D564,'Tier Params'!$A:$B,2,FALSE)</f>
        <v/>
      </c>
      <c r="F564" s="0">
        <f>VLOOKUP(D564,'Tier Params'!$A:$C,3,FALSE)</f>
        <v/>
      </c>
      <c r="G564" s="0">
        <f>CEILING(C564/F564,1)</f>
        <v/>
      </c>
      <c r="H564" s="0">
        <f>G564*E564</f>
        <v/>
      </c>
    </row>
    <row r="565">
      <c r="A565" s="0" t="inlineStr">
        <is>
          <t>Structure Office Center</t>
        </is>
      </c>
      <c r="B565" s="0" t="inlineStr">
        <is>
          <t>Camera Drones</t>
        </is>
      </c>
      <c r="C565" s="0">
        <f>SUMIFS('BOM Cycle Calc'!$D:$D,'BOM Cycle Calc'!$B:$B,A565,'BOM Cycle Calc'!$C:$C,B565)</f>
        <v/>
      </c>
      <c r="D565" s="0">
        <f>VLOOKUP(B565,'Item Tier Lookup'!$A:$B,2,FALSE)</f>
        <v/>
      </c>
      <c r="E565" s="0">
        <f>VLOOKUP(D565,'Tier Params'!$A:$B,2,FALSE)</f>
        <v/>
      </c>
      <c r="F565" s="0">
        <f>VLOOKUP(D565,'Tier Params'!$A:$C,3,FALSE)</f>
        <v/>
      </c>
      <c r="G565" s="0">
        <f>CEILING(C565/F565,1)</f>
        <v/>
      </c>
      <c r="H565" s="0">
        <f>G565*E565</f>
        <v/>
      </c>
    </row>
    <row r="566">
      <c r="A566" s="0" t="inlineStr">
        <is>
          <t>Structure Office Center</t>
        </is>
      </c>
      <c r="B566" s="0" t="inlineStr">
        <is>
          <t>Rocket Fuel</t>
        </is>
      </c>
      <c r="C566" s="0">
        <f>SUMIFS('BOM Cycle Calc'!$D:$D,'BOM Cycle Calc'!$B:$B,A566,'BOM Cycle Calc'!$C:$C,B566)</f>
        <v/>
      </c>
      <c r="D566" s="0">
        <f>VLOOKUP(B566,'Item Tier Lookup'!$A:$B,2,FALSE)</f>
        <v/>
      </c>
      <c r="E566" s="0">
        <f>VLOOKUP(D566,'Tier Params'!$A:$B,2,FALSE)</f>
        <v/>
      </c>
      <c r="F566" s="0">
        <f>VLOOKUP(D566,'Tier Params'!$A:$C,3,FALSE)</f>
        <v/>
      </c>
      <c r="G566" s="0">
        <f>CEILING(C566/F566,1)</f>
        <v/>
      </c>
      <c r="H566" s="0">
        <f>G566*E566</f>
        <v/>
      </c>
    </row>
    <row r="567">
      <c r="A567" s="0" t="inlineStr">
        <is>
          <t>Structure Office Center</t>
        </is>
      </c>
      <c r="B567" s="0" t="inlineStr">
        <is>
          <t>Hermetic Membranes</t>
        </is>
      </c>
      <c r="C567" s="0">
        <f>SUMIFS('BOM Cycle Calc'!$D:$D,'BOM Cycle Calc'!$B:$B,A567,'BOM Cycle Calc'!$C:$C,B567)</f>
        <v/>
      </c>
      <c r="D567" s="0">
        <f>VLOOKUP(B567,'Item Tier Lookup'!$A:$B,2,FALSE)</f>
        <v/>
      </c>
      <c r="E567" s="0">
        <f>VLOOKUP(D567,'Tier Params'!$A:$B,2,FALSE)</f>
        <v/>
      </c>
      <c r="F567" s="0">
        <f>VLOOKUP(D567,'Tier Params'!$A:$C,3,FALSE)</f>
        <v/>
      </c>
      <c r="G567" s="0">
        <f>CEILING(C567/F567,1)</f>
        <v/>
      </c>
      <c r="H567" s="0">
        <f>G567*E567</f>
        <v/>
      </c>
    </row>
    <row r="568">
      <c r="A568" s="0" t="inlineStr">
        <is>
          <t>Structure Office Center</t>
        </is>
      </c>
      <c r="B568" s="0" t="inlineStr">
        <is>
          <t>Genetically Enhanced Livestock</t>
        </is>
      </c>
      <c r="C568" s="0">
        <f>SUMIFS('BOM Cycle Calc'!$D:$D,'BOM Cycle Calc'!$B:$B,A568,'BOM Cycle Calc'!$C:$C,B568)</f>
        <v/>
      </c>
      <c r="D568" s="0">
        <f>VLOOKUP(B568,'Item Tier Lookup'!$A:$B,2,FALSE)</f>
        <v/>
      </c>
      <c r="E568" s="0">
        <f>VLOOKUP(D568,'Tier Params'!$A:$B,2,FALSE)</f>
        <v/>
      </c>
      <c r="F568" s="0">
        <f>VLOOKUP(D568,'Tier Params'!$A:$C,3,FALSE)</f>
        <v/>
      </c>
      <c r="G568" s="0">
        <f>CEILING(C568/F568,1)</f>
        <v/>
      </c>
      <c r="H568" s="0">
        <f>G568*E568</f>
        <v/>
      </c>
    </row>
    <row r="569">
      <c r="A569" s="0" t="inlineStr">
        <is>
          <t>Structure Office Center</t>
        </is>
      </c>
      <c r="B569" s="0" t="inlineStr">
        <is>
          <t>Proteins</t>
        </is>
      </c>
      <c r="C569" s="0">
        <f>SUMIFS('BOM Cycle Calc'!$D:$D,'BOM Cycle Calc'!$B:$B,A569,'BOM Cycle Calc'!$C:$C,B569)</f>
        <v/>
      </c>
      <c r="D569" s="0">
        <f>VLOOKUP(B569,'Item Tier Lookup'!$A:$B,2,FALSE)</f>
        <v/>
      </c>
      <c r="E569" s="0">
        <f>VLOOKUP(D569,'Tier Params'!$A:$B,2,FALSE)</f>
        <v/>
      </c>
      <c r="F569" s="0">
        <f>VLOOKUP(D569,'Tier Params'!$A:$C,3,FALSE)</f>
        <v/>
      </c>
      <c r="G569" s="0">
        <f>CEILING(C569/F569,1)</f>
        <v/>
      </c>
      <c r="H569" s="0">
        <f>G569*E569</f>
        <v/>
      </c>
    </row>
    <row r="570">
      <c r="A570" s="0" t="inlineStr">
        <is>
          <t>Structure Office Center</t>
        </is>
      </c>
      <c r="B570" s="0" t="inlineStr">
        <is>
          <t>Complex Organisms</t>
        </is>
      </c>
      <c r="C570" s="0">
        <f>SUMIFS('BOM Cycle Calc'!$D:$D,'BOM Cycle Calc'!$B:$B,A570,'BOM Cycle Calc'!$C:$C,B570)</f>
        <v/>
      </c>
      <c r="D570" s="0">
        <f>VLOOKUP(B570,'Item Tier Lookup'!$A:$B,2,FALSE)</f>
        <v/>
      </c>
      <c r="E570" s="0">
        <f>VLOOKUP(D570,'Tier Params'!$A:$B,2,FALSE)</f>
        <v/>
      </c>
      <c r="F570" s="0">
        <f>VLOOKUP(D570,'Tier Params'!$A:$C,3,FALSE)</f>
        <v/>
      </c>
      <c r="G570" s="0">
        <f>CEILING(C570/F570,1)</f>
        <v/>
      </c>
      <c r="H570" s="0">
        <f>G570*E570</f>
        <v/>
      </c>
    </row>
    <row r="571">
      <c r="A571" s="0" t="inlineStr">
        <is>
          <t>Structure Office Center</t>
        </is>
      </c>
      <c r="B571" s="0" t="inlineStr">
        <is>
          <t>Sterile Conduits</t>
        </is>
      </c>
      <c r="C571" s="0">
        <f>SUMIFS('BOM Cycle Calc'!$D:$D,'BOM Cycle Calc'!$B:$B,A571,'BOM Cycle Calc'!$C:$C,B571)</f>
        <v/>
      </c>
      <c r="D571" s="0">
        <f>VLOOKUP(B571,'Item Tier Lookup'!$A:$B,2,FALSE)</f>
        <v/>
      </c>
      <c r="E571" s="0">
        <f>VLOOKUP(D571,'Tier Params'!$A:$B,2,FALSE)</f>
        <v/>
      </c>
      <c r="F571" s="0">
        <f>VLOOKUP(D571,'Tier Params'!$A:$C,3,FALSE)</f>
        <v/>
      </c>
      <c r="G571" s="0">
        <f>CEILING(C571/F571,1)</f>
        <v/>
      </c>
      <c r="H571" s="0">
        <f>G571*E571</f>
        <v/>
      </c>
    </row>
    <row r="572">
      <c r="A572" s="0" t="inlineStr">
        <is>
          <t>Structure Office Center</t>
        </is>
      </c>
      <c r="B572" s="0" t="inlineStr">
        <is>
          <t>Vaccines</t>
        </is>
      </c>
      <c r="C572" s="0">
        <f>SUMIFS('BOM Cycle Calc'!$D:$D,'BOM Cycle Calc'!$B:$B,A572,'BOM Cycle Calc'!$C:$C,B572)</f>
        <v/>
      </c>
      <c r="D572" s="0">
        <f>VLOOKUP(B572,'Item Tier Lookup'!$A:$B,2,FALSE)</f>
        <v/>
      </c>
      <c r="E572" s="0">
        <f>VLOOKUP(D572,'Tier Params'!$A:$B,2,FALSE)</f>
        <v/>
      </c>
      <c r="F572" s="0">
        <f>VLOOKUP(D572,'Tier Params'!$A:$C,3,FALSE)</f>
        <v/>
      </c>
      <c r="G572" s="0">
        <f>CEILING(C572/F572,1)</f>
        <v/>
      </c>
      <c r="H572" s="0">
        <f>G572*E572</f>
        <v/>
      </c>
    </row>
    <row r="573">
      <c r="A573" s="0" t="inlineStr">
        <is>
          <t>Structure Office Center</t>
        </is>
      </c>
      <c r="B573" s="0" t="inlineStr">
        <is>
          <t>Livestock</t>
        </is>
      </c>
      <c r="C573" s="0">
        <f>SUMIFS('BOM Cycle Calc'!$D:$D,'BOM Cycle Calc'!$B:$B,A573,'BOM Cycle Calc'!$C:$C,B573)</f>
        <v/>
      </c>
      <c r="D573" s="0">
        <f>VLOOKUP(B573,'Item Tier Lookup'!$A:$B,2,FALSE)</f>
        <v/>
      </c>
      <c r="E573" s="0">
        <f>VLOOKUP(D573,'Tier Params'!$A:$B,2,FALSE)</f>
        <v/>
      </c>
      <c r="F573" s="0">
        <f>VLOOKUP(D573,'Tier Params'!$A:$C,3,FALSE)</f>
        <v/>
      </c>
      <c r="G573" s="0">
        <f>CEILING(C573/F573,1)</f>
        <v/>
      </c>
      <c r="H573" s="0">
        <f>G573*E573</f>
        <v/>
      </c>
    </row>
    <row r="574">
      <c r="A574" s="0" t="inlineStr">
        <is>
          <t>Structure Office Center</t>
        </is>
      </c>
      <c r="B574" s="0" t="inlineStr">
        <is>
          <t>Smartfab Units</t>
        </is>
      </c>
      <c r="C574" s="0">
        <f>SUMIFS('BOM Cycle Calc'!$D:$D,'BOM Cycle Calc'!$B:$B,A574,'BOM Cycle Calc'!$C:$C,B574)</f>
        <v/>
      </c>
      <c r="D574" s="0">
        <f>VLOOKUP(B574,'Item Tier Lookup'!$A:$B,2,FALSE)</f>
        <v/>
      </c>
      <c r="E574" s="0">
        <f>VLOOKUP(D574,'Tier Params'!$A:$B,2,FALSE)</f>
        <v/>
      </c>
      <c r="F574" s="0">
        <f>VLOOKUP(D574,'Tier Params'!$A:$C,3,FALSE)</f>
        <v/>
      </c>
      <c r="G574" s="0">
        <f>CEILING(C574/F574,1)</f>
        <v/>
      </c>
      <c r="H574" s="0">
        <f>G574*E574</f>
        <v/>
      </c>
    </row>
    <row r="575">
      <c r="A575" s="0" t="inlineStr">
        <is>
          <t>Structure Office Center</t>
        </is>
      </c>
      <c r="B575" s="0" t="inlineStr">
        <is>
          <t>Construction Blocks</t>
        </is>
      </c>
      <c r="C575" s="0">
        <f>SUMIFS('BOM Cycle Calc'!$D:$D,'BOM Cycle Calc'!$B:$B,A575,'BOM Cycle Calc'!$C:$C,B575)</f>
        <v/>
      </c>
      <c r="D575" s="0">
        <f>VLOOKUP(B575,'Item Tier Lookup'!$A:$B,2,FALSE)</f>
        <v/>
      </c>
      <c r="E575" s="0">
        <f>VLOOKUP(D575,'Tier Params'!$A:$B,2,FALSE)</f>
        <v/>
      </c>
      <c r="F575" s="0">
        <f>VLOOKUP(D575,'Tier Params'!$A:$C,3,FALSE)</f>
        <v/>
      </c>
      <c r="G575" s="0">
        <f>CEILING(C575/F575,1)</f>
        <v/>
      </c>
      <c r="H575" s="0">
        <f>G575*E575</f>
        <v/>
      </c>
    </row>
    <row r="576">
      <c r="A576" s="0" t="inlineStr">
        <is>
          <t>Structure Market Network</t>
        </is>
      </c>
      <c r="B576" s="0" t="inlineStr">
        <is>
          <t>Tritanium</t>
        </is>
      </c>
      <c r="C576" s="0">
        <f>SUMIFS('BOM Cycle Calc'!$D:$D,'BOM Cycle Calc'!$B:$B,A576,'BOM Cycle Calc'!$C:$C,B576)</f>
        <v/>
      </c>
      <c r="D576" s="0">
        <f>VLOOKUP(B576,'Item Tier Lookup'!$A:$B,2,FALSE)</f>
        <v/>
      </c>
      <c r="E576" s="0">
        <f>VLOOKUP(D576,'Tier Params'!$A:$B,2,FALSE)</f>
        <v/>
      </c>
      <c r="F576" s="0">
        <f>VLOOKUP(D576,'Tier Params'!$A:$C,3,FALSE)</f>
        <v/>
      </c>
      <c r="G576" s="0">
        <f>CEILING(C576/F576,1)</f>
        <v/>
      </c>
      <c r="H576" s="0">
        <f>G576*E576</f>
        <v/>
      </c>
    </row>
    <row r="577">
      <c r="A577" s="0" t="inlineStr">
        <is>
          <t>Structure Market Network</t>
        </is>
      </c>
      <c r="B577" s="0" t="inlineStr">
        <is>
          <t>Pyerite</t>
        </is>
      </c>
      <c r="C577" s="0">
        <f>SUMIFS('BOM Cycle Calc'!$D:$D,'BOM Cycle Calc'!$B:$B,A577,'BOM Cycle Calc'!$C:$C,B577)</f>
        <v/>
      </c>
      <c r="D577" s="0">
        <f>VLOOKUP(B577,'Item Tier Lookup'!$A:$B,2,FALSE)</f>
        <v/>
      </c>
      <c r="E577" s="0">
        <f>VLOOKUP(D577,'Tier Params'!$A:$B,2,FALSE)</f>
        <v/>
      </c>
      <c r="F577" s="0">
        <f>VLOOKUP(D577,'Tier Params'!$A:$C,3,FALSE)</f>
        <v/>
      </c>
      <c r="G577" s="0">
        <f>CEILING(C577/F577,1)</f>
        <v/>
      </c>
      <c r="H577" s="0">
        <f>G577*E577</f>
        <v/>
      </c>
    </row>
    <row r="578">
      <c r="A578" s="0" t="inlineStr">
        <is>
          <t>Structure Market Network</t>
        </is>
      </c>
      <c r="B578" s="0" t="inlineStr">
        <is>
          <t>Mexallon</t>
        </is>
      </c>
      <c r="C578" s="0">
        <f>SUMIFS('BOM Cycle Calc'!$D:$D,'BOM Cycle Calc'!$B:$B,A578,'BOM Cycle Calc'!$C:$C,B578)</f>
        <v/>
      </c>
      <c r="D578" s="0">
        <f>VLOOKUP(B578,'Item Tier Lookup'!$A:$B,2,FALSE)</f>
        <v/>
      </c>
      <c r="E578" s="0">
        <f>VLOOKUP(D578,'Tier Params'!$A:$B,2,FALSE)</f>
        <v/>
      </c>
      <c r="F578" s="0">
        <f>VLOOKUP(D578,'Tier Params'!$A:$C,3,FALSE)</f>
        <v/>
      </c>
      <c r="G578" s="0">
        <f>CEILING(C578/F578,1)</f>
        <v/>
      </c>
      <c r="H578" s="0">
        <f>G578*E578</f>
        <v/>
      </c>
    </row>
    <row r="579">
      <c r="A579" s="0" t="inlineStr">
        <is>
          <t>Structure Market Network</t>
        </is>
      </c>
      <c r="B579" s="0" t="inlineStr">
        <is>
          <t>Isogen</t>
        </is>
      </c>
      <c r="C579" s="0">
        <f>SUMIFS('BOM Cycle Calc'!$D:$D,'BOM Cycle Calc'!$B:$B,A579,'BOM Cycle Calc'!$C:$C,B579)</f>
        <v/>
      </c>
      <c r="D579" s="0">
        <f>VLOOKUP(B579,'Item Tier Lookup'!$A:$B,2,FALSE)</f>
        <v/>
      </c>
      <c r="E579" s="0">
        <f>VLOOKUP(D579,'Tier Params'!$A:$B,2,FALSE)</f>
        <v/>
      </c>
      <c r="F579" s="0">
        <f>VLOOKUP(D579,'Tier Params'!$A:$C,3,FALSE)</f>
        <v/>
      </c>
      <c r="G579" s="0">
        <f>CEILING(C579/F579,1)</f>
        <v/>
      </c>
      <c r="H579" s="0">
        <f>G579*E579</f>
        <v/>
      </c>
    </row>
    <row r="580">
      <c r="A580" s="0" t="inlineStr">
        <is>
          <t>Structure Market Network</t>
        </is>
      </c>
      <c r="B580" s="0" t="inlineStr">
        <is>
          <t>Nocxium</t>
        </is>
      </c>
      <c r="C580" s="0">
        <f>SUMIFS('BOM Cycle Calc'!$D:$D,'BOM Cycle Calc'!$B:$B,A580,'BOM Cycle Calc'!$C:$C,B580)</f>
        <v/>
      </c>
      <c r="D580" s="0">
        <f>VLOOKUP(B580,'Item Tier Lookup'!$A:$B,2,FALSE)</f>
        <v/>
      </c>
      <c r="E580" s="0">
        <f>VLOOKUP(D580,'Tier Params'!$A:$B,2,FALSE)</f>
        <v/>
      </c>
      <c r="F580" s="0">
        <f>VLOOKUP(D580,'Tier Params'!$A:$C,3,FALSE)</f>
        <v/>
      </c>
      <c r="G580" s="0">
        <f>CEILING(C580/F580,1)</f>
        <v/>
      </c>
      <c r="H580" s="0">
        <f>G580*E580</f>
        <v/>
      </c>
    </row>
    <row r="581">
      <c r="A581" s="0" t="inlineStr">
        <is>
          <t>Structure Market Network</t>
        </is>
      </c>
      <c r="B581" s="0" t="inlineStr">
        <is>
          <t>Zydrine</t>
        </is>
      </c>
      <c r="C581" s="0">
        <f>SUMIFS('BOM Cycle Calc'!$D:$D,'BOM Cycle Calc'!$B:$B,A581,'BOM Cycle Calc'!$C:$C,B581)</f>
        <v/>
      </c>
      <c r="D581" s="0">
        <f>VLOOKUP(B581,'Item Tier Lookup'!$A:$B,2,FALSE)</f>
        <v/>
      </c>
      <c r="E581" s="0">
        <f>VLOOKUP(D581,'Tier Params'!$A:$B,2,FALSE)</f>
        <v/>
      </c>
      <c r="F581" s="0">
        <f>VLOOKUP(D581,'Tier Params'!$A:$C,3,FALSE)</f>
        <v/>
      </c>
      <c r="G581" s="0">
        <f>CEILING(C581/F581,1)</f>
        <v/>
      </c>
      <c r="H581" s="0">
        <f>G581*E581</f>
        <v/>
      </c>
    </row>
    <row r="582">
      <c r="A582" s="0" t="inlineStr">
        <is>
          <t>Structure Market Network</t>
        </is>
      </c>
      <c r="B582" s="0" t="inlineStr">
        <is>
          <t>Megacyte</t>
        </is>
      </c>
      <c r="C582" s="0">
        <f>SUMIFS('BOM Cycle Calc'!$D:$D,'BOM Cycle Calc'!$B:$B,A582,'BOM Cycle Calc'!$C:$C,B582)</f>
        <v/>
      </c>
      <c r="D582" s="0">
        <f>VLOOKUP(B582,'Item Tier Lookup'!$A:$B,2,FALSE)</f>
        <v/>
      </c>
      <c r="E582" s="0">
        <f>VLOOKUP(D582,'Tier Params'!$A:$B,2,FALSE)</f>
        <v/>
      </c>
      <c r="F582" s="0">
        <f>VLOOKUP(D582,'Tier Params'!$A:$C,3,FALSE)</f>
        <v/>
      </c>
      <c r="G582" s="0">
        <f>CEILING(C582/F582,1)</f>
        <v/>
      </c>
      <c r="H582" s="0">
        <f>G582*E582</f>
        <v/>
      </c>
    </row>
    <row r="583">
      <c r="A583" s="0" t="inlineStr">
        <is>
          <t>Structure Market Network</t>
        </is>
      </c>
      <c r="B583" s="0" t="inlineStr">
        <is>
          <t>Broadcast Node</t>
        </is>
      </c>
      <c r="C583" s="0">
        <f>SUMIFS('BOM Cycle Calc'!$D:$D,'BOM Cycle Calc'!$B:$B,A583,'BOM Cycle Calc'!$C:$C,B583)</f>
        <v/>
      </c>
      <c r="D583" s="0">
        <f>VLOOKUP(B583,'Item Tier Lookup'!$A:$B,2,FALSE)</f>
        <v/>
      </c>
      <c r="E583" s="0">
        <f>VLOOKUP(D583,'Tier Params'!$A:$B,2,FALSE)</f>
        <v/>
      </c>
      <c r="F583" s="0">
        <f>VLOOKUP(D583,'Tier Params'!$A:$C,3,FALSE)</f>
        <v/>
      </c>
      <c r="G583" s="0">
        <f>CEILING(C583/F583,1)</f>
        <v/>
      </c>
      <c r="H583" s="0">
        <f>G583*E583</f>
        <v/>
      </c>
    </row>
    <row r="584">
      <c r="A584" s="0" t="inlineStr">
        <is>
          <t>Structure Market Network</t>
        </is>
      </c>
      <c r="B584" s="0" t="inlineStr">
        <is>
          <t>Data Chips</t>
        </is>
      </c>
      <c r="C584" s="0">
        <f>SUMIFS('BOM Cycle Calc'!$D:$D,'BOM Cycle Calc'!$B:$B,A584,'BOM Cycle Calc'!$C:$C,B584)</f>
        <v/>
      </c>
      <c r="D584" s="0">
        <f>VLOOKUP(B584,'Item Tier Lookup'!$A:$B,2,FALSE)</f>
        <v/>
      </c>
      <c r="E584" s="0">
        <f>VLOOKUP(D584,'Tier Params'!$A:$B,2,FALSE)</f>
        <v/>
      </c>
      <c r="F584" s="0">
        <f>VLOOKUP(D584,'Tier Params'!$A:$C,3,FALSE)</f>
        <v/>
      </c>
      <c r="G584" s="0">
        <f>CEILING(C584/F584,1)</f>
        <v/>
      </c>
      <c r="H584" s="0">
        <f>G584*E584</f>
        <v/>
      </c>
    </row>
    <row r="585">
      <c r="A585" s="0" t="inlineStr">
        <is>
          <t>Structure Market Network</t>
        </is>
      </c>
      <c r="B585" s="0" t="inlineStr">
        <is>
          <t>Supertensile Plastics</t>
        </is>
      </c>
      <c r="C585" s="0">
        <f>SUMIFS('BOM Cycle Calc'!$D:$D,'BOM Cycle Calc'!$B:$B,A585,'BOM Cycle Calc'!$C:$C,B585)</f>
        <v/>
      </c>
      <c r="D585" s="0">
        <f>VLOOKUP(B585,'Item Tier Lookup'!$A:$B,2,FALSE)</f>
        <v/>
      </c>
      <c r="E585" s="0">
        <f>VLOOKUP(D585,'Tier Params'!$A:$B,2,FALSE)</f>
        <v/>
      </c>
      <c r="F585" s="0">
        <f>VLOOKUP(D585,'Tier Params'!$A:$C,3,FALSE)</f>
        <v/>
      </c>
      <c r="G585" s="0">
        <f>CEILING(C585/F585,1)</f>
        <v/>
      </c>
      <c r="H585" s="0">
        <f>G585*E585</f>
        <v/>
      </c>
    </row>
    <row r="586">
      <c r="A586" s="0" t="inlineStr">
        <is>
          <t>Structure Market Network</t>
        </is>
      </c>
      <c r="B586" s="0" t="inlineStr">
        <is>
          <t>Oxygen</t>
        </is>
      </c>
      <c r="C586" s="0">
        <f>SUMIFS('BOM Cycle Calc'!$D:$D,'BOM Cycle Calc'!$B:$B,A586,'BOM Cycle Calc'!$C:$C,B586)</f>
        <v/>
      </c>
      <c r="D586" s="0">
        <f>VLOOKUP(B586,'Item Tier Lookup'!$A:$B,2,FALSE)</f>
        <v/>
      </c>
      <c r="E586" s="0">
        <f>VLOOKUP(D586,'Tier Params'!$A:$B,2,FALSE)</f>
        <v/>
      </c>
      <c r="F586" s="0">
        <f>VLOOKUP(D586,'Tier Params'!$A:$C,3,FALSE)</f>
        <v/>
      </c>
      <c r="G586" s="0">
        <f>CEILING(C586/F586,1)</f>
        <v/>
      </c>
      <c r="H586" s="0">
        <f>G586*E586</f>
        <v/>
      </c>
    </row>
    <row r="587">
      <c r="A587" s="0" t="inlineStr">
        <is>
          <t>Structure Market Network</t>
        </is>
      </c>
      <c r="B587" s="0" t="inlineStr">
        <is>
          <t>Noble Gas</t>
        </is>
      </c>
      <c r="C587" s="0">
        <f>SUMIFS('BOM Cycle Calc'!$D:$D,'BOM Cycle Calc'!$B:$B,A587,'BOM Cycle Calc'!$C:$C,B587)</f>
        <v/>
      </c>
      <c r="D587" s="0">
        <f>VLOOKUP(B587,'Item Tier Lookup'!$A:$B,2,FALSE)</f>
        <v/>
      </c>
      <c r="E587" s="0">
        <f>VLOOKUP(D587,'Tier Params'!$A:$B,2,FALSE)</f>
        <v/>
      </c>
      <c r="F587" s="0">
        <f>VLOOKUP(D587,'Tier Params'!$A:$C,3,FALSE)</f>
        <v/>
      </c>
      <c r="G587" s="0">
        <f>CEILING(C587/F587,1)</f>
        <v/>
      </c>
      <c r="H587" s="0">
        <f>G587*E587</f>
        <v/>
      </c>
    </row>
    <row r="588">
      <c r="A588" s="0" t="inlineStr">
        <is>
          <t>Structure Market Network</t>
        </is>
      </c>
      <c r="B588" s="0" t="inlineStr">
        <is>
          <t>Biomass</t>
        </is>
      </c>
      <c r="C588" s="0">
        <f>SUMIFS('BOM Cycle Calc'!$D:$D,'BOM Cycle Calc'!$B:$B,A588,'BOM Cycle Calc'!$C:$C,B588)</f>
        <v/>
      </c>
      <c r="D588" s="0">
        <f>VLOOKUP(B588,'Item Tier Lookup'!$A:$B,2,FALSE)</f>
        <v/>
      </c>
      <c r="E588" s="0">
        <f>VLOOKUP(D588,'Tier Params'!$A:$B,2,FALSE)</f>
        <v/>
      </c>
      <c r="F588" s="0">
        <f>VLOOKUP(D588,'Tier Params'!$A:$C,3,FALSE)</f>
        <v/>
      </c>
      <c r="G588" s="0">
        <f>CEILING(C588/F588,1)</f>
        <v/>
      </c>
      <c r="H588" s="0">
        <f>G588*E588</f>
        <v/>
      </c>
    </row>
    <row r="589">
      <c r="A589" s="0" t="inlineStr">
        <is>
          <t>Structure Market Network</t>
        </is>
      </c>
      <c r="B589" s="0" t="inlineStr">
        <is>
          <t>Planktic Colonies</t>
        </is>
      </c>
      <c r="C589" s="0">
        <f>SUMIFS('BOM Cycle Calc'!$D:$D,'BOM Cycle Calc'!$B:$B,A589,'BOM Cycle Calc'!$C:$C,B589)</f>
        <v/>
      </c>
      <c r="D589" s="0">
        <f>VLOOKUP(B589,'Item Tier Lookup'!$A:$B,2,FALSE)</f>
        <v/>
      </c>
      <c r="E589" s="0">
        <f>VLOOKUP(D589,'Tier Params'!$A:$B,2,FALSE)</f>
        <v/>
      </c>
      <c r="F589" s="0">
        <f>VLOOKUP(D589,'Tier Params'!$A:$C,3,FALSE)</f>
        <v/>
      </c>
      <c r="G589" s="0">
        <f>CEILING(C589/F589,1)</f>
        <v/>
      </c>
      <c r="H589" s="0">
        <f>G589*E589</f>
        <v/>
      </c>
    </row>
    <row r="590">
      <c r="A590" s="0" t="inlineStr">
        <is>
          <t>Structure Market Network</t>
        </is>
      </c>
      <c r="B590" s="0" t="inlineStr">
        <is>
          <t>Microfiber Shielding</t>
        </is>
      </c>
      <c r="C590" s="0">
        <f>SUMIFS('BOM Cycle Calc'!$D:$D,'BOM Cycle Calc'!$B:$B,A590,'BOM Cycle Calc'!$C:$C,B590)</f>
        <v/>
      </c>
      <c r="D590" s="0">
        <f>VLOOKUP(B590,'Item Tier Lookup'!$A:$B,2,FALSE)</f>
        <v/>
      </c>
      <c r="E590" s="0">
        <f>VLOOKUP(D590,'Tier Params'!$A:$B,2,FALSE)</f>
        <v/>
      </c>
      <c r="F590" s="0">
        <f>VLOOKUP(D590,'Tier Params'!$A:$C,3,FALSE)</f>
        <v/>
      </c>
      <c r="G590" s="0">
        <f>CEILING(C590/F590,1)</f>
        <v/>
      </c>
      <c r="H590" s="0">
        <f>G590*E590</f>
        <v/>
      </c>
    </row>
    <row r="591">
      <c r="A591" s="0" t="inlineStr">
        <is>
          <t>Structure Market Network</t>
        </is>
      </c>
      <c r="B591" s="0" t="inlineStr">
        <is>
          <t>Silicon</t>
        </is>
      </c>
      <c r="C591" s="0">
        <f>SUMIFS('BOM Cycle Calc'!$D:$D,'BOM Cycle Calc'!$B:$B,A591,'BOM Cycle Calc'!$C:$C,B591)</f>
        <v/>
      </c>
      <c r="D591" s="0">
        <f>VLOOKUP(B591,'Item Tier Lookup'!$A:$B,2,FALSE)</f>
        <v/>
      </c>
      <c r="E591" s="0">
        <f>VLOOKUP(D591,'Tier Params'!$A:$B,2,FALSE)</f>
        <v/>
      </c>
      <c r="F591" s="0">
        <f>VLOOKUP(D591,'Tier Params'!$A:$C,3,FALSE)</f>
        <v/>
      </c>
      <c r="G591" s="0">
        <f>CEILING(C591/F591,1)</f>
        <v/>
      </c>
      <c r="H591" s="0">
        <f>G591*E591</f>
        <v/>
      </c>
    </row>
    <row r="592">
      <c r="A592" s="0" t="inlineStr">
        <is>
          <t>Structure Market Network</t>
        </is>
      </c>
      <c r="B592" s="0" t="inlineStr">
        <is>
          <t>Felsic Magma</t>
        </is>
      </c>
      <c r="C592" s="0">
        <f>SUMIFS('BOM Cycle Calc'!$D:$D,'BOM Cycle Calc'!$B:$B,A592,'BOM Cycle Calc'!$C:$C,B592)</f>
        <v/>
      </c>
      <c r="D592" s="0">
        <f>VLOOKUP(B592,'Item Tier Lookup'!$A:$B,2,FALSE)</f>
        <v/>
      </c>
      <c r="E592" s="0">
        <f>VLOOKUP(D592,'Tier Params'!$A:$B,2,FALSE)</f>
        <v/>
      </c>
      <c r="F592" s="0">
        <f>VLOOKUP(D592,'Tier Params'!$A:$C,3,FALSE)</f>
        <v/>
      </c>
      <c r="G592" s="0">
        <f>CEILING(C592/F592,1)</f>
        <v/>
      </c>
      <c r="H592" s="0">
        <f>G592*E592</f>
        <v/>
      </c>
    </row>
    <row r="593">
      <c r="A593" s="0" t="inlineStr">
        <is>
          <t>Structure Market Network</t>
        </is>
      </c>
      <c r="B593" s="0" t="inlineStr">
        <is>
          <t>Industrial Fibers</t>
        </is>
      </c>
      <c r="C593" s="0">
        <f>SUMIFS('BOM Cycle Calc'!$D:$D,'BOM Cycle Calc'!$B:$B,A593,'BOM Cycle Calc'!$C:$C,B593)</f>
        <v/>
      </c>
      <c r="D593" s="0">
        <f>VLOOKUP(B593,'Item Tier Lookup'!$A:$B,2,FALSE)</f>
        <v/>
      </c>
      <c r="E593" s="0">
        <f>VLOOKUP(D593,'Tier Params'!$A:$B,2,FALSE)</f>
        <v/>
      </c>
      <c r="F593" s="0">
        <f>VLOOKUP(D593,'Tier Params'!$A:$C,3,FALSE)</f>
        <v/>
      </c>
      <c r="G593" s="0">
        <f>CEILING(C593/F593,1)</f>
        <v/>
      </c>
      <c r="H593" s="0">
        <f>G593*E593</f>
        <v/>
      </c>
    </row>
    <row r="594">
      <c r="A594" s="0" t="inlineStr">
        <is>
          <t>Structure Market Network</t>
        </is>
      </c>
      <c r="B594" s="0" t="inlineStr">
        <is>
          <t>Autotrophs</t>
        </is>
      </c>
      <c r="C594" s="0">
        <f>SUMIFS('BOM Cycle Calc'!$D:$D,'BOM Cycle Calc'!$B:$B,A594,'BOM Cycle Calc'!$C:$C,B594)</f>
        <v/>
      </c>
      <c r="D594" s="0">
        <f>VLOOKUP(B594,'Item Tier Lookup'!$A:$B,2,FALSE)</f>
        <v/>
      </c>
      <c r="E594" s="0">
        <f>VLOOKUP(D594,'Tier Params'!$A:$B,2,FALSE)</f>
        <v/>
      </c>
      <c r="F594" s="0">
        <f>VLOOKUP(D594,'Tier Params'!$A:$C,3,FALSE)</f>
        <v/>
      </c>
      <c r="G594" s="0">
        <f>CEILING(C594/F594,1)</f>
        <v/>
      </c>
      <c r="H594" s="0">
        <f>G594*E594</f>
        <v/>
      </c>
    </row>
    <row r="595">
      <c r="A595" s="0" t="inlineStr">
        <is>
          <t>Structure Market Network</t>
        </is>
      </c>
      <c r="B595" s="0" t="inlineStr">
        <is>
          <t>Neocoms</t>
        </is>
      </c>
      <c r="C595" s="0">
        <f>SUMIFS('BOM Cycle Calc'!$D:$D,'BOM Cycle Calc'!$B:$B,A595,'BOM Cycle Calc'!$C:$C,B595)</f>
        <v/>
      </c>
      <c r="D595" s="0">
        <f>VLOOKUP(B595,'Item Tier Lookup'!$A:$B,2,FALSE)</f>
        <v/>
      </c>
      <c r="E595" s="0">
        <f>VLOOKUP(D595,'Tier Params'!$A:$B,2,FALSE)</f>
        <v/>
      </c>
      <c r="F595" s="0">
        <f>VLOOKUP(D595,'Tier Params'!$A:$C,3,FALSE)</f>
        <v/>
      </c>
      <c r="G595" s="0">
        <f>CEILING(C595/F595,1)</f>
        <v/>
      </c>
      <c r="H595" s="0">
        <f>G595*E595</f>
        <v/>
      </c>
    </row>
    <row r="596">
      <c r="A596" s="0" t="inlineStr">
        <is>
          <t>Structure Market Network</t>
        </is>
      </c>
      <c r="B596" s="0" t="inlineStr">
        <is>
          <t>Biocells</t>
        </is>
      </c>
      <c r="C596" s="0">
        <f>SUMIFS('BOM Cycle Calc'!$D:$D,'BOM Cycle Calc'!$B:$B,A596,'BOM Cycle Calc'!$C:$C,B596)</f>
        <v/>
      </c>
      <c r="D596" s="0">
        <f>VLOOKUP(B596,'Item Tier Lookup'!$A:$B,2,FALSE)</f>
        <v/>
      </c>
      <c r="E596" s="0">
        <f>VLOOKUP(D596,'Tier Params'!$A:$B,2,FALSE)</f>
        <v/>
      </c>
      <c r="F596" s="0">
        <f>VLOOKUP(D596,'Tier Params'!$A:$C,3,FALSE)</f>
        <v/>
      </c>
      <c r="G596" s="0">
        <f>CEILING(C596/F596,1)</f>
        <v/>
      </c>
      <c r="H596" s="0">
        <f>G596*E596</f>
        <v/>
      </c>
    </row>
    <row r="597">
      <c r="A597" s="0" t="inlineStr">
        <is>
          <t>Structure Market Network</t>
        </is>
      </c>
      <c r="B597" s="0" t="inlineStr">
        <is>
          <t>Biofuels</t>
        </is>
      </c>
      <c r="C597" s="0">
        <f>SUMIFS('BOM Cycle Calc'!$D:$D,'BOM Cycle Calc'!$B:$B,A597,'BOM Cycle Calc'!$C:$C,B597)</f>
        <v/>
      </c>
      <c r="D597" s="0">
        <f>VLOOKUP(B597,'Item Tier Lookup'!$A:$B,2,FALSE)</f>
        <v/>
      </c>
      <c r="E597" s="0">
        <f>VLOOKUP(D597,'Tier Params'!$A:$B,2,FALSE)</f>
        <v/>
      </c>
      <c r="F597" s="0">
        <f>VLOOKUP(D597,'Tier Params'!$A:$C,3,FALSE)</f>
        <v/>
      </c>
      <c r="G597" s="0">
        <f>CEILING(C597/F597,1)</f>
        <v/>
      </c>
      <c r="H597" s="0">
        <f>G597*E597</f>
        <v/>
      </c>
    </row>
    <row r="598">
      <c r="A598" s="0" t="inlineStr">
        <is>
          <t>Structure Market Network</t>
        </is>
      </c>
      <c r="B598" s="0" t="inlineStr">
        <is>
          <t>Carbon Compounds</t>
        </is>
      </c>
      <c r="C598" s="0">
        <f>SUMIFS('BOM Cycle Calc'!$D:$D,'BOM Cycle Calc'!$B:$B,A598,'BOM Cycle Calc'!$C:$C,B598)</f>
        <v/>
      </c>
      <c r="D598" s="0">
        <f>VLOOKUP(B598,'Item Tier Lookup'!$A:$B,2,FALSE)</f>
        <v/>
      </c>
      <c r="E598" s="0">
        <f>VLOOKUP(D598,'Tier Params'!$A:$B,2,FALSE)</f>
        <v/>
      </c>
      <c r="F598" s="0">
        <f>VLOOKUP(D598,'Tier Params'!$A:$C,3,FALSE)</f>
        <v/>
      </c>
      <c r="G598" s="0">
        <f>CEILING(C598/F598,1)</f>
        <v/>
      </c>
      <c r="H598" s="0">
        <f>G598*E598</f>
        <v/>
      </c>
    </row>
    <row r="599">
      <c r="A599" s="0" t="inlineStr">
        <is>
          <t>Structure Market Network</t>
        </is>
      </c>
      <c r="B599" s="0" t="inlineStr">
        <is>
          <t>Precious Metals</t>
        </is>
      </c>
      <c r="C599" s="0">
        <f>SUMIFS('BOM Cycle Calc'!$D:$D,'BOM Cycle Calc'!$B:$B,A599,'BOM Cycle Calc'!$C:$C,B599)</f>
        <v/>
      </c>
      <c r="D599" s="0">
        <f>VLOOKUP(B599,'Item Tier Lookup'!$A:$B,2,FALSE)</f>
        <v/>
      </c>
      <c r="E599" s="0">
        <f>VLOOKUP(D599,'Tier Params'!$A:$B,2,FALSE)</f>
        <v/>
      </c>
      <c r="F599" s="0">
        <f>VLOOKUP(D599,'Tier Params'!$A:$C,3,FALSE)</f>
        <v/>
      </c>
      <c r="G599" s="0">
        <f>CEILING(C599/F599,1)</f>
        <v/>
      </c>
      <c r="H599" s="0">
        <f>G599*E599</f>
        <v/>
      </c>
    </row>
    <row r="600">
      <c r="A600" s="0" t="inlineStr">
        <is>
          <t>Structure Market Network</t>
        </is>
      </c>
      <c r="B600" s="0" t="inlineStr">
        <is>
          <t>Noble Metals</t>
        </is>
      </c>
      <c r="C600" s="0">
        <f>SUMIFS('BOM Cycle Calc'!$D:$D,'BOM Cycle Calc'!$B:$B,A600,'BOM Cycle Calc'!$C:$C,B600)</f>
        <v/>
      </c>
      <c r="D600" s="0">
        <f>VLOOKUP(B600,'Item Tier Lookup'!$A:$B,2,FALSE)</f>
        <v/>
      </c>
      <c r="E600" s="0">
        <f>VLOOKUP(D600,'Tier Params'!$A:$B,2,FALSE)</f>
        <v/>
      </c>
      <c r="F600" s="0">
        <f>VLOOKUP(D600,'Tier Params'!$A:$C,3,FALSE)</f>
        <v/>
      </c>
      <c r="G600" s="0">
        <f>CEILING(C600/F600,1)</f>
        <v/>
      </c>
      <c r="H600" s="0">
        <f>G600*E600</f>
        <v/>
      </c>
    </row>
    <row r="601">
      <c r="A601" s="0" t="inlineStr">
        <is>
          <t>Structure Market Network</t>
        </is>
      </c>
      <c r="B601" s="0" t="inlineStr">
        <is>
          <t>Silicate Glass</t>
        </is>
      </c>
      <c r="C601" s="0">
        <f>SUMIFS('BOM Cycle Calc'!$D:$D,'BOM Cycle Calc'!$B:$B,A601,'BOM Cycle Calc'!$C:$C,B601)</f>
        <v/>
      </c>
      <c r="D601" s="0">
        <f>VLOOKUP(B601,'Item Tier Lookup'!$A:$B,2,FALSE)</f>
        <v/>
      </c>
      <c r="E601" s="0">
        <f>VLOOKUP(D601,'Tier Params'!$A:$B,2,FALSE)</f>
        <v/>
      </c>
      <c r="F601" s="0">
        <f>VLOOKUP(D601,'Tier Params'!$A:$C,3,FALSE)</f>
        <v/>
      </c>
      <c r="G601" s="0">
        <f>CEILING(C601/F601,1)</f>
        <v/>
      </c>
      <c r="H601" s="0">
        <f>G601*E601</f>
        <v/>
      </c>
    </row>
    <row r="602">
      <c r="A602" s="0" t="inlineStr">
        <is>
          <t>Structure Market Network</t>
        </is>
      </c>
      <c r="B602" s="0" t="inlineStr">
        <is>
          <t>Oxidizing Compound</t>
        </is>
      </c>
      <c r="C602" s="0">
        <f>SUMIFS('BOM Cycle Calc'!$D:$D,'BOM Cycle Calc'!$B:$B,A602,'BOM Cycle Calc'!$C:$C,B602)</f>
        <v/>
      </c>
      <c r="D602" s="0">
        <f>VLOOKUP(B602,'Item Tier Lookup'!$A:$B,2,FALSE)</f>
        <v/>
      </c>
      <c r="E602" s="0">
        <f>VLOOKUP(D602,'Tier Params'!$A:$B,2,FALSE)</f>
        <v/>
      </c>
      <c r="F602" s="0">
        <f>VLOOKUP(D602,'Tier Params'!$A:$C,3,FALSE)</f>
        <v/>
      </c>
      <c r="G602" s="0">
        <f>CEILING(C602/F602,1)</f>
        <v/>
      </c>
      <c r="H602" s="0">
        <f>G602*E602</f>
        <v/>
      </c>
    </row>
    <row r="603">
      <c r="A603" s="0" t="inlineStr">
        <is>
          <t>Structure Market Network</t>
        </is>
      </c>
      <c r="B603" s="0" t="inlineStr">
        <is>
          <t>Reactive Gas</t>
        </is>
      </c>
      <c r="C603" s="0">
        <f>SUMIFS('BOM Cycle Calc'!$D:$D,'BOM Cycle Calc'!$B:$B,A603,'BOM Cycle Calc'!$C:$C,B603)</f>
        <v/>
      </c>
      <c r="D603" s="0">
        <f>VLOOKUP(B603,'Item Tier Lookup'!$A:$B,2,FALSE)</f>
        <v/>
      </c>
      <c r="E603" s="0">
        <f>VLOOKUP(D603,'Tier Params'!$A:$B,2,FALSE)</f>
        <v/>
      </c>
      <c r="F603" s="0">
        <f>VLOOKUP(D603,'Tier Params'!$A:$C,3,FALSE)</f>
        <v/>
      </c>
      <c r="G603" s="0">
        <f>CEILING(C603/F603,1)</f>
        <v/>
      </c>
      <c r="H603" s="0">
        <f>G603*E603</f>
        <v/>
      </c>
    </row>
    <row r="604">
      <c r="A604" s="0" t="inlineStr">
        <is>
          <t>Structure Market Network</t>
        </is>
      </c>
      <c r="B604" s="0" t="inlineStr">
        <is>
          <t>High-Tech Transmitters</t>
        </is>
      </c>
      <c r="C604" s="0">
        <f>SUMIFS('BOM Cycle Calc'!$D:$D,'BOM Cycle Calc'!$B:$B,A604,'BOM Cycle Calc'!$C:$C,B604)</f>
        <v/>
      </c>
      <c r="D604" s="0">
        <f>VLOOKUP(B604,'Item Tier Lookup'!$A:$B,2,FALSE)</f>
        <v/>
      </c>
      <c r="E604" s="0">
        <f>VLOOKUP(D604,'Tier Params'!$A:$B,2,FALSE)</f>
        <v/>
      </c>
      <c r="F604" s="0">
        <f>VLOOKUP(D604,'Tier Params'!$A:$C,3,FALSE)</f>
        <v/>
      </c>
      <c r="G604" s="0">
        <f>CEILING(C604/F604,1)</f>
        <v/>
      </c>
      <c r="H604" s="0">
        <f>G604*E604</f>
        <v/>
      </c>
    </row>
    <row r="605">
      <c r="A605" s="0" t="inlineStr">
        <is>
          <t>Structure Market Network</t>
        </is>
      </c>
      <c r="B605" s="0" t="inlineStr">
        <is>
          <t>Transmitter</t>
        </is>
      </c>
      <c r="C605" s="0">
        <f>SUMIFS('BOM Cycle Calc'!$D:$D,'BOM Cycle Calc'!$B:$B,A605,'BOM Cycle Calc'!$C:$C,B605)</f>
        <v/>
      </c>
      <c r="D605" s="0">
        <f>VLOOKUP(B605,'Item Tier Lookup'!$A:$B,2,FALSE)</f>
        <v/>
      </c>
      <c r="E605" s="0">
        <f>VLOOKUP(D605,'Tier Params'!$A:$B,2,FALSE)</f>
        <v/>
      </c>
      <c r="F605" s="0">
        <f>VLOOKUP(D605,'Tier Params'!$A:$C,3,FALSE)</f>
        <v/>
      </c>
      <c r="G605" s="0">
        <f>CEILING(C605/F605,1)</f>
        <v/>
      </c>
      <c r="H605" s="0">
        <f>G605*E605</f>
        <v/>
      </c>
    </row>
    <row r="606">
      <c r="A606" s="0" t="inlineStr">
        <is>
          <t>Structure Market Network</t>
        </is>
      </c>
      <c r="B606" s="0" t="inlineStr">
        <is>
          <t>Chiral Structures</t>
        </is>
      </c>
      <c r="C606" s="0">
        <f>SUMIFS('BOM Cycle Calc'!$D:$D,'BOM Cycle Calc'!$B:$B,A606,'BOM Cycle Calc'!$C:$C,B606)</f>
        <v/>
      </c>
      <c r="D606" s="0">
        <f>VLOOKUP(B606,'Item Tier Lookup'!$A:$B,2,FALSE)</f>
        <v/>
      </c>
      <c r="E606" s="0">
        <f>VLOOKUP(D606,'Tier Params'!$A:$B,2,FALSE)</f>
        <v/>
      </c>
      <c r="F606" s="0">
        <f>VLOOKUP(D606,'Tier Params'!$A:$C,3,FALSE)</f>
        <v/>
      </c>
      <c r="G606" s="0">
        <f>CEILING(C606/F606,1)</f>
        <v/>
      </c>
      <c r="H606" s="0">
        <f>G606*E606</f>
        <v/>
      </c>
    </row>
    <row r="607">
      <c r="A607" s="0" t="inlineStr">
        <is>
          <t>Structure Market Network</t>
        </is>
      </c>
      <c r="B607" s="0" t="inlineStr">
        <is>
          <t>Non-CS Crystals</t>
        </is>
      </c>
      <c r="C607" s="0">
        <f>SUMIFS('BOM Cycle Calc'!$D:$D,'BOM Cycle Calc'!$B:$B,A607,'BOM Cycle Calc'!$C:$C,B607)</f>
        <v/>
      </c>
      <c r="D607" s="0">
        <f>VLOOKUP(B607,'Item Tier Lookup'!$A:$B,2,FALSE)</f>
        <v/>
      </c>
      <c r="E607" s="0">
        <f>VLOOKUP(D607,'Tier Params'!$A:$B,2,FALSE)</f>
        <v/>
      </c>
      <c r="F607" s="0">
        <f>VLOOKUP(D607,'Tier Params'!$A:$C,3,FALSE)</f>
        <v/>
      </c>
      <c r="G607" s="0">
        <f>CEILING(C607/F607,1)</f>
        <v/>
      </c>
      <c r="H607" s="0">
        <f>G607*E607</f>
        <v/>
      </c>
    </row>
    <row r="608">
      <c r="A608" s="0" t="inlineStr">
        <is>
          <t>Structure Market Network</t>
        </is>
      </c>
      <c r="B608" s="0" t="inlineStr">
        <is>
          <t>Plasmoids</t>
        </is>
      </c>
      <c r="C608" s="0">
        <f>SUMIFS('BOM Cycle Calc'!$D:$D,'BOM Cycle Calc'!$B:$B,A608,'BOM Cycle Calc'!$C:$C,B608)</f>
        <v/>
      </c>
      <c r="D608" s="0">
        <f>VLOOKUP(B608,'Item Tier Lookup'!$A:$B,2,FALSE)</f>
        <v/>
      </c>
      <c r="E608" s="0">
        <f>VLOOKUP(D608,'Tier Params'!$A:$B,2,FALSE)</f>
        <v/>
      </c>
      <c r="F608" s="0">
        <f>VLOOKUP(D608,'Tier Params'!$A:$C,3,FALSE)</f>
        <v/>
      </c>
      <c r="G608" s="0">
        <f>CEILING(C608/F608,1)</f>
        <v/>
      </c>
      <c r="H608" s="0">
        <f>G608*E608</f>
        <v/>
      </c>
    </row>
    <row r="609">
      <c r="A609" s="0" t="inlineStr">
        <is>
          <t>Structure Market Network</t>
        </is>
      </c>
      <c r="B609" s="0" t="inlineStr">
        <is>
          <t>Suspended Plasma</t>
        </is>
      </c>
      <c r="C609" s="0">
        <f>SUMIFS('BOM Cycle Calc'!$D:$D,'BOM Cycle Calc'!$B:$B,A609,'BOM Cycle Calc'!$C:$C,B609)</f>
        <v/>
      </c>
      <c r="D609" s="0">
        <f>VLOOKUP(B609,'Item Tier Lookup'!$A:$B,2,FALSE)</f>
        <v/>
      </c>
      <c r="E609" s="0">
        <f>VLOOKUP(D609,'Tier Params'!$A:$B,2,FALSE)</f>
        <v/>
      </c>
      <c r="F609" s="0">
        <f>VLOOKUP(D609,'Tier Params'!$A:$C,3,FALSE)</f>
        <v/>
      </c>
      <c r="G609" s="0">
        <f>CEILING(C609/F609,1)</f>
        <v/>
      </c>
      <c r="H609" s="0">
        <f>G609*E609</f>
        <v/>
      </c>
    </row>
    <row r="610">
      <c r="A610" s="0" t="inlineStr">
        <is>
          <t>Structure Market Network</t>
        </is>
      </c>
      <c r="B610" s="0" t="inlineStr">
        <is>
          <t>Polyaramids</t>
        </is>
      </c>
      <c r="C610" s="0">
        <f>SUMIFS('BOM Cycle Calc'!$D:$D,'BOM Cycle Calc'!$B:$B,A610,'BOM Cycle Calc'!$C:$C,B610)</f>
        <v/>
      </c>
      <c r="D610" s="0">
        <f>VLOOKUP(B610,'Item Tier Lookup'!$A:$B,2,FALSE)</f>
        <v/>
      </c>
      <c r="E610" s="0">
        <f>VLOOKUP(D610,'Tier Params'!$A:$B,2,FALSE)</f>
        <v/>
      </c>
      <c r="F610" s="0">
        <f>VLOOKUP(D610,'Tier Params'!$A:$C,3,FALSE)</f>
        <v/>
      </c>
      <c r="G610" s="0">
        <f>CEILING(C610/F610,1)</f>
        <v/>
      </c>
      <c r="H610" s="0">
        <f>G610*E610</f>
        <v/>
      </c>
    </row>
    <row r="611">
      <c r="A611" s="0" t="inlineStr">
        <is>
          <t>Structure Market Network</t>
        </is>
      </c>
      <c r="B611" s="0" t="inlineStr">
        <is>
          <t>Nano-Factory</t>
        </is>
      </c>
      <c r="C611" s="0">
        <f>SUMIFS('BOM Cycle Calc'!$D:$D,'BOM Cycle Calc'!$B:$B,A611,'BOM Cycle Calc'!$C:$C,B611)</f>
        <v/>
      </c>
      <c r="D611" s="0">
        <f>VLOOKUP(B611,'Item Tier Lookup'!$A:$B,2,FALSE)</f>
        <v/>
      </c>
      <c r="E611" s="0">
        <f>VLOOKUP(D611,'Tier Params'!$A:$B,2,FALSE)</f>
        <v/>
      </c>
      <c r="F611" s="0">
        <f>VLOOKUP(D611,'Tier Params'!$A:$C,3,FALSE)</f>
        <v/>
      </c>
      <c r="G611" s="0">
        <f>CEILING(C611/F611,1)</f>
        <v/>
      </c>
      <c r="H611" s="0">
        <f>G611*E611</f>
        <v/>
      </c>
    </row>
    <row r="612">
      <c r="A612" s="0" t="inlineStr">
        <is>
          <t>Structure Market Network</t>
        </is>
      </c>
      <c r="B612" s="0" t="inlineStr">
        <is>
          <t>Industrial Explosives</t>
        </is>
      </c>
      <c r="C612" s="0">
        <f>SUMIFS('BOM Cycle Calc'!$D:$D,'BOM Cycle Calc'!$B:$B,A612,'BOM Cycle Calc'!$C:$C,B612)</f>
        <v/>
      </c>
      <c r="D612" s="0">
        <f>VLOOKUP(B612,'Item Tier Lookup'!$A:$B,2,FALSE)</f>
        <v/>
      </c>
      <c r="E612" s="0">
        <f>VLOOKUP(D612,'Tier Params'!$A:$B,2,FALSE)</f>
        <v/>
      </c>
      <c r="F612" s="0">
        <f>VLOOKUP(D612,'Tier Params'!$A:$C,3,FALSE)</f>
        <v/>
      </c>
      <c r="G612" s="0">
        <f>CEILING(C612/F612,1)</f>
        <v/>
      </c>
      <c r="H612" s="0">
        <f>G612*E612</f>
        <v/>
      </c>
    </row>
    <row r="613">
      <c r="A613" s="0" t="inlineStr">
        <is>
          <t>Structure Market Network</t>
        </is>
      </c>
      <c r="B613" s="0" t="inlineStr">
        <is>
          <t>Fertilizer</t>
        </is>
      </c>
      <c r="C613" s="0">
        <f>SUMIFS('BOM Cycle Calc'!$D:$D,'BOM Cycle Calc'!$B:$B,A613,'BOM Cycle Calc'!$C:$C,B613)</f>
        <v/>
      </c>
      <c r="D613" s="0">
        <f>VLOOKUP(B613,'Item Tier Lookup'!$A:$B,2,FALSE)</f>
        <v/>
      </c>
      <c r="E613" s="0">
        <f>VLOOKUP(D613,'Tier Params'!$A:$B,2,FALSE)</f>
        <v/>
      </c>
      <c r="F613" s="0">
        <f>VLOOKUP(D613,'Tier Params'!$A:$C,3,FALSE)</f>
        <v/>
      </c>
      <c r="G613" s="0">
        <f>CEILING(C613/F613,1)</f>
        <v/>
      </c>
      <c r="H613" s="0">
        <f>G613*E613</f>
        <v/>
      </c>
    </row>
    <row r="614">
      <c r="A614" s="0" t="inlineStr">
        <is>
          <t>Structure Market Network</t>
        </is>
      </c>
      <c r="B614" s="0" t="inlineStr">
        <is>
          <t>Bacteria</t>
        </is>
      </c>
      <c r="C614" s="0">
        <f>SUMIFS('BOM Cycle Calc'!$D:$D,'BOM Cycle Calc'!$B:$B,A614,'BOM Cycle Calc'!$C:$C,B614)</f>
        <v/>
      </c>
      <c r="D614" s="0">
        <f>VLOOKUP(B614,'Item Tier Lookup'!$A:$B,2,FALSE)</f>
        <v/>
      </c>
      <c r="E614" s="0">
        <f>VLOOKUP(D614,'Tier Params'!$A:$B,2,FALSE)</f>
        <v/>
      </c>
      <c r="F614" s="0">
        <f>VLOOKUP(D614,'Tier Params'!$A:$C,3,FALSE)</f>
        <v/>
      </c>
      <c r="G614" s="0">
        <f>CEILING(C614/F614,1)</f>
        <v/>
      </c>
      <c r="H614" s="0">
        <f>G614*E614</f>
        <v/>
      </c>
    </row>
    <row r="615">
      <c r="A615" s="0" t="inlineStr">
        <is>
          <t>Structure Market Network</t>
        </is>
      </c>
      <c r="B615" s="0" t="inlineStr">
        <is>
          <t>Microorganisms</t>
        </is>
      </c>
      <c r="C615" s="0">
        <f>SUMIFS('BOM Cycle Calc'!$D:$D,'BOM Cycle Calc'!$B:$B,A615,'BOM Cycle Calc'!$C:$C,B615)</f>
        <v/>
      </c>
      <c r="D615" s="0">
        <f>VLOOKUP(B615,'Item Tier Lookup'!$A:$B,2,FALSE)</f>
        <v/>
      </c>
      <c r="E615" s="0">
        <f>VLOOKUP(D615,'Tier Params'!$A:$B,2,FALSE)</f>
        <v/>
      </c>
      <c r="F615" s="0">
        <f>VLOOKUP(D615,'Tier Params'!$A:$C,3,FALSE)</f>
        <v/>
      </c>
      <c r="G615" s="0">
        <f>CEILING(C615/F615,1)</f>
        <v/>
      </c>
      <c r="H615" s="0">
        <f>G615*E615</f>
        <v/>
      </c>
    </row>
    <row r="616">
      <c r="A616" s="0" t="inlineStr">
        <is>
          <t>Structure Market Network</t>
        </is>
      </c>
      <c r="B616" s="0" t="inlineStr">
        <is>
          <t>Proteins</t>
        </is>
      </c>
      <c r="C616" s="0">
        <f>SUMIFS('BOM Cycle Calc'!$D:$D,'BOM Cycle Calc'!$B:$B,A616,'BOM Cycle Calc'!$C:$C,B616)</f>
        <v/>
      </c>
      <c r="D616" s="0">
        <f>VLOOKUP(B616,'Item Tier Lookup'!$A:$B,2,FALSE)</f>
        <v/>
      </c>
      <c r="E616" s="0">
        <f>VLOOKUP(D616,'Tier Params'!$A:$B,2,FALSE)</f>
        <v/>
      </c>
      <c r="F616" s="0">
        <f>VLOOKUP(D616,'Tier Params'!$A:$C,3,FALSE)</f>
        <v/>
      </c>
      <c r="G616" s="0">
        <f>CEILING(C616/F616,1)</f>
        <v/>
      </c>
      <c r="H616" s="0">
        <f>G616*E616</f>
        <v/>
      </c>
    </row>
    <row r="617">
      <c r="A617" s="0" t="inlineStr">
        <is>
          <t>Structure Market Network</t>
        </is>
      </c>
      <c r="B617" s="0" t="inlineStr">
        <is>
          <t>Complex Organisms</t>
        </is>
      </c>
      <c r="C617" s="0">
        <f>SUMIFS('BOM Cycle Calc'!$D:$D,'BOM Cycle Calc'!$B:$B,A617,'BOM Cycle Calc'!$C:$C,B617)</f>
        <v/>
      </c>
      <c r="D617" s="0">
        <f>VLOOKUP(B617,'Item Tier Lookup'!$A:$B,2,FALSE)</f>
        <v/>
      </c>
      <c r="E617" s="0">
        <f>VLOOKUP(D617,'Tier Params'!$A:$B,2,FALSE)</f>
        <v/>
      </c>
      <c r="F617" s="0">
        <f>VLOOKUP(D617,'Tier Params'!$A:$C,3,FALSE)</f>
        <v/>
      </c>
      <c r="G617" s="0">
        <f>CEILING(C617/F617,1)</f>
        <v/>
      </c>
      <c r="H617" s="0">
        <f>G617*E617</f>
        <v/>
      </c>
    </row>
    <row r="618">
      <c r="A618" s="0" t="inlineStr">
        <is>
          <t>Structure Market Network</t>
        </is>
      </c>
      <c r="B618" s="0" t="inlineStr">
        <is>
          <t>Polytextiles</t>
        </is>
      </c>
      <c r="C618" s="0">
        <f>SUMIFS('BOM Cycle Calc'!$D:$D,'BOM Cycle Calc'!$B:$B,A618,'BOM Cycle Calc'!$C:$C,B618)</f>
        <v/>
      </c>
      <c r="D618" s="0">
        <f>VLOOKUP(B618,'Item Tier Lookup'!$A:$B,2,FALSE)</f>
        <v/>
      </c>
      <c r="E618" s="0">
        <f>VLOOKUP(D618,'Tier Params'!$A:$B,2,FALSE)</f>
        <v/>
      </c>
      <c r="F618" s="0">
        <f>VLOOKUP(D618,'Tier Params'!$A:$C,3,FALSE)</f>
        <v/>
      </c>
      <c r="G618" s="0">
        <f>CEILING(C618/F618,1)</f>
        <v/>
      </c>
      <c r="H618" s="0">
        <f>G618*E618</f>
        <v/>
      </c>
    </row>
    <row r="619">
      <c r="A619" s="0" t="inlineStr">
        <is>
          <t>Structure Market Network</t>
        </is>
      </c>
      <c r="B619" s="0" t="inlineStr">
        <is>
          <t>Ukomi Superconductors</t>
        </is>
      </c>
      <c r="C619" s="0">
        <f>SUMIFS('BOM Cycle Calc'!$D:$D,'BOM Cycle Calc'!$B:$B,A619,'BOM Cycle Calc'!$C:$C,B619)</f>
        <v/>
      </c>
      <c r="D619" s="0">
        <f>VLOOKUP(B619,'Item Tier Lookup'!$A:$B,2,FALSE)</f>
        <v/>
      </c>
      <c r="E619" s="0">
        <f>VLOOKUP(D619,'Tier Params'!$A:$B,2,FALSE)</f>
        <v/>
      </c>
      <c r="F619" s="0">
        <f>VLOOKUP(D619,'Tier Params'!$A:$C,3,FALSE)</f>
        <v/>
      </c>
      <c r="G619" s="0">
        <f>CEILING(C619/F619,1)</f>
        <v/>
      </c>
      <c r="H619" s="0">
        <f>G619*E619</f>
        <v/>
      </c>
    </row>
    <row r="620">
      <c r="A620" s="0" t="inlineStr">
        <is>
          <t>Structure Market Network</t>
        </is>
      </c>
      <c r="B620" s="0" t="inlineStr">
        <is>
          <t>Synthetic Oil</t>
        </is>
      </c>
      <c r="C620" s="0">
        <f>SUMIFS('BOM Cycle Calc'!$D:$D,'BOM Cycle Calc'!$B:$B,A620,'BOM Cycle Calc'!$C:$C,B620)</f>
        <v/>
      </c>
      <c r="D620" s="0">
        <f>VLOOKUP(B620,'Item Tier Lookup'!$A:$B,2,FALSE)</f>
        <v/>
      </c>
      <c r="E620" s="0">
        <f>VLOOKUP(D620,'Tier Params'!$A:$B,2,FALSE)</f>
        <v/>
      </c>
      <c r="F620" s="0">
        <f>VLOOKUP(D620,'Tier Params'!$A:$C,3,FALSE)</f>
        <v/>
      </c>
      <c r="G620" s="0">
        <f>CEILING(C620/F620,1)</f>
        <v/>
      </c>
      <c r="H620" s="0">
        <f>G620*E620</f>
        <v/>
      </c>
    </row>
    <row r="621">
      <c r="A621" s="0" t="inlineStr">
        <is>
          <t>Structure Market Network</t>
        </is>
      </c>
      <c r="B621" s="0" t="inlineStr">
        <is>
          <t>Electrolytes</t>
        </is>
      </c>
      <c r="C621" s="0">
        <f>SUMIFS('BOM Cycle Calc'!$D:$D,'BOM Cycle Calc'!$B:$B,A621,'BOM Cycle Calc'!$C:$C,B621)</f>
        <v/>
      </c>
      <c r="D621" s="0">
        <f>VLOOKUP(B621,'Item Tier Lookup'!$A:$B,2,FALSE)</f>
        <v/>
      </c>
      <c r="E621" s="0">
        <f>VLOOKUP(D621,'Tier Params'!$A:$B,2,FALSE)</f>
        <v/>
      </c>
      <c r="F621" s="0">
        <f>VLOOKUP(D621,'Tier Params'!$A:$C,3,FALSE)</f>
        <v/>
      </c>
      <c r="G621" s="0">
        <f>CEILING(C621/F621,1)</f>
        <v/>
      </c>
      <c r="H621" s="0">
        <f>G621*E621</f>
        <v/>
      </c>
    </row>
    <row r="622">
      <c r="A622" s="0" t="inlineStr">
        <is>
          <t>Structure Market Network</t>
        </is>
      </c>
      <c r="B622" s="0" t="inlineStr">
        <is>
          <t>Ionic Solutions</t>
        </is>
      </c>
      <c r="C622" s="0">
        <f>SUMIFS('BOM Cycle Calc'!$D:$D,'BOM Cycle Calc'!$B:$B,A622,'BOM Cycle Calc'!$C:$C,B622)</f>
        <v/>
      </c>
      <c r="D622" s="0">
        <f>VLOOKUP(B622,'Item Tier Lookup'!$A:$B,2,FALSE)</f>
        <v/>
      </c>
      <c r="E622" s="0">
        <f>VLOOKUP(D622,'Tier Params'!$A:$B,2,FALSE)</f>
        <v/>
      </c>
      <c r="F622" s="0">
        <f>VLOOKUP(D622,'Tier Params'!$A:$C,3,FALSE)</f>
        <v/>
      </c>
      <c r="G622" s="0">
        <f>CEILING(C622/F622,1)</f>
        <v/>
      </c>
      <c r="H622" s="0">
        <f>G622*E622</f>
        <v/>
      </c>
    </row>
    <row r="623">
      <c r="A623" s="0" t="inlineStr">
        <is>
          <t>Structure Market Network</t>
        </is>
      </c>
      <c r="B623" s="0" t="inlineStr">
        <is>
          <t>Superconductors</t>
        </is>
      </c>
      <c r="C623" s="0">
        <f>SUMIFS('BOM Cycle Calc'!$D:$D,'BOM Cycle Calc'!$B:$B,A623,'BOM Cycle Calc'!$C:$C,B623)</f>
        <v/>
      </c>
      <c r="D623" s="0">
        <f>VLOOKUP(B623,'Item Tier Lookup'!$A:$B,2,FALSE)</f>
        <v/>
      </c>
      <c r="E623" s="0">
        <f>VLOOKUP(D623,'Tier Params'!$A:$B,2,FALSE)</f>
        <v/>
      </c>
      <c r="F623" s="0">
        <f>VLOOKUP(D623,'Tier Params'!$A:$C,3,FALSE)</f>
        <v/>
      </c>
      <c r="G623" s="0">
        <f>CEILING(C623/F623,1)</f>
        <v/>
      </c>
      <c r="H623" s="0">
        <f>G623*E623</f>
        <v/>
      </c>
    </row>
    <row r="624">
      <c r="A624" s="0" t="inlineStr">
        <is>
          <t>Structure Market Network</t>
        </is>
      </c>
      <c r="B624" s="0" t="inlineStr">
        <is>
          <t>Water</t>
        </is>
      </c>
      <c r="C624" s="0">
        <f>SUMIFS('BOM Cycle Calc'!$D:$D,'BOM Cycle Calc'!$B:$B,A624,'BOM Cycle Calc'!$C:$C,B624)</f>
        <v/>
      </c>
      <c r="D624" s="0">
        <f>VLOOKUP(B624,'Item Tier Lookup'!$A:$B,2,FALSE)</f>
        <v/>
      </c>
      <c r="E624" s="0">
        <f>VLOOKUP(D624,'Tier Params'!$A:$B,2,FALSE)</f>
        <v/>
      </c>
      <c r="F624" s="0">
        <f>VLOOKUP(D624,'Tier Params'!$A:$C,3,FALSE)</f>
        <v/>
      </c>
      <c r="G624" s="0">
        <f>CEILING(C624/F624,1)</f>
        <v/>
      </c>
      <c r="H624" s="0">
        <f>G624*E624</f>
        <v/>
      </c>
    </row>
    <row r="625">
      <c r="A625" s="0" t="inlineStr">
        <is>
          <t>Structure Market Network</t>
        </is>
      </c>
      <c r="B625" s="0" t="inlineStr">
        <is>
          <t>Aqueous Liquids</t>
        </is>
      </c>
      <c r="C625" s="0">
        <f>SUMIFS('BOM Cycle Calc'!$D:$D,'BOM Cycle Calc'!$B:$B,A625,'BOM Cycle Calc'!$C:$C,B625)</f>
        <v/>
      </c>
      <c r="D625" s="0">
        <f>VLOOKUP(B625,'Item Tier Lookup'!$A:$B,2,FALSE)</f>
        <v/>
      </c>
      <c r="E625" s="0">
        <f>VLOOKUP(D625,'Tier Params'!$A:$B,2,FALSE)</f>
        <v/>
      </c>
      <c r="F625" s="0">
        <f>VLOOKUP(D625,'Tier Params'!$A:$C,3,FALSE)</f>
        <v/>
      </c>
      <c r="G625" s="0">
        <f>CEILING(C625/F625,1)</f>
        <v/>
      </c>
      <c r="H625" s="0">
        <f>G625*E625</f>
        <v/>
      </c>
    </row>
    <row r="626">
      <c r="A626" s="0" t="inlineStr">
        <is>
          <t>Structure Market Network</t>
        </is>
      </c>
      <c r="B626" s="0" t="inlineStr">
        <is>
          <t>Reactive Metals</t>
        </is>
      </c>
      <c r="C626" s="0">
        <f>SUMIFS('BOM Cycle Calc'!$D:$D,'BOM Cycle Calc'!$B:$B,A626,'BOM Cycle Calc'!$C:$C,B626)</f>
        <v/>
      </c>
      <c r="D626" s="0">
        <f>VLOOKUP(B626,'Item Tier Lookup'!$A:$B,2,FALSE)</f>
        <v/>
      </c>
      <c r="E626" s="0">
        <f>VLOOKUP(D626,'Tier Params'!$A:$B,2,FALSE)</f>
        <v/>
      </c>
      <c r="F626" s="0">
        <f>VLOOKUP(D626,'Tier Params'!$A:$C,3,FALSE)</f>
        <v/>
      </c>
      <c r="G626" s="0">
        <f>CEILING(C626/F626,1)</f>
        <v/>
      </c>
      <c r="H626" s="0">
        <f>G626*E626</f>
        <v/>
      </c>
    </row>
    <row r="627">
      <c r="A627" s="0" t="inlineStr">
        <is>
          <t>Structure Market Network</t>
        </is>
      </c>
      <c r="B627" s="0" t="inlineStr">
        <is>
          <t>Base Metals</t>
        </is>
      </c>
      <c r="C627" s="0">
        <f>SUMIFS('BOM Cycle Calc'!$D:$D,'BOM Cycle Calc'!$B:$B,A627,'BOM Cycle Calc'!$C:$C,B627)</f>
        <v/>
      </c>
      <c r="D627" s="0">
        <f>VLOOKUP(B627,'Item Tier Lookup'!$A:$B,2,FALSE)</f>
        <v/>
      </c>
      <c r="E627" s="0">
        <f>VLOOKUP(D627,'Tier Params'!$A:$B,2,FALSE)</f>
        <v/>
      </c>
      <c r="F627" s="0">
        <f>VLOOKUP(D627,'Tier Params'!$A:$C,3,FALSE)</f>
        <v/>
      </c>
      <c r="G627" s="0">
        <f>CEILING(C627/F627,1)</f>
        <v/>
      </c>
      <c r="H627" s="0">
        <f>G627*E627</f>
        <v/>
      </c>
    </row>
    <row r="628">
      <c r="A628" s="0" t="inlineStr">
        <is>
          <t>Structure Market Network</t>
        </is>
      </c>
      <c r="B628" s="0" t="inlineStr">
        <is>
          <t>Organic Mortar Applicators</t>
        </is>
      </c>
      <c r="C628" s="0">
        <f>SUMIFS('BOM Cycle Calc'!$D:$D,'BOM Cycle Calc'!$B:$B,A628,'BOM Cycle Calc'!$C:$C,B628)</f>
        <v/>
      </c>
      <c r="D628" s="0">
        <f>VLOOKUP(B628,'Item Tier Lookup'!$A:$B,2,FALSE)</f>
        <v/>
      </c>
      <c r="E628" s="0">
        <f>VLOOKUP(D628,'Tier Params'!$A:$B,2,FALSE)</f>
        <v/>
      </c>
      <c r="F628" s="0">
        <f>VLOOKUP(D628,'Tier Params'!$A:$C,3,FALSE)</f>
        <v/>
      </c>
      <c r="G628" s="0">
        <f>CEILING(C628/F628,1)</f>
        <v/>
      </c>
      <c r="H628" s="0">
        <f>G628*E628</f>
        <v/>
      </c>
    </row>
    <row r="629">
      <c r="A629" s="0" t="inlineStr">
        <is>
          <t>Structure Market Network</t>
        </is>
      </c>
      <c r="B629" s="0" t="inlineStr">
        <is>
          <t>Condensates</t>
        </is>
      </c>
      <c r="C629" s="0">
        <f>SUMIFS('BOM Cycle Calc'!$D:$D,'BOM Cycle Calc'!$B:$B,A629,'BOM Cycle Calc'!$C:$C,B629)</f>
        <v/>
      </c>
      <c r="D629" s="0">
        <f>VLOOKUP(B629,'Item Tier Lookup'!$A:$B,2,FALSE)</f>
        <v/>
      </c>
      <c r="E629" s="0">
        <f>VLOOKUP(D629,'Tier Params'!$A:$B,2,FALSE)</f>
        <v/>
      </c>
      <c r="F629" s="0">
        <f>VLOOKUP(D629,'Tier Params'!$A:$C,3,FALSE)</f>
        <v/>
      </c>
      <c r="G629" s="0">
        <f>CEILING(C629/F629,1)</f>
        <v/>
      </c>
      <c r="H629" s="0">
        <f>G629*E629</f>
        <v/>
      </c>
    </row>
    <row r="630">
      <c r="A630" s="0" t="inlineStr">
        <is>
          <t>Structure Market Network</t>
        </is>
      </c>
      <c r="B630" s="0" t="inlineStr">
        <is>
          <t>Coolant</t>
        </is>
      </c>
      <c r="C630" s="0">
        <f>SUMIFS('BOM Cycle Calc'!$D:$D,'BOM Cycle Calc'!$B:$B,A630,'BOM Cycle Calc'!$C:$C,B630)</f>
        <v/>
      </c>
      <c r="D630" s="0">
        <f>VLOOKUP(B630,'Item Tier Lookup'!$A:$B,2,FALSE)</f>
        <v/>
      </c>
      <c r="E630" s="0">
        <f>VLOOKUP(D630,'Tier Params'!$A:$B,2,FALSE)</f>
        <v/>
      </c>
      <c r="F630" s="0">
        <f>VLOOKUP(D630,'Tier Params'!$A:$C,3,FALSE)</f>
        <v/>
      </c>
      <c r="G630" s="0">
        <f>CEILING(C630/F630,1)</f>
        <v/>
      </c>
      <c r="H630" s="0">
        <f>G630*E630</f>
        <v/>
      </c>
    </row>
    <row r="631">
      <c r="A631" s="0" t="inlineStr">
        <is>
          <t>Structure Market Network</t>
        </is>
      </c>
      <c r="B631" s="0" t="inlineStr">
        <is>
          <t>Oxides</t>
        </is>
      </c>
      <c r="C631" s="0">
        <f>SUMIFS('BOM Cycle Calc'!$D:$D,'BOM Cycle Calc'!$B:$B,A631,'BOM Cycle Calc'!$C:$C,B631)</f>
        <v/>
      </c>
      <c r="D631" s="0">
        <f>VLOOKUP(B631,'Item Tier Lookup'!$A:$B,2,FALSE)</f>
        <v/>
      </c>
      <c r="E631" s="0">
        <f>VLOOKUP(D631,'Tier Params'!$A:$B,2,FALSE)</f>
        <v/>
      </c>
      <c r="F631" s="0">
        <f>VLOOKUP(D631,'Tier Params'!$A:$C,3,FALSE)</f>
        <v/>
      </c>
      <c r="G631" s="0">
        <f>CEILING(C631/F631,1)</f>
        <v/>
      </c>
      <c r="H631" s="0">
        <f>G631*E631</f>
        <v/>
      </c>
    </row>
    <row r="632">
      <c r="A632" s="0" t="inlineStr">
        <is>
          <t>Structure Market Network</t>
        </is>
      </c>
      <c r="B632" s="0" t="inlineStr">
        <is>
          <t>Robotics</t>
        </is>
      </c>
      <c r="C632" s="0">
        <f>SUMIFS('BOM Cycle Calc'!$D:$D,'BOM Cycle Calc'!$B:$B,A632,'BOM Cycle Calc'!$C:$C,B632)</f>
        <v/>
      </c>
      <c r="D632" s="0">
        <f>VLOOKUP(B632,'Item Tier Lookup'!$A:$B,2,FALSE)</f>
        <v/>
      </c>
      <c r="E632" s="0">
        <f>VLOOKUP(D632,'Tier Params'!$A:$B,2,FALSE)</f>
        <v/>
      </c>
      <c r="F632" s="0">
        <f>VLOOKUP(D632,'Tier Params'!$A:$C,3,FALSE)</f>
        <v/>
      </c>
      <c r="G632" s="0">
        <f>CEILING(C632/F632,1)</f>
        <v/>
      </c>
      <c r="H632" s="0">
        <f>G632*E632</f>
        <v/>
      </c>
    </row>
    <row r="633">
      <c r="A633" s="0" t="inlineStr">
        <is>
          <t>Structure Market Network</t>
        </is>
      </c>
      <c r="B633" s="0" t="inlineStr">
        <is>
          <t>Mechanical Parts</t>
        </is>
      </c>
      <c r="C633" s="0">
        <f>SUMIFS('BOM Cycle Calc'!$D:$D,'BOM Cycle Calc'!$B:$B,A633,'BOM Cycle Calc'!$C:$C,B633)</f>
        <v/>
      </c>
      <c r="D633" s="0">
        <f>VLOOKUP(B633,'Item Tier Lookup'!$A:$B,2,FALSE)</f>
        <v/>
      </c>
      <c r="E633" s="0">
        <f>VLOOKUP(D633,'Tier Params'!$A:$B,2,FALSE)</f>
        <v/>
      </c>
      <c r="F633" s="0">
        <f>VLOOKUP(D633,'Tier Params'!$A:$C,3,FALSE)</f>
        <v/>
      </c>
      <c r="G633" s="0">
        <f>CEILING(C633/F633,1)</f>
        <v/>
      </c>
      <c r="H633" s="0">
        <f>G633*E633</f>
        <v/>
      </c>
    </row>
    <row r="634">
      <c r="A634" s="0" t="inlineStr">
        <is>
          <t>Structure Market Network</t>
        </is>
      </c>
      <c r="B634" s="0" t="inlineStr">
        <is>
          <t>Consumer Electronics</t>
        </is>
      </c>
      <c r="C634" s="0">
        <f>SUMIFS('BOM Cycle Calc'!$D:$D,'BOM Cycle Calc'!$B:$B,A634,'BOM Cycle Calc'!$C:$C,B634)</f>
        <v/>
      </c>
      <c r="D634" s="0">
        <f>VLOOKUP(B634,'Item Tier Lookup'!$A:$B,2,FALSE)</f>
        <v/>
      </c>
      <c r="E634" s="0">
        <f>VLOOKUP(D634,'Tier Params'!$A:$B,2,FALSE)</f>
        <v/>
      </c>
      <c r="F634" s="0">
        <f>VLOOKUP(D634,'Tier Params'!$A:$C,3,FALSE)</f>
        <v/>
      </c>
      <c r="G634" s="0">
        <f>CEILING(C634/F634,1)</f>
        <v/>
      </c>
      <c r="H634" s="0">
        <f>G634*E634</f>
        <v/>
      </c>
    </row>
    <row r="635">
      <c r="A635" s="0" t="inlineStr">
        <is>
          <t>Structure Market Network</t>
        </is>
      </c>
      <c r="B635" s="0" t="inlineStr">
        <is>
          <t>Toxic Metals</t>
        </is>
      </c>
      <c r="C635" s="0">
        <f>SUMIFS('BOM Cycle Calc'!$D:$D,'BOM Cycle Calc'!$B:$B,A635,'BOM Cycle Calc'!$C:$C,B635)</f>
        <v/>
      </c>
      <c r="D635" s="0">
        <f>VLOOKUP(B635,'Item Tier Lookup'!$A:$B,2,FALSE)</f>
        <v/>
      </c>
      <c r="E635" s="0">
        <f>VLOOKUP(D635,'Tier Params'!$A:$B,2,FALSE)</f>
        <v/>
      </c>
      <c r="F635" s="0">
        <f>VLOOKUP(D635,'Tier Params'!$A:$C,3,FALSE)</f>
        <v/>
      </c>
      <c r="G635" s="0">
        <f>CEILING(C635/F635,1)</f>
        <v/>
      </c>
      <c r="H635" s="0">
        <f>G635*E635</f>
        <v/>
      </c>
    </row>
    <row r="636">
      <c r="A636" s="0" t="inlineStr">
        <is>
          <t>Structure Market Network</t>
        </is>
      </c>
      <c r="B636" s="0" t="inlineStr">
        <is>
          <t>Heavy Metals</t>
        </is>
      </c>
      <c r="C636" s="0">
        <f>SUMIFS('BOM Cycle Calc'!$D:$D,'BOM Cycle Calc'!$B:$B,A636,'BOM Cycle Calc'!$C:$C,B636)</f>
        <v/>
      </c>
      <c r="D636" s="0">
        <f>VLOOKUP(B636,'Item Tier Lookup'!$A:$B,2,FALSE)</f>
        <v/>
      </c>
      <c r="E636" s="0">
        <f>VLOOKUP(D636,'Tier Params'!$A:$B,2,FALSE)</f>
        <v/>
      </c>
      <c r="F636" s="0">
        <f>VLOOKUP(D636,'Tier Params'!$A:$C,3,FALSE)</f>
        <v/>
      </c>
      <c r="G636" s="0">
        <f>CEILING(C636/F636,1)</f>
        <v/>
      </c>
      <c r="H636" s="0">
        <f>G636*E636</f>
        <v/>
      </c>
    </row>
    <row r="637">
      <c r="A637" s="0" t="inlineStr">
        <is>
          <t>Structure Market Network</t>
        </is>
      </c>
      <c r="B637" s="0" t="inlineStr">
        <is>
          <t>Recursive Computing Module</t>
        </is>
      </c>
      <c r="C637" s="0">
        <f>SUMIFS('BOM Cycle Calc'!$D:$D,'BOM Cycle Calc'!$B:$B,A637,'BOM Cycle Calc'!$C:$C,B637)</f>
        <v/>
      </c>
      <c r="D637" s="0">
        <f>VLOOKUP(B637,'Item Tier Lookup'!$A:$B,2,FALSE)</f>
        <v/>
      </c>
      <c r="E637" s="0">
        <f>VLOOKUP(D637,'Tier Params'!$A:$B,2,FALSE)</f>
        <v/>
      </c>
      <c r="F637" s="0">
        <f>VLOOKUP(D637,'Tier Params'!$A:$C,3,FALSE)</f>
        <v/>
      </c>
      <c r="G637" s="0">
        <f>CEILING(C637/F637,1)</f>
        <v/>
      </c>
      <c r="H637" s="0">
        <f>G637*E637</f>
        <v/>
      </c>
    </row>
    <row r="638">
      <c r="A638" s="0" t="inlineStr">
        <is>
          <t>Structure Market Network</t>
        </is>
      </c>
      <c r="B638" s="0" t="inlineStr">
        <is>
          <t>Synthetic Synapses</t>
        </is>
      </c>
      <c r="C638" s="0">
        <f>SUMIFS('BOM Cycle Calc'!$D:$D,'BOM Cycle Calc'!$B:$B,A638,'BOM Cycle Calc'!$C:$C,B638)</f>
        <v/>
      </c>
      <c r="D638" s="0">
        <f>VLOOKUP(B638,'Item Tier Lookup'!$A:$B,2,FALSE)</f>
        <v/>
      </c>
      <c r="E638" s="0">
        <f>VLOOKUP(D638,'Tier Params'!$A:$B,2,FALSE)</f>
        <v/>
      </c>
      <c r="F638" s="0">
        <f>VLOOKUP(D638,'Tier Params'!$A:$C,3,FALSE)</f>
        <v/>
      </c>
      <c r="G638" s="0">
        <f>CEILING(C638/F638,1)</f>
        <v/>
      </c>
      <c r="H638" s="0">
        <f>G638*E638</f>
        <v/>
      </c>
    </row>
    <row r="639">
      <c r="A639" s="0" t="inlineStr">
        <is>
          <t>Structure Market Network</t>
        </is>
      </c>
      <c r="B639" s="0" t="inlineStr">
        <is>
          <t>Test Cultures</t>
        </is>
      </c>
      <c r="C639" s="0">
        <f>SUMIFS('BOM Cycle Calc'!$D:$D,'BOM Cycle Calc'!$B:$B,A639,'BOM Cycle Calc'!$C:$C,B639)</f>
        <v/>
      </c>
      <c r="D639" s="0">
        <f>VLOOKUP(B639,'Item Tier Lookup'!$A:$B,2,FALSE)</f>
        <v/>
      </c>
      <c r="E639" s="0">
        <f>VLOOKUP(D639,'Tier Params'!$A:$B,2,FALSE)</f>
        <v/>
      </c>
      <c r="F639" s="0">
        <f>VLOOKUP(D639,'Tier Params'!$A:$C,3,FALSE)</f>
        <v/>
      </c>
      <c r="G639" s="0">
        <f>CEILING(C639/F639,1)</f>
        <v/>
      </c>
      <c r="H639" s="0">
        <f>G639*E639</f>
        <v/>
      </c>
    </row>
    <row r="640">
      <c r="A640" s="0" t="inlineStr">
        <is>
          <t>Structure Market Network</t>
        </is>
      </c>
      <c r="B640" s="0" t="inlineStr">
        <is>
          <t>Transcranial Microcontrollers</t>
        </is>
      </c>
      <c r="C640" s="0">
        <f>SUMIFS('BOM Cycle Calc'!$D:$D,'BOM Cycle Calc'!$B:$B,A640,'BOM Cycle Calc'!$C:$C,B640)</f>
        <v/>
      </c>
      <c r="D640" s="0">
        <f>VLOOKUP(B640,'Item Tier Lookup'!$A:$B,2,FALSE)</f>
        <v/>
      </c>
      <c r="E640" s="0">
        <f>VLOOKUP(D640,'Tier Params'!$A:$B,2,FALSE)</f>
        <v/>
      </c>
      <c r="F640" s="0">
        <f>VLOOKUP(D640,'Tier Params'!$A:$C,3,FALSE)</f>
        <v/>
      </c>
      <c r="G640" s="0">
        <f>CEILING(C640/F640,1)</f>
        <v/>
      </c>
      <c r="H640" s="0">
        <f>G640*E640</f>
        <v/>
      </c>
    </row>
    <row r="641">
      <c r="A641" s="0" t="inlineStr">
        <is>
          <t>Structure Market Network</t>
        </is>
      </c>
      <c r="B641" s="0" t="inlineStr">
        <is>
          <t>Nanites</t>
        </is>
      </c>
      <c r="C641" s="0">
        <f>SUMIFS('BOM Cycle Calc'!$D:$D,'BOM Cycle Calc'!$B:$B,A641,'BOM Cycle Calc'!$C:$C,B641)</f>
        <v/>
      </c>
      <c r="D641" s="0">
        <f>VLOOKUP(B641,'Item Tier Lookup'!$A:$B,2,FALSE)</f>
        <v/>
      </c>
      <c r="E641" s="0">
        <f>VLOOKUP(D641,'Tier Params'!$A:$B,2,FALSE)</f>
        <v/>
      </c>
      <c r="F641" s="0">
        <f>VLOOKUP(D641,'Tier Params'!$A:$C,3,FALSE)</f>
        <v/>
      </c>
      <c r="G641" s="0">
        <f>CEILING(C641/F641,1)</f>
        <v/>
      </c>
      <c r="H641" s="0">
        <f>G641*E641</f>
        <v/>
      </c>
    </row>
    <row r="642">
      <c r="A642" s="0" t="inlineStr">
        <is>
          <t>Structure Market Network</t>
        </is>
      </c>
      <c r="B642" s="0" t="inlineStr">
        <is>
          <t>Guidance Systems</t>
        </is>
      </c>
      <c r="C642" s="0">
        <f>SUMIFS('BOM Cycle Calc'!$D:$D,'BOM Cycle Calc'!$B:$B,A642,'BOM Cycle Calc'!$C:$C,B642)</f>
        <v/>
      </c>
      <c r="D642" s="0">
        <f>VLOOKUP(B642,'Item Tier Lookup'!$A:$B,2,FALSE)</f>
        <v/>
      </c>
      <c r="E642" s="0">
        <f>VLOOKUP(D642,'Tier Params'!$A:$B,2,FALSE)</f>
        <v/>
      </c>
      <c r="F642" s="0">
        <f>VLOOKUP(D642,'Tier Params'!$A:$C,3,FALSE)</f>
        <v/>
      </c>
      <c r="G642" s="0">
        <f>CEILING(C642/F642,1)</f>
        <v/>
      </c>
      <c r="H642" s="0">
        <f>G642*E642</f>
        <v/>
      </c>
    </row>
    <row r="643">
      <c r="A643" s="0" t="inlineStr">
        <is>
          <t>Structure Market Network</t>
        </is>
      </c>
      <c r="B643" s="0" t="inlineStr">
        <is>
          <t>Water-Cooled CPU</t>
        </is>
      </c>
      <c r="C643" s="0">
        <f>SUMIFS('BOM Cycle Calc'!$D:$D,'BOM Cycle Calc'!$B:$B,A643,'BOM Cycle Calc'!$C:$C,B643)</f>
        <v/>
      </c>
      <c r="D643" s="0">
        <f>VLOOKUP(B643,'Item Tier Lookup'!$A:$B,2,FALSE)</f>
        <v/>
      </c>
      <c r="E643" s="0">
        <f>VLOOKUP(D643,'Tier Params'!$A:$B,2,FALSE)</f>
        <v/>
      </c>
      <c r="F643" s="0">
        <f>VLOOKUP(D643,'Tier Params'!$A:$C,3,FALSE)</f>
        <v/>
      </c>
      <c r="G643" s="0">
        <f>CEILING(C643/F643,1)</f>
        <v/>
      </c>
      <c r="H643" s="0">
        <f>G643*E643</f>
        <v/>
      </c>
    </row>
    <row r="644">
      <c r="A644" s="0" t="inlineStr">
        <is>
          <t>Structure Market Network</t>
        </is>
      </c>
      <c r="B644" s="0" t="inlineStr">
        <is>
          <t>Self-Harmonizing Power Core</t>
        </is>
      </c>
      <c r="C644" s="0">
        <f>SUMIFS('BOM Cycle Calc'!$D:$D,'BOM Cycle Calc'!$B:$B,A644,'BOM Cycle Calc'!$C:$C,B644)</f>
        <v/>
      </c>
      <c r="D644" s="0">
        <f>VLOOKUP(B644,'Item Tier Lookup'!$A:$B,2,FALSE)</f>
        <v/>
      </c>
      <c r="E644" s="0">
        <f>VLOOKUP(D644,'Tier Params'!$A:$B,2,FALSE)</f>
        <v/>
      </c>
      <c r="F644" s="0">
        <f>VLOOKUP(D644,'Tier Params'!$A:$C,3,FALSE)</f>
        <v/>
      </c>
      <c r="G644" s="0">
        <f>CEILING(C644/F644,1)</f>
        <v/>
      </c>
      <c r="H644" s="0">
        <f>G644*E644</f>
        <v/>
      </c>
    </row>
    <row r="645">
      <c r="A645" s="0" t="inlineStr">
        <is>
          <t>Structure Market Network</t>
        </is>
      </c>
      <c r="B645" s="0" t="inlineStr">
        <is>
          <t>Nuclear Reactors</t>
        </is>
      </c>
      <c r="C645" s="0">
        <f>SUMIFS('BOM Cycle Calc'!$D:$D,'BOM Cycle Calc'!$B:$B,A645,'BOM Cycle Calc'!$C:$C,B645)</f>
        <v/>
      </c>
      <c r="D645" s="0">
        <f>VLOOKUP(B645,'Item Tier Lookup'!$A:$B,2,FALSE)</f>
        <v/>
      </c>
      <c r="E645" s="0">
        <f>VLOOKUP(D645,'Tier Params'!$A:$B,2,FALSE)</f>
        <v/>
      </c>
      <c r="F645" s="0">
        <f>VLOOKUP(D645,'Tier Params'!$A:$C,3,FALSE)</f>
        <v/>
      </c>
      <c r="G645" s="0">
        <f>CEILING(C645/F645,1)</f>
        <v/>
      </c>
      <c r="H645" s="0">
        <f>G645*E645</f>
        <v/>
      </c>
    </row>
    <row r="646">
      <c r="A646" s="0" t="inlineStr">
        <is>
          <t>Structure Market Network</t>
        </is>
      </c>
      <c r="B646" s="0" t="inlineStr">
        <is>
          <t>Enriched Uranium</t>
        </is>
      </c>
      <c r="C646" s="0">
        <f>SUMIFS('BOM Cycle Calc'!$D:$D,'BOM Cycle Calc'!$B:$B,A646,'BOM Cycle Calc'!$C:$C,B646)</f>
        <v/>
      </c>
      <c r="D646" s="0">
        <f>VLOOKUP(B646,'Item Tier Lookup'!$A:$B,2,FALSE)</f>
        <v/>
      </c>
      <c r="E646" s="0">
        <f>VLOOKUP(D646,'Tier Params'!$A:$B,2,FALSE)</f>
        <v/>
      </c>
      <c r="F646" s="0">
        <f>VLOOKUP(D646,'Tier Params'!$A:$C,3,FALSE)</f>
        <v/>
      </c>
      <c r="G646" s="0">
        <f>CEILING(C646/F646,1)</f>
        <v/>
      </c>
      <c r="H646" s="0">
        <f>G646*E646</f>
        <v/>
      </c>
    </row>
    <row r="647">
      <c r="A647" s="0" t="inlineStr">
        <is>
          <t>Structure Market Network</t>
        </is>
      </c>
      <c r="B647" s="0" t="inlineStr">
        <is>
          <t>Camera Drones</t>
        </is>
      </c>
      <c r="C647" s="0">
        <f>SUMIFS('BOM Cycle Calc'!$D:$D,'BOM Cycle Calc'!$B:$B,A647,'BOM Cycle Calc'!$C:$C,B647)</f>
        <v/>
      </c>
      <c r="D647" s="0">
        <f>VLOOKUP(B647,'Item Tier Lookup'!$A:$B,2,FALSE)</f>
        <v/>
      </c>
      <c r="E647" s="0">
        <f>VLOOKUP(D647,'Tier Params'!$A:$B,2,FALSE)</f>
        <v/>
      </c>
      <c r="F647" s="0">
        <f>VLOOKUP(D647,'Tier Params'!$A:$C,3,FALSE)</f>
        <v/>
      </c>
      <c r="G647" s="0">
        <f>CEILING(C647/F647,1)</f>
        <v/>
      </c>
      <c r="H647" s="0">
        <f>G647*E647</f>
        <v/>
      </c>
    </row>
    <row r="648">
      <c r="A648" s="0" t="inlineStr">
        <is>
          <t>Structure Market Network</t>
        </is>
      </c>
      <c r="B648" s="0" t="inlineStr">
        <is>
          <t>Rocket Fuel</t>
        </is>
      </c>
      <c r="C648" s="0">
        <f>SUMIFS('BOM Cycle Calc'!$D:$D,'BOM Cycle Calc'!$B:$B,A648,'BOM Cycle Calc'!$C:$C,B648)</f>
        <v/>
      </c>
      <c r="D648" s="0">
        <f>VLOOKUP(B648,'Item Tier Lookup'!$A:$B,2,FALSE)</f>
        <v/>
      </c>
      <c r="E648" s="0">
        <f>VLOOKUP(D648,'Tier Params'!$A:$B,2,FALSE)</f>
        <v/>
      </c>
      <c r="F648" s="0">
        <f>VLOOKUP(D648,'Tier Params'!$A:$C,3,FALSE)</f>
        <v/>
      </c>
      <c r="G648" s="0">
        <f>CEILING(C648/F648,1)</f>
        <v/>
      </c>
      <c r="H648" s="0">
        <f>G648*E648</f>
        <v/>
      </c>
    </row>
    <row r="649">
      <c r="A649" s="0" t="inlineStr">
        <is>
          <t>Structure Market Network</t>
        </is>
      </c>
      <c r="B649" s="0" t="inlineStr">
        <is>
          <t>Hermetic Membranes</t>
        </is>
      </c>
      <c r="C649" s="0">
        <f>SUMIFS('BOM Cycle Calc'!$D:$D,'BOM Cycle Calc'!$B:$B,A649,'BOM Cycle Calc'!$C:$C,B649)</f>
        <v/>
      </c>
      <c r="D649" s="0">
        <f>VLOOKUP(B649,'Item Tier Lookup'!$A:$B,2,FALSE)</f>
        <v/>
      </c>
      <c r="E649" s="0">
        <f>VLOOKUP(D649,'Tier Params'!$A:$B,2,FALSE)</f>
        <v/>
      </c>
      <c r="F649" s="0">
        <f>VLOOKUP(D649,'Tier Params'!$A:$C,3,FALSE)</f>
        <v/>
      </c>
      <c r="G649" s="0">
        <f>CEILING(C649/F649,1)</f>
        <v/>
      </c>
      <c r="H649" s="0">
        <f>G649*E649</f>
        <v/>
      </c>
    </row>
    <row r="650">
      <c r="A650" s="0" t="inlineStr">
        <is>
          <t>Structure Market Network</t>
        </is>
      </c>
      <c r="B650" s="0" t="inlineStr">
        <is>
          <t>Genetically Enhanced Livestock</t>
        </is>
      </c>
      <c r="C650" s="0">
        <f>SUMIFS('BOM Cycle Calc'!$D:$D,'BOM Cycle Calc'!$B:$B,A650,'BOM Cycle Calc'!$C:$C,B650)</f>
        <v/>
      </c>
      <c r="D650" s="0">
        <f>VLOOKUP(B650,'Item Tier Lookup'!$A:$B,2,FALSE)</f>
        <v/>
      </c>
      <c r="E650" s="0">
        <f>VLOOKUP(D650,'Tier Params'!$A:$B,2,FALSE)</f>
        <v/>
      </c>
      <c r="F650" s="0">
        <f>VLOOKUP(D650,'Tier Params'!$A:$C,3,FALSE)</f>
        <v/>
      </c>
      <c r="G650" s="0">
        <f>CEILING(C650/F650,1)</f>
        <v/>
      </c>
      <c r="H650" s="0">
        <f>G650*E650</f>
        <v/>
      </c>
    </row>
    <row r="651">
      <c r="A651" s="0" t="inlineStr">
        <is>
          <t>Structure Market Network</t>
        </is>
      </c>
      <c r="B651" s="0" t="inlineStr">
        <is>
          <t>Sterile Conduits</t>
        </is>
      </c>
      <c r="C651" s="0">
        <f>SUMIFS('BOM Cycle Calc'!$D:$D,'BOM Cycle Calc'!$B:$B,A651,'BOM Cycle Calc'!$C:$C,B651)</f>
        <v/>
      </c>
      <c r="D651" s="0">
        <f>VLOOKUP(B651,'Item Tier Lookup'!$A:$B,2,FALSE)</f>
        <v/>
      </c>
      <c r="E651" s="0">
        <f>VLOOKUP(D651,'Tier Params'!$A:$B,2,FALSE)</f>
        <v/>
      </c>
      <c r="F651" s="0">
        <f>VLOOKUP(D651,'Tier Params'!$A:$C,3,FALSE)</f>
        <v/>
      </c>
      <c r="G651" s="0">
        <f>CEILING(C651/F651,1)</f>
        <v/>
      </c>
      <c r="H651" s="0">
        <f>G651*E651</f>
        <v/>
      </c>
    </row>
    <row r="652">
      <c r="A652" s="0" t="inlineStr">
        <is>
          <t>Structure Market Network</t>
        </is>
      </c>
      <c r="B652" s="0" t="inlineStr">
        <is>
          <t>Vaccines</t>
        </is>
      </c>
      <c r="C652" s="0">
        <f>SUMIFS('BOM Cycle Calc'!$D:$D,'BOM Cycle Calc'!$B:$B,A652,'BOM Cycle Calc'!$C:$C,B652)</f>
        <v/>
      </c>
      <c r="D652" s="0">
        <f>VLOOKUP(B652,'Item Tier Lookup'!$A:$B,2,FALSE)</f>
        <v/>
      </c>
      <c r="E652" s="0">
        <f>VLOOKUP(D652,'Tier Params'!$A:$B,2,FALSE)</f>
        <v/>
      </c>
      <c r="F652" s="0">
        <f>VLOOKUP(D652,'Tier Params'!$A:$C,3,FALSE)</f>
        <v/>
      </c>
      <c r="G652" s="0">
        <f>CEILING(C652/F652,1)</f>
        <v/>
      </c>
      <c r="H652" s="0">
        <f>G652*E652</f>
        <v/>
      </c>
    </row>
    <row r="653">
      <c r="A653" s="0" t="inlineStr">
        <is>
          <t>Structure Market Network</t>
        </is>
      </c>
      <c r="B653" s="0" t="inlineStr">
        <is>
          <t>Livestock</t>
        </is>
      </c>
      <c r="C653" s="0">
        <f>SUMIFS('BOM Cycle Calc'!$D:$D,'BOM Cycle Calc'!$B:$B,A653,'BOM Cycle Calc'!$C:$C,B653)</f>
        <v/>
      </c>
      <c r="D653" s="0">
        <f>VLOOKUP(B653,'Item Tier Lookup'!$A:$B,2,FALSE)</f>
        <v/>
      </c>
      <c r="E653" s="0">
        <f>VLOOKUP(D653,'Tier Params'!$A:$B,2,FALSE)</f>
        <v/>
      </c>
      <c r="F653" s="0">
        <f>VLOOKUP(D653,'Tier Params'!$A:$C,3,FALSE)</f>
        <v/>
      </c>
      <c r="G653" s="0">
        <f>CEILING(C653/F653,1)</f>
        <v/>
      </c>
      <c r="H653" s="0">
        <f>G653*E653</f>
        <v/>
      </c>
    </row>
    <row r="654">
      <c r="A654" s="0" t="inlineStr">
        <is>
          <t>Structure Market Network</t>
        </is>
      </c>
      <c r="B654" s="0" t="inlineStr">
        <is>
          <t>Viral Agent</t>
        </is>
      </c>
      <c r="C654" s="0">
        <f>SUMIFS('BOM Cycle Calc'!$D:$D,'BOM Cycle Calc'!$B:$B,A654,'BOM Cycle Calc'!$C:$C,B654)</f>
        <v/>
      </c>
      <c r="D654" s="0">
        <f>VLOOKUP(B654,'Item Tier Lookup'!$A:$B,2,FALSE)</f>
        <v/>
      </c>
      <c r="E654" s="0">
        <f>VLOOKUP(D654,'Tier Params'!$A:$B,2,FALSE)</f>
        <v/>
      </c>
      <c r="F654" s="0">
        <f>VLOOKUP(D654,'Tier Params'!$A:$C,3,FALSE)</f>
        <v/>
      </c>
      <c r="G654" s="0">
        <f>CEILING(C654/F654,1)</f>
        <v/>
      </c>
      <c r="H654" s="0">
        <f>G654*E654</f>
        <v/>
      </c>
    </row>
    <row r="655">
      <c r="A655" s="0" t="inlineStr">
        <is>
          <t>Structure Market Network</t>
        </is>
      </c>
      <c r="B655" s="0" t="inlineStr">
        <is>
          <t>Smartfab Units</t>
        </is>
      </c>
      <c r="C655" s="0">
        <f>SUMIFS('BOM Cycle Calc'!$D:$D,'BOM Cycle Calc'!$B:$B,A655,'BOM Cycle Calc'!$C:$C,B655)</f>
        <v/>
      </c>
      <c r="D655" s="0">
        <f>VLOOKUP(B655,'Item Tier Lookup'!$A:$B,2,FALSE)</f>
        <v/>
      </c>
      <c r="E655" s="0">
        <f>VLOOKUP(D655,'Tier Params'!$A:$B,2,FALSE)</f>
        <v/>
      </c>
      <c r="F655" s="0">
        <f>VLOOKUP(D655,'Tier Params'!$A:$C,3,FALSE)</f>
        <v/>
      </c>
      <c r="G655" s="0">
        <f>CEILING(C655/F655,1)</f>
        <v/>
      </c>
      <c r="H655" s="0">
        <f>G655*E655</f>
        <v/>
      </c>
    </row>
    <row r="656">
      <c r="A656" s="0" t="inlineStr">
        <is>
          <t>Structure Market Network</t>
        </is>
      </c>
      <c r="B656" s="0" t="inlineStr">
        <is>
          <t>Miniature Electronics</t>
        </is>
      </c>
      <c r="C656" s="0">
        <f>SUMIFS('BOM Cycle Calc'!$D:$D,'BOM Cycle Calc'!$B:$B,A656,'BOM Cycle Calc'!$C:$C,B656)</f>
        <v/>
      </c>
      <c r="D656" s="0">
        <f>VLOOKUP(B656,'Item Tier Lookup'!$A:$B,2,FALSE)</f>
        <v/>
      </c>
      <c r="E656" s="0">
        <f>VLOOKUP(D656,'Tier Params'!$A:$B,2,FALSE)</f>
        <v/>
      </c>
      <c r="F656" s="0">
        <f>VLOOKUP(D656,'Tier Params'!$A:$C,3,FALSE)</f>
        <v/>
      </c>
      <c r="G656" s="0">
        <f>CEILING(C656/F656,1)</f>
        <v/>
      </c>
      <c r="H656" s="0">
        <f>G656*E656</f>
        <v/>
      </c>
    </row>
    <row r="657">
      <c r="A657" s="0" t="inlineStr">
        <is>
          <t>Structure Market Network</t>
        </is>
      </c>
      <c r="B657" s="0" t="inlineStr">
        <is>
          <t>Construction Blocks</t>
        </is>
      </c>
      <c r="C657" s="0">
        <f>SUMIFS('BOM Cycle Calc'!$D:$D,'BOM Cycle Calc'!$B:$B,A657,'BOM Cycle Calc'!$C:$C,B657)</f>
        <v/>
      </c>
      <c r="D657" s="0">
        <f>VLOOKUP(B657,'Item Tier Lookup'!$A:$B,2,FALSE)</f>
        <v/>
      </c>
      <c r="E657" s="0">
        <f>VLOOKUP(D657,'Tier Params'!$A:$B,2,FALSE)</f>
        <v/>
      </c>
      <c r="F657" s="0">
        <f>VLOOKUP(D657,'Tier Params'!$A:$C,3,FALSE)</f>
        <v/>
      </c>
      <c r="G657" s="0">
        <f>CEILING(C657/F657,1)</f>
        <v/>
      </c>
      <c r="H657" s="0">
        <f>G657*E657</f>
        <v/>
      </c>
    </row>
    <row r="658">
      <c r="A658" s="0" t="inlineStr">
        <is>
          <t>Structure Market Network</t>
        </is>
      </c>
      <c r="B658" s="0" t="inlineStr">
        <is>
          <t>Wetware Mainframe</t>
        </is>
      </c>
      <c r="C658" s="0">
        <f>SUMIFS('BOM Cycle Calc'!$D:$D,'BOM Cycle Calc'!$B:$B,A658,'BOM Cycle Calc'!$C:$C,B658)</f>
        <v/>
      </c>
      <c r="D658" s="0">
        <f>VLOOKUP(B658,'Item Tier Lookup'!$A:$B,2,FALSE)</f>
        <v/>
      </c>
      <c r="E658" s="0">
        <f>VLOOKUP(D658,'Tier Params'!$A:$B,2,FALSE)</f>
        <v/>
      </c>
      <c r="F658" s="0">
        <f>VLOOKUP(D658,'Tier Params'!$A:$C,3,FALSE)</f>
        <v/>
      </c>
      <c r="G658" s="0">
        <f>CEILING(C658/F658,1)</f>
        <v/>
      </c>
      <c r="H658" s="0">
        <f>G658*E658</f>
        <v/>
      </c>
    </row>
    <row r="659">
      <c r="A659" s="0" t="inlineStr">
        <is>
          <t>Structure Market Network</t>
        </is>
      </c>
      <c r="B659" s="0" t="inlineStr">
        <is>
          <t>Supercomputers</t>
        </is>
      </c>
      <c r="C659" s="0">
        <f>SUMIFS('BOM Cycle Calc'!$D:$D,'BOM Cycle Calc'!$B:$B,A659,'BOM Cycle Calc'!$C:$C,B659)</f>
        <v/>
      </c>
      <c r="D659" s="0">
        <f>VLOOKUP(B659,'Item Tier Lookup'!$A:$B,2,FALSE)</f>
        <v/>
      </c>
      <c r="E659" s="0">
        <f>VLOOKUP(D659,'Tier Params'!$A:$B,2,FALSE)</f>
        <v/>
      </c>
      <c r="F659" s="0">
        <f>VLOOKUP(D659,'Tier Params'!$A:$C,3,FALSE)</f>
        <v/>
      </c>
      <c r="G659" s="0">
        <f>CEILING(C659/F659,1)</f>
        <v/>
      </c>
      <c r="H659" s="0">
        <f>G659*E659</f>
        <v/>
      </c>
    </row>
    <row r="660">
      <c r="A660" s="0" t="inlineStr">
        <is>
          <t>Structure Market Network</t>
        </is>
      </c>
      <c r="B660" s="0" t="inlineStr">
        <is>
          <t>Biotech Research Reports</t>
        </is>
      </c>
      <c r="C660" s="0">
        <f>SUMIFS('BOM Cycle Calc'!$D:$D,'BOM Cycle Calc'!$B:$B,A660,'BOM Cycle Calc'!$C:$C,B660)</f>
        <v/>
      </c>
      <c r="D660" s="0">
        <f>VLOOKUP(B660,'Item Tier Lookup'!$A:$B,2,FALSE)</f>
        <v/>
      </c>
      <c r="E660" s="0">
        <f>VLOOKUP(D660,'Tier Params'!$A:$B,2,FALSE)</f>
        <v/>
      </c>
      <c r="F660" s="0">
        <f>VLOOKUP(D660,'Tier Params'!$A:$C,3,FALSE)</f>
        <v/>
      </c>
      <c r="G660" s="0">
        <f>CEILING(C660/F660,1)</f>
        <v/>
      </c>
      <c r="H660" s="0">
        <f>G660*E660</f>
        <v/>
      </c>
    </row>
    <row r="661">
      <c r="A661" s="0" t="inlineStr">
        <is>
          <t>Structure Market Network</t>
        </is>
      </c>
      <c r="B661" s="0" t="inlineStr">
        <is>
          <t>Cryoprotectant Solution</t>
        </is>
      </c>
      <c r="C661" s="0">
        <f>SUMIFS('BOM Cycle Calc'!$D:$D,'BOM Cycle Calc'!$B:$B,A661,'BOM Cycle Calc'!$C:$C,B661)</f>
        <v/>
      </c>
      <c r="D661" s="0">
        <f>VLOOKUP(B661,'Item Tier Lookup'!$A:$B,2,FALSE)</f>
        <v/>
      </c>
      <c r="E661" s="0">
        <f>VLOOKUP(D661,'Tier Params'!$A:$B,2,FALSE)</f>
        <v/>
      </c>
      <c r="F661" s="0">
        <f>VLOOKUP(D661,'Tier Params'!$A:$C,3,FALSE)</f>
        <v/>
      </c>
      <c r="G661" s="0">
        <f>CEILING(C661/F661,1)</f>
        <v/>
      </c>
      <c r="H661" s="0">
        <f>G661*E661</f>
        <v/>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2026-07-09T01:21:05Z</dcterms:created>
  <dcterms:modified xmlns:dcterms="http://purl.org/dc/terms/" xmlns:xsi="http://www.w3.org/2001/XMLSchema-instance" xsi:type="dcterms:W3CDTF">2026-07-09T01:24:04Z</dcterms:modified>
</cp:coreProperties>
</file>